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18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mclean_se_northeastern_edu/Documents/"/>
    </mc:Choice>
  </mc:AlternateContent>
  <xr:revisionPtr revIDLastSave="0" documentId="8_{C8E53C90-64DC-4DBA-8445-33172F32FD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solver_adj" localSheetId="0" hidden="1">Sheet1!$I$16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Sheet1!$S$4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Sheet1!$J$16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hs1" localSheetId="0" hidden="1">675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1" l="1"/>
  <c r="S12" i="1"/>
  <c r="S11" i="1"/>
  <c r="S10" i="1"/>
  <c r="S9" i="1"/>
  <c r="S8" i="1"/>
  <c r="S7" i="1"/>
  <c r="S6" i="1"/>
  <c r="S5" i="1"/>
  <c r="S4" i="1"/>
  <c r="F9" i="1"/>
  <c r="F12" i="1" s="1"/>
  <c r="J5" i="1"/>
  <c r="J6" i="1"/>
  <c r="J7" i="1"/>
  <c r="J8" i="1"/>
  <c r="J9" i="1"/>
  <c r="J10" i="1"/>
  <c r="J11" i="1"/>
  <c r="J12" i="1"/>
  <c r="J13" i="1"/>
  <c r="J14" i="1"/>
  <c r="J16" i="1"/>
  <c r="F11" i="1"/>
  <c r="J4" i="1"/>
  <c r="B6" i="1"/>
  <c r="F13" i="1" l="1"/>
  <c r="S3" i="1" s="1"/>
</calcChain>
</file>

<file path=xl/sharedStrings.xml><?xml version="1.0" encoding="utf-8"?>
<sst xmlns="http://schemas.openxmlformats.org/spreadsheetml/2006/main" count="38" uniqueCount="31">
  <si>
    <t>1. Define Data</t>
  </si>
  <si>
    <t>2. Mathematical Functions</t>
  </si>
  <si>
    <t>4. Data Tables</t>
  </si>
  <si>
    <t>5. Plot Total Cost versus Order Quantity</t>
  </si>
  <si>
    <t>7. What-If Analysis</t>
  </si>
  <si>
    <t>Order Quantity</t>
  </si>
  <si>
    <t>Demand (in units)</t>
  </si>
  <si>
    <t>Data/Uncontrollable Input</t>
  </si>
  <si>
    <t>Annual Holding Cost</t>
  </si>
  <si>
    <t>Demand * Holding Cost Per Unit($)</t>
  </si>
  <si>
    <t>Model Parameter</t>
  </si>
  <si>
    <t>Total Cost</t>
  </si>
  <si>
    <t>Cost per unit ($)</t>
  </si>
  <si>
    <t>Data/Model Parameter</t>
  </si>
  <si>
    <t>Annual Ordering Cost</t>
  </si>
  <si>
    <t>(Demand * Ordering Cost) / Ordering Quantity</t>
  </si>
  <si>
    <t>Holding Cost Rates</t>
  </si>
  <si>
    <t>Holding cost per unit (%)</t>
  </si>
  <si>
    <t>Data/Decision Variable</t>
  </si>
  <si>
    <t>Total Inventory Cost</t>
  </si>
  <si>
    <t>Annual Holding Cost + Annual Ordering Cost</t>
  </si>
  <si>
    <t>Objective/Model Parameter</t>
  </si>
  <si>
    <t>Holding cost per unit in $</t>
  </si>
  <si>
    <t>Ordering cost ($)</t>
  </si>
  <si>
    <t>Data/Uncontrollable Input/Modeling Parameter</t>
  </si>
  <si>
    <t>Mathematical Model</t>
  </si>
  <si>
    <t>Ecomonic Ordering Quanity (in units)/Reorder Point</t>
  </si>
  <si>
    <t>SQR (2 X Demand X Ordering Cost) / Holding Cost Per Unit ($)</t>
  </si>
  <si>
    <t>Decision Variable/Model Parameter</t>
  </si>
  <si>
    <t>6. Solver</t>
  </si>
  <si>
    <t>Minimum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</si>
</sst>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6" fontId="0" fillId="0" borderId="0" xfId="0" applyNumberFormat="1"/>
    <xf numFmtId="0" fontId="1" fillId="0" borderId="0" xfId="0" applyFont="1"/>
    <xf numFmtId="8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Sheet1!$I$4:$I$12</c:f>
              <c:numCache>
                <c:formatCode>General</c:formatCode>
                <c:ptCount val="9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</c:numCache>
            </c:numRef>
          </c:xVal>
          <c:yVal>
            <c:numRef>
              <c:f>Sheet1!$J$4:$J$12</c:f>
              <c:numCache>
                <c:formatCode>"$"#,##0.00_);[Red]\("$"#,##0.00\)</c:formatCode>
                <c:ptCount val="9"/>
                <c:pt idx="0">
                  <c:v>11130</c:v>
                </c:pt>
                <c:pt idx="1">
                  <c:v>10573.333333333334</c:v>
                </c:pt>
                <c:pt idx="2">
                  <c:v>10200</c:v>
                </c:pt>
                <c:pt idx="3">
                  <c:v>9960</c:v>
                </c:pt>
                <c:pt idx="4">
                  <c:v>9820</c:v>
                </c:pt>
                <c:pt idx="5">
                  <c:v>9756.923076923078</c:v>
                </c:pt>
                <c:pt idx="6">
                  <c:v>9754.2857142857138</c:v>
                </c:pt>
                <c:pt idx="7">
                  <c:v>9800</c:v>
                </c:pt>
                <c:pt idx="8">
                  <c:v>9885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0D-4598-84B0-C453CEB43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636784"/>
        <c:axId val="1463639664"/>
      </c:scatterChart>
      <c:valAx>
        <c:axId val="146363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639664"/>
        <c:crosses val="autoZero"/>
        <c:crossBetween val="midCat"/>
      </c:valAx>
      <c:valAx>
        <c:axId val="146363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63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60325</xdr:colOff>
      <xdr:row>1</xdr:row>
      <xdr:rowOff>139700</xdr:rowOff>
    </xdr:from>
    <xdr:to>
      <xdr:col>15</xdr:col>
      <xdr:colOff>485775</xdr:colOff>
      <xdr:row>16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D72877-D58A-597B-E2B7-F36D46C3C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"/>
  <sheetViews>
    <sheetView tabSelected="1" workbookViewId="0">
      <selection activeCell="F9" sqref="F9"/>
    </sheetView>
  </sheetViews>
  <sheetFormatPr defaultRowHeight="14.45"/>
  <cols>
    <col min="1" max="1" width="23.5703125" customWidth="1"/>
    <col min="2" max="2" width="10.42578125" customWidth="1"/>
    <col min="3" max="3" width="39.42578125" customWidth="1"/>
    <col min="4" max="4" width="10" customWidth="1"/>
    <col min="5" max="5" width="42.7109375" customWidth="1"/>
    <col min="6" max="6" width="49.85546875" customWidth="1"/>
    <col min="7" max="7" width="30.28515625" customWidth="1"/>
    <col min="8" max="8" width="12.42578125" customWidth="1"/>
    <col min="9" max="9" width="13.140625" customWidth="1"/>
    <col min="10" max="10" width="16.85546875" customWidth="1"/>
    <col min="12" max="12" width="33.140625" customWidth="1"/>
    <col min="17" max="17" width="16.42578125" customWidth="1"/>
    <col min="18" max="18" width="16.7109375" customWidth="1"/>
    <col min="19" max="19" width="11.7109375" customWidth="1"/>
    <col min="20" max="20" width="12.28515625" customWidth="1"/>
    <col min="21" max="30" width="11.42578125" bestFit="1" customWidth="1"/>
  </cols>
  <sheetData>
    <row r="1" spans="1:30">
      <c r="A1" s="2" t="s">
        <v>0</v>
      </c>
      <c r="E1" s="2" t="s">
        <v>1</v>
      </c>
      <c r="F1" s="2"/>
      <c r="I1" s="2" t="s">
        <v>2</v>
      </c>
      <c r="L1" s="2" t="s">
        <v>3</v>
      </c>
      <c r="Q1" s="2" t="s">
        <v>4</v>
      </c>
    </row>
    <row r="2" spans="1:30">
      <c r="T2" t="s">
        <v>5</v>
      </c>
    </row>
    <row r="3" spans="1:30">
      <c r="A3" t="s">
        <v>6</v>
      </c>
      <c r="B3">
        <v>15000</v>
      </c>
      <c r="C3" t="s">
        <v>7</v>
      </c>
      <c r="E3" t="s">
        <v>8</v>
      </c>
      <c r="F3" t="s">
        <v>9</v>
      </c>
      <c r="G3" t="s">
        <v>10</v>
      </c>
      <c r="I3" t="s">
        <v>5</v>
      </c>
      <c r="J3" t="s">
        <v>11</v>
      </c>
      <c r="S3" s="3">
        <f>F13</f>
        <v>220874.42304278153</v>
      </c>
      <c r="T3">
        <v>400</v>
      </c>
      <c r="U3">
        <v>450</v>
      </c>
      <c r="V3">
        <v>500</v>
      </c>
      <c r="W3">
        <v>550</v>
      </c>
      <c r="X3">
        <v>600</v>
      </c>
      <c r="Y3">
        <v>650</v>
      </c>
      <c r="Z3">
        <v>700</v>
      </c>
      <c r="AA3">
        <v>750</v>
      </c>
      <c r="AB3">
        <v>800</v>
      </c>
      <c r="AC3">
        <v>850</v>
      </c>
      <c r="AD3">
        <v>900</v>
      </c>
    </row>
    <row r="4" spans="1:30">
      <c r="A4" t="s">
        <v>12</v>
      </c>
      <c r="B4" s="1">
        <v>80</v>
      </c>
      <c r="C4" t="s">
        <v>13</v>
      </c>
      <c r="E4" t="s">
        <v>14</v>
      </c>
      <c r="F4" t="s">
        <v>15</v>
      </c>
      <c r="G4" t="s">
        <v>10</v>
      </c>
      <c r="I4">
        <v>400</v>
      </c>
      <c r="J4" s="3">
        <f>((220*(15000/I4)+14.4*(I4/2)))</f>
        <v>11130</v>
      </c>
      <c r="Q4" s="3"/>
      <c r="R4" t="s">
        <v>16</v>
      </c>
      <c r="S4" s="3">
        <f>(B4*0.12)</f>
        <v>9.6</v>
      </c>
      <c r="T4" s="5">
        <f t="dataTable" ref="T4:AD13" dt2D="1" dtr="1" r1="B3" r2="B6"/>
        <v>4489.923072370877</v>
      </c>
      <c r="U4" s="5">
        <v>5009.3475175845633</v>
      </c>
      <c r="V4" s="5">
        <v>5526.6360849833982</v>
      </c>
      <c r="W4" s="5">
        <v>6042.1023553303057</v>
      </c>
      <c r="X4" s="5">
        <v>6555.9899496852959</v>
      </c>
      <c r="Y4" s="5">
        <v>7068.4926070883193</v>
      </c>
      <c r="Z4" s="5">
        <v>7579.7674104081871</v>
      </c>
      <c r="AA4" s="5">
        <v>8089.9438184514793</v>
      </c>
      <c r="AB4" s="5">
        <v>8599.130023446085</v>
      </c>
      <c r="AC4" s="5">
        <v>9107.4175425861613</v>
      </c>
      <c r="AD4" s="5">
        <v>9614.8846085563146</v>
      </c>
    </row>
    <row r="5" spans="1:30">
      <c r="A5" t="s">
        <v>17</v>
      </c>
      <c r="B5">
        <v>0.18</v>
      </c>
      <c r="C5" t="s">
        <v>18</v>
      </c>
      <c r="E5" t="s">
        <v>19</v>
      </c>
      <c r="F5" t="s">
        <v>20</v>
      </c>
      <c r="G5" t="s">
        <v>21</v>
      </c>
      <c r="I5">
        <v>450</v>
      </c>
      <c r="J5" s="3">
        <f t="shared" ref="J5:J18" si="0">((220*(15000/I5)+14.4*(I5/2)))</f>
        <v>10573.333333333334</v>
      </c>
      <c r="Q5" s="3"/>
      <c r="S5" s="3">
        <f>(B4*0.14)</f>
        <v>11.200000000000001</v>
      </c>
      <c r="T5" s="5">
        <v>5181.9971509913703</v>
      </c>
      <c r="U5" s="5">
        <v>5784.5804187594522</v>
      </c>
      <c r="V5" s="5">
        <v>6384.8566748139438</v>
      </c>
      <c r="W5" s="5">
        <v>6983.1646250902677</v>
      </c>
      <c r="X5" s="5">
        <v>7579.767410408188</v>
      </c>
      <c r="Y5" s="5">
        <v>8174.874292847885</v>
      </c>
      <c r="Z5" s="5">
        <v>8768.6549412995137</v>
      </c>
      <c r="AA5" s="5">
        <v>9361.249187255833</v>
      </c>
      <c r="AB5" s="5">
        <v>9952.7738916792696</v>
      </c>
      <c r="AC5" s="5">
        <v>10543.327904437283</v>
      </c>
      <c r="AD5" s="5">
        <v>11132.995726487057</v>
      </c>
    </row>
    <row r="6" spans="1:30">
      <c r="A6" t="s">
        <v>22</v>
      </c>
      <c r="B6" s="3">
        <f>(B4*0.18)</f>
        <v>14.399999999999999</v>
      </c>
      <c r="C6" t="s">
        <v>18</v>
      </c>
      <c r="I6">
        <v>500</v>
      </c>
      <c r="J6" s="3">
        <f t="shared" si="0"/>
        <v>10200</v>
      </c>
      <c r="Q6" s="3"/>
      <c r="S6" s="3">
        <f>(B4*0.16)</f>
        <v>12.8</v>
      </c>
      <c r="T6" s="5">
        <v>5870.4665215717487</v>
      </c>
      <c r="U6" s="5">
        <v>6555.9899496852959</v>
      </c>
      <c r="V6" s="5">
        <v>7239.0470785361213</v>
      </c>
      <c r="W6" s="5">
        <v>7920</v>
      </c>
      <c r="X6" s="5">
        <v>8599.130023446085</v>
      </c>
      <c r="Y6" s="5">
        <v>9276.6608594481113</v>
      </c>
      <c r="Z6" s="5">
        <v>9952.7738916792678</v>
      </c>
      <c r="AA6" s="5">
        <v>10627.61860629321</v>
      </c>
      <c r="AB6" s="5">
        <v>11301.319932913728</v>
      </c>
      <c r="AC6" s="5">
        <v>11973.983546494188</v>
      </c>
      <c r="AD6" s="5">
        <v>12645.699782357624</v>
      </c>
    </row>
    <row r="7" spans="1:30">
      <c r="A7" t="s">
        <v>23</v>
      </c>
      <c r="B7" s="1">
        <v>220</v>
      </c>
      <c r="C7" t="s">
        <v>24</v>
      </c>
      <c r="E7" s="2" t="s">
        <v>25</v>
      </c>
      <c r="G7" s="1"/>
      <c r="I7">
        <v>550</v>
      </c>
      <c r="J7" s="3">
        <f t="shared" si="0"/>
        <v>9960</v>
      </c>
      <c r="Q7" s="3"/>
      <c r="S7" s="3">
        <f>(B4*0.18)</f>
        <v>14.399999999999999</v>
      </c>
      <c r="T7" s="5">
        <v>6555.989949685295</v>
      </c>
      <c r="U7" s="5">
        <v>7324.2748367682161</v>
      </c>
      <c r="V7" s="5">
        <v>8089.9438184514784</v>
      </c>
      <c r="W7" s="5">
        <v>8853.3809511662421</v>
      </c>
      <c r="X7" s="5">
        <v>9614.8846085563146</v>
      </c>
      <c r="Y7" s="5">
        <v>10374.692071517264</v>
      </c>
      <c r="Z7" s="5">
        <v>11132.995726487054</v>
      </c>
      <c r="AA7" s="5">
        <v>11889.954127475095</v>
      </c>
      <c r="AB7" s="5">
        <v>12645.69978235762</v>
      </c>
      <c r="AC7" s="5">
        <v>13400.344776348822</v>
      </c>
      <c r="AD7" s="5">
        <v>14153.984924527942</v>
      </c>
    </row>
    <row r="8" spans="1:30">
      <c r="B8" s="4"/>
      <c r="E8" t="s">
        <v>26</v>
      </c>
      <c r="F8" t="s">
        <v>27</v>
      </c>
      <c r="G8" t="s">
        <v>28</v>
      </c>
      <c r="I8">
        <v>600</v>
      </c>
      <c r="J8" s="3">
        <f t="shared" si="0"/>
        <v>9820</v>
      </c>
      <c r="Q8" s="3"/>
      <c r="S8" s="3">
        <f>(B4*0.2)</f>
        <v>16</v>
      </c>
      <c r="T8" s="5">
        <v>7239.0470785361213</v>
      </c>
      <c r="U8" s="5">
        <v>8089.9438184514793</v>
      </c>
      <c r="V8" s="5">
        <v>8938.0831519646854</v>
      </c>
      <c r="W8" s="5">
        <v>9783.8699100999074</v>
      </c>
      <c r="X8" s="5">
        <v>10627.61860629321</v>
      </c>
      <c r="Y8" s="5">
        <v>11469.579356569675</v>
      </c>
      <c r="Z8" s="5">
        <v>12309.954954040928</v>
      </c>
      <c r="AA8" s="5">
        <v>13148.912529307605</v>
      </c>
      <c r="AB8" s="5">
        <v>13986.591757935306</v>
      </c>
      <c r="AC8" s="5">
        <v>14823.110788113652</v>
      </c>
      <c r="AD8" s="5">
        <v>15658.570617804182</v>
      </c>
    </row>
    <row r="9" spans="1:30">
      <c r="F9" s="4">
        <f>SQRT((2*B3*B7)/B6)</f>
        <v>677.00320038633004</v>
      </c>
      <c r="I9">
        <v>650</v>
      </c>
      <c r="J9" s="3">
        <f t="shared" si="0"/>
        <v>9756.923076923078</v>
      </c>
      <c r="Q9" s="3"/>
      <c r="S9" s="3">
        <f>(B4*0.22)</f>
        <v>17.600000000000001</v>
      </c>
      <c r="T9" s="5">
        <v>7920.0000000000009</v>
      </c>
      <c r="U9" s="5">
        <v>8853.3809511662439</v>
      </c>
      <c r="V9" s="5">
        <v>9783.8699100999074</v>
      </c>
      <c r="W9" s="5">
        <v>10711.891467161155</v>
      </c>
      <c r="X9" s="5">
        <v>11637.775486824597</v>
      </c>
      <c r="Y9" s="5">
        <v>12561.784292990415</v>
      </c>
      <c r="Z9" s="5">
        <v>13484.130576868421</v>
      </c>
      <c r="AA9" s="5">
        <v>14404.989626511368</v>
      </c>
      <c r="AB9" s="5">
        <v>15324.507934888326</v>
      </c>
      <c r="AC9" s="5">
        <v>16242.809416865968</v>
      </c>
      <c r="AD9" s="5">
        <v>17160</v>
      </c>
    </row>
    <row r="10" spans="1:30">
      <c r="I10">
        <v>700</v>
      </c>
      <c r="J10" s="3">
        <f t="shared" si="0"/>
        <v>9754.2857142857138</v>
      </c>
      <c r="Q10" s="3"/>
      <c r="S10" s="3">
        <f>(B4*0.24)</f>
        <v>19.2</v>
      </c>
      <c r="T10" s="5">
        <v>8599.130023446085</v>
      </c>
      <c r="U10" s="5">
        <v>9614.8846085563146</v>
      </c>
      <c r="V10" s="5">
        <v>10627.61860629321</v>
      </c>
      <c r="W10" s="5">
        <v>11637.775486824597</v>
      </c>
      <c r="X10" s="5">
        <v>12645.699782357624</v>
      </c>
      <c r="Y10" s="5">
        <v>13651.665481270145</v>
      </c>
      <c r="Z10" s="5">
        <v>14655.894732285653</v>
      </c>
      <c r="AA10" s="5">
        <v>15658.570617804182</v>
      </c>
      <c r="AB10" s="5">
        <v>16659.846144741754</v>
      </c>
      <c r="AC10" s="5">
        <v>17659.850737955538</v>
      </c>
      <c r="AD10" s="5">
        <v>18658.695035169127</v>
      </c>
    </row>
    <row r="11" spans="1:30">
      <c r="B11" s="1"/>
      <c r="E11" t="s">
        <v>8</v>
      </c>
      <c r="F11" s="3">
        <f>B3*B6</f>
        <v>215999.99999999997</v>
      </c>
      <c r="G11" s="4"/>
      <c r="I11">
        <v>750</v>
      </c>
      <c r="J11" s="3">
        <f t="shared" si="0"/>
        <v>9800</v>
      </c>
      <c r="Q11" s="3"/>
      <c r="S11" s="3">
        <f>(B4*0.26)</f>
        <v>20.8</v>
      </c>
      <c r="T11" s="5">
        <v>9276.6608594481113</v>
      </c>
      <c r="U11" s="5">
        <v>10374.692071517266</v>
      </c>
      <c r="V11" s="5">
        <v>11469.579356569675</v>
      </c>
      <c r="W11" s="5">
        <v>12561.784292990413</v>
      </c>
      <c r="X11" s="5">
        <v>13651.665481270145</v>
      </c>
      <c r="Y11" s="5">
        <v>14739.508097554091</v>
      </c>
      <c r="Z11" s="5">
        <v>15825.543361564511</v>
      </c>
      <c r="AA11" s="5">
        <v>16909.961831505025</v>
      </c>
      <c r="AB11" s="5">
        <v>17992.922762023019</v>
      </c>
      <c r="AC11" s="5">
        <v>19074.560862780825</v>
      </c>
      <c r="AD11" s="5">
        <v>20154.991289172169</v>
      </c>
    </row>
    <row r="12" spans="1:30">
      <c r="E12" t="s">
        <v>14</v>
      </c>
      <c r="F12" s="1">
        <f>(B3 * B7) / F9</f>
        <v>4874.4230427815764</v>
      </c>
      <c r="I12">
        <v>800</v>
      </c>
      <c r="J12" s="3">
        <f t="shared" si="0"/>
        <v>9885</v>
      </c>
      <c r="Q12" s="3"/>
      <c r="S12" s="3">
        <f>(B4*0.28)</f>
        <v>22.400000000000002</v>
      </c>
      <c r="T12" s="5">
        <v>9952.7738916792696</v>
      </c>
      <c r="U12" s="5">
        <v>11132.995726487057</v>
      </c>
      <c r="V12" s="5">
        <v>12309.95495404093</v>
      </c>
      <c r="W12" s="5">
        <v>13484.130576868421</v>
      </c>
      <c r="X12" s="5">
        <v>14655.894732285655</v>
      </c>
      <c r="Y12" s="5">
        <v>15825.543361564512</v>
      </c>
      <c r="Z12" s="5">
        <v>16993.316412750562</v>
      </c>
      <c r="AA12" s="5">
        <v>18159.411637437315</v>
      </c>
      <c r="AB12" s="5">
        <v>19323.994301982741</v>
      </c>
      <c r="AC12" s="5">
        <v>20487.204201210043</v>
      </c>
      <c r="AD12" s="5">
        <v>21649.160837518906</v>
      </c>
    </row>
    <row r="13" spans="1:30">
      <c r="E13" t="s">
        <v>19</v>
      </c>
      <c r="F13" s="3">
        <f>F11+F12</f>
        <v>220874.42304278153</v>
      </c>
      <c r="I13">
        <v>850</v>
      </c>
      <c r="J13" s="3">
        <f t="shared" si="0"/>
        <v>10002.35294117647</v>
      </c>
      <c r="Q13" s="3"/>
      <c r="S13" s="3">
        <f>(B4*0.3)</f>
        <v>24</v>
      </c>
      <c r="T13" s="5">
        <v>10627.61860629321</v>
      </c>
      <c r="U13" s="5">
        <v>11889.954127475097</v>
      </c>
      <c r="V13" s="5">
        <v>13148.912529307607</v>
      </c>
      <c r="W13" s="5">
        <v>14404.989626511366</v>
      </c>
      <c r="X13" s="5">
        <v>15658.570617804182</v>
      </c>
      <c r="Y13" s="5">
        <v>16909.961831505025</v>
      </c>
      <c r="Z13" s="5">
        <v>18159.411637437315</v>
      </c>
      <c r="AA13" s="5">
        <v>19407.12472794703</v>
      </c>
      <c r="AB13" s="5">
        <v>20653.272169966796</v>
      </c>
      <c r="AC13" s="5">
        <v>21897.998664885919</v>
      </c>
      <c r="AD13" s="5">
        <v>23141.427909439815</v>
      </c>
    </row>
    <row r="14" spans="1:30">
      <c r="I14">
        <v>900</v>
      </c>
      <c r="J14" s="3">
        <f t="shared" si="0"/>
        <v>10146.666666666668</v>
      </c>
      <c r="R14" s="3"/>
    </row>
    <row r="15" spans="1:30">
      <c r="H15" s="2" t="s">
        <v>29</v>
      </c>
      <c r="I15" t="s">
        <v>5</v>
      </c>
      <c r="J15" s="3" t="s">
        <v>30</v>
      </c>
    </row>
    <row r="16" spans="1:30">
      <c r="I16">
        <v>677.00320044000534</v>
      </c>
      <c r="J16" s="3">
        <f t="shared" si="0"/>
        <v>9748.8460855631529</v>
      </c>
    </row>
    <row r="17" spans="9:10">
      <c r="I17" s="3"/>
      <c r="J17" s="3"/>
    </row>
    <row r="18" spans="9:10">
      <c r="J18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EF013FA7CFDC43BFF299263F39E2D3" ma:contentTypeVersion="8" ma:contentTypeDescription="Create a new document." ma:contentTypeScope="" ma:versionID="ebe83211bdd26913ca98ae911ce99606">
  <xsd:schema xmlns:xsd="http://www.w3.org/2001/XMLSchema" xmlns:xs="http://www.w3.org/2001/XMLSchema" xmlns:p="http://schemas.microsoft.com/office/2006/metadata/properties" xmlns:ns3="5b9d920d-9282-4543-ab94-211420538ddd" xmlns:ns4="12944c20-9e1a-4675-9112-9b3793e9e75a" targetNamespace="http://schemas.microsoft.com/office/2006/metadata/properties" ma:root="true" ma:fieldsID="9e681f98c51f7de2f4e618252ea6c1fe" ns3:_="" ns4:_="">
    <xsd:import namespace="5b9d920d-9282-4543-ab94-211420538ddd"/>
    <xsd:import namespace="12944c20-9e1a-4675-9112-9b3793e9e7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d920d-9282-4543-ab94-211420538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44c20-9e1a-4675-9112-9b3793e9e75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b9d920d-9282-4543-ab94-211420538ddd" xsi:nil="true"/>
  </documentManagement>
</p:properties>
</file>

<file path=customXml/itemProps1.xml><?xml version="1.0" encoding="utf-8"?>
<ds:datastoreItem xmlns:ds="http://schemas.openxmlformats.org/officeDocument/2006/customXml" ds:itemID="{4CC69E9D-280C-478E-AB4B-A25C884D57A0}"/>
</file>

<file path=customXml/itemProps2.xml><?xml version="1.0" encoding="utf-8"?>
<ds:datastoreItem xmlns:ds="http://schemas.openxmlformats.org/officeDocument/2006/customXml" ds:itemID="{18AC391A-D50A-40F7-AA82-8CF9875A4CF9}"/>
</file>

<file path=customXml/itemProps3.xml><?xml version="1.0" encoding="utf-8"?>
<ds:datastoreItem xmlns:ds="http://schemas.openxmlformats.org/officeDocument/2006/customXml" ds:itemID="{0D4D0888-28FC-489D-B918-A0DCEE687550}"/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2024-03-21T19:49:49Z</dcterms:created>
  <dcterms:modified xsi:type="dcterms:W3CDTF">2024-03-25T07:09:48Z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0x0101003BEF013FA7CFDC43BFF299263F39E2D3</vt:lpwstr>
  </property>
</Properties>
</file>