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/>
  <mc:AlternateContent xmlns:mc="http://schemas.openxmlformats.org/markup-compatibility/2006">
    <mc:Choice Requires="x15">
      <x15ac:absPath xmlns:x15ac="http://schemas.microsoft.com/office/spreadsheetml/2010/11/ac" url="https://northeastern-my.sharepoint.com/personal/mclean_se_northeastern_edu/Documents/"/>
    </mc:Choice>
  </mc:AlternateContent>
  <xr:revisionPtr revIDLastSave="1" documentId="8_{A89C8FAE-B459-4347-AC91-AC87935C5077}" xr6:coauthVersionLast="47" xr6:coauthVersionMax="47" xr10:uidLastSave="{8B5A7FF6-1763-499B-9693-57DA3E6AB542}"/>
  <bookViews>
    <workbookView xWindow="-110" yWindow="-110" windowWidth="19420" windowHeight="10300" activeTab="3" xr2:uid="{00000000-000D-0000-FFFF-FFFF00000000}"/>
  </bookViews>
  <sheets>
    <sheet name="Sensitivity Report 1" sheetId="2" r:id="rId1"/>
    <sheet name="Answer Report 1" sheetId="3" r:id="rId2"/>
    <sheet name="Limits Report 1" sheetId="4" r:id="rId3"/>
    <sheet name="Sheet1" sheetId="1" r:id="rId4"/>
  </sheets>
  <definedNames>
    <definedName name="solver_adj" localSheetId="3" hidden="1">Sheet1!$B$2:$B$5</definedName>
    <definedName name="solver_cvg" localSheetId="3" hidden="1">0.0001</definedName>
    <definedName name="solver_drv" localSheetId="3" hidden="1">1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1" localSheetId="3" hidden="1">Sheet1!$B$13</definedName>
    <definedName name="solver_lhs2" localSheetId="3" hidden="1">Sheet1!$B$14</definedName>
    <definedName name="solver_lhs3" localSheetId="3" hidden="1">Sheet1!$B$15</definedName>
    <definedName name="solver_lhs4" localSheetId="3" hidden="1">Sheet1!$B$16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4</definedName>
    <definedName name="solver_nwt" localSheetId="3" hidden="1">1</definedName>
    <definedName name="solver_opt" localSheetId="3" hidden="1">Sheet1!$B$9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2" localSheetId="3" hidden="1">3</definedName>
    <definedName name="solver_rel3" localSheetId="3" hidden="1">3</definedName>
    <definedName name="solver_rel4" localSheetId="3" hidden="1">1</definedName>
    <definedName name="solver_rhs1" localSheetId="3" hidden="1">Sheet1!$D$13</definedName>
    <definedName name="solver_rhs2" localSheetId="3" hidden="1">Sheet1!$D$14</definedName>
    <definedName name="solver_rhs3" localSheetId="3" hidden="1">Sheet1!$D$15</definedName>
    <definedName name="solver_rhs4" localSheetId="3" hidden="1">Sheet1!$D$16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2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B16" i="1"/>
  <c r="B15" i="1"/>
  <c r="D16" i="1"/>
  <c r="F5" i="1"/>
  <c r="F4" i="1"/>
  <c r="F3" i="1"/>
  <c r="F2" i="1"/>
  <c r="D5" i="1"/>
  <c r="D14" i="1" l="1"/>
  <c r="B13" i="1"/>
  <c r="B14" i="1"/>
  <c r="B9" i="1"/>
</calcChain>
</file>

<file path=xl/sharedStrings.xml><?xml version="1.0" encoding="utf-8"?>
<sst xmlns="http://schemas.openxmlformats.org/spreadsheetml/2006/main" count="142" uniqueCount="73">
  <si>
    <t>Variables</t>
  </si>
  <si>
    <t>x1</t>
  </si>
  <si>
    <t>x2</t>
  </si>
  <si>
    <t>x3</t>
  </si>
  <si>
    <t>Objective</t>
  </si>
  <si>
    <t>Maximize</t>
  </si>
  <si>
    <t>Constraints</t>
  </si>
  <si>
    <t>Inequality</t>
  </si>
  <si>
    <t>RHS</t>
  </si>
  <si>
    <t>&lt;=</t>
  </si>
  <si>
    <t>&gt;=</t>
  </si>
  <si>
    <t>x4</t>
  </si>
  <si>
    <t>Costs</t>
  </si>
  <si>
    <t>Profit</t>
  </si>
  <si>
    <t>Microsoft Excel 16.0 Sensitivity Report</t>
  </si>
  <si>
    <t>Worksheet: [Book 5.xlsx]Sheet1</t>
  </si>
  <si>
    <t>Report Created: 3/26/2024 12:18:47 PM</t>
  </si>
  <si>
    <t>Variable Cells</t>
  </si>
  <si>
    <t>Cell</t>
  </si>
  <si>
    <t>Name</t>
  </si>
  <si>
    <t>Final</t>
  </si>
  <si>
    <t>Value</t>
  </si>
  <si>
    <t>Reduced</t>
  </si>
  <si>
    <t>Cost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</si>
  <si>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</si>
  <si>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</si>
  <si>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</si>
  <si>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</si>
  <si>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</si>
  <si>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</si>
  <si>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</si>
  <si>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</si>
  <si>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$B$2</t>
  </si>
  <si>
    <t>$B$3</t>
  </si>
  <si>
    <t>$B$4</t>
  </si>
  <si>
    <t>$B$5</t>
  </si>
  <si>
    <t>$B$13</t>
  </si>
  <si>
    <t>$B$14</t>
  </si>
  <si>
    <t>$B$15</t>
  </si>
  <si>
    <t>$B$16</t>
  </si>
  <si>
    <t>Microsoft Excel 16.0 Answer Report</t>
  </si>
  <si>
    <t>Report Created: 3/26/2024 12:46:36 PM</t>
  </si>
  <si>
    <t>Result: Solver found a solution.  All Constraints and optimality conditions are satisfied.</t>
  </si>
  <si>
    <t>Solver Engine</t>
  </si>
  <si>
    <t>Engine: Simplex LP</t>
  </si>
  <si>
    <t>Solution Time: 0.031 Seconds.</t>
  </si>
  <si>
    <t>Iterations: 4 Subproblems: 0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</si>
  <si>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</si>
  <si>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</si>
  <si>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</si>
  <si>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(Max)</t>
  </si>
  <si>
    <t>Original Value</t>
  </si>
  <si>
    <t>Final Value</t>
  </si>
  <si>
    <t>Integer</t>
  </si>
  <si>
    <t>Cell Value</t>
  </si>
  <si>
    <t>Formula</t>
  </si>
  <si>
    <t>Status</t>
  </si>
  <si>
    <t>Slack</t>
  </si>
  <si>
    <t>$B$9</t>
  </si>
  <si>
    <t>Contin</t>
  </si>
  <si>
    <t>$B$13&lt;=$D$13</t>
  </si>
  <si>
    <t>Binding</t>
  </si>
  <si>
    <t>$B$14&gt;=$D$14</t>
  </si>
  <si>
    <t>$B$15&gt;=$D$15</t>
  </si>
  <si>
    <t>Not Binding</t>
  </si>
  <si>
    <t>$B$16&lt;=$D$16</t>
  </si>
  <si>
    <t>Microsoft Excel 16.0 Limits Report</t>
  </si>
  <si>
    <t>Report Created: 3/26/2024 12:47:09 PM</t>
  </si>
  <si>
    <t>Variable</t>
  </si>
  <si>
    <t>Lower</t>
  </si>
  <si>
    <t>Limit</t>
  </si>
  <si>
    <t>Result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</si>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</sst>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1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1" fillId="2" borderId="0" xfId="1"/>
    <xf numFmtId="0" fontId="2" fillId="0" borderId="0" xfId="0" applyFont="1"/>
    <xf numFmtId="0" fontId="0" fillId="0" borderId="3" xfId="0" applyFill="1" applyBorder="1" applyAlignment="1"/>
    <xf numFmtId="0" fontId="0" fillId="0" borderId="4" xfId="0" applyFill="1" applyBorder="1" applyAlignment="1"/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0" fillId="0" borderId="4" xfId="0" applyNumberFormat="1" applyFill="1" applyBorder="1" applyAlignment="1"/>
    <xf numFmtId="0" fontId="0" fillId="0" borderId="3" xfId="0" applyNumberFormat="1" applyFill="1" applyBorder="1" applyAlignment="1"/>
    <xf numFmtId="11" fontId="0" fillId="0" borderId="3" xfId="0" applyNumberFormat="1" applyFill="1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B95C5-A2EA-4A7E-8B45-B9F2CDA41302}">
  <dimension ref="A1:H20"/>
  <sheetViews>
    <sheetView showGridLines="0" topLeftCell="A4" workbookViewId="0">
      <selection activeCell="E23" sqref="E23"/>
    </sheetView>
  </sheetViews>
  <sheetFormatPr defaultRowHeight="14.5" x14ac:dyDescent="0.35"/>
  <cols>
    <col min="1" max="1" width="2.1796875" customWidth="1"/>
    <col min="2" max="2" width="5.90625" bestFit="1" customWidth="1"/>
    <col min="3" max="3" width="5.7265625" bestFit="1" customWidth="1"/>
    <col min="4" max="4" width="11.81640625" bestFit="1" customWidth="1"/>
    <col min="5" max="5" width="12.453125" bestFit="1" customWidth="1"/>
    <col min="6" max="6" width="10.1796875" bestFit="1" customWidth="1"/>
    <col min="7" max="8" width="11.81640625" bestFit="1" customWidth="1"/>
  </cols>
  <sheetData>
    <row r="1" spans="1:8" x14ac:dyDescent="0.35">
      <c r="A1" s="2" t="s">
        <v>14</v>
      </c>
    </row>
    <row r="2" spans="1:8" x14ac:dyDescent="0.35">
      <c r="A2" s="2" t="s">
        <v>15</v>
      </c>
    </row>
    <row r="3" spans="1:8" x14ac:dyDescent="0.35">
      <c r="A3" s="2" t="s">
        <v>16</v>
      </c>
    </row>
    <row r="6" spans="1:8" ht="15" thickBot="1" x14ac:dyDescent="0.4">
      <c r="A6" t="s">
        <v>17</v>
      </c>
    </row>
    <row r="7" spans="1:8" x14ac:dyDescent="0.35">
      <c r="B7" s="5"/>
      <c r="C7" s="5"/>
      <c r="D7" s="5" t="s">
        <v>20</v>
      </c>
      <c r="E7" s="5" t="s">
        <v>22</v>
      </c>
      <c r="F7" s="5" t="s">
        <v>4</v>
      </c>
      <c r="G7" s="5" t="s">
        <v>25</v>
      </c>
      <c r="H7" s="5" t="s">
        <v>25</v>
      </c>
    </row>
    <row r="8" spans="1:8" ht="15" thickBot="1" x14ac:dyDescent="0.4">
      <c r="B8" s="6" t="s">
        <v>18</v>
      </c>
      <c r="C8" s="6" t="s">
        <v>19</v>
      </c>
      <c r="D8" s="6" t="s">
        <v>21</v>
      </c>
      <c r="E8" s="6" t="s">
        <v>23</v>
      </c>
      <c r="F8" s="6" t="s">
        <v>24</v>
      </c>
      <c r="G8" s="6" t="s">
        <v>26</v>
      </c>
      <c r="H8" s="6" t="s">
        <v>27</v>
      </c>
    </row>
    <row r="9" spans="1:8" x14ac:dyDescent="0.35">
      <c r="B9" s="3" t="s">
        <v>32</v>
      </c>
      <c r="C9" s="3" t="s">
        <v>1</v>
      </c>
      <c r="D9" s="3">
        <v>0</v>
      </c>
      <c r="E9" s="10">
        <v>-1.4210854715202001E-14</v>
      </c>
      <c r="F9" s="3">
        <v>169.99</v>
      </c>
      <c r="G9" s="10">
        <v>1.4210854715202001E-14</v>
      </c>
      <c r="H9" s="10">
        <v>1E+30</v>
      </c>
    </row>
    <row r="10" spans="1:8" x14ac:dyDescent="0.35">
      <c r="B10" s="3" t="s">
        <v>33</v>
      </c>
      <c r="C10" s="3" t="s">
        <v>2</v>
      </c>
      <c r="D10" s="3">
        <v>0.80332231450873637</v>
      </c>
      <c r="E10" s="3">
        <v>0</v>
      </c>
      <c r="F10" s="3">
        <v>359.99</v>
      </c>
      <c r="G10" s="3">
        <v>1.9983459331740506E-14</v>
      </c>
      <c r="H10" s="3">
        <v>3.009450902362238E-14</v>
      </c>
    </row>
    <row r="11" spans="1:8" x14ac:dyDescent="0.35">
      <c r="B11" s="3" t="s">
        <v>34</v>
      </c>
      <c r="C11" s="3" t="s">
        <v>3</v>
      </c>
      <c r="D11" s="3">
        <v>394.91176577709268</v>
      </c>
      <c r="E11" s="3">
        <v>0</v>
      </c>
      <c r="F11" s="3">
        <v>290.99</v>
      </c>
      <c r="G11" s="3">
        <v>280.97000000000003</v>
      </c>
      <c r="H11" s="3">
        <v>0</v>
      </c>
    </row>
    <row r="12" spans="1:8" ht="15" thickBot="1" x14ac:dyDescent="0.4">
      <c r="B12" s="4" t="s">
        <v>35</v>
      </c>
      <c r="C12" s="4" t="s">
        <v>11</v>
      </c>
      <c r="D12" s="4">
        <v>383.21167407877323</v>
      </c>
      <c r="E12" s="4">
        <v>0</v>
      </c>
      <c r="F12" s="4">
        <v>142.99</v>
      </c>
      <c r="G12" s="4">
        <v>0</v>
      </c>
      <c r="H12" s="4">
        <v>70.242500000000007</v>
      </c>
    </row>
    <row r="14" spans="1:8" ht="15" thickBot="1" x14ac:dyDescent="0.4">
      <c r="A14" t="s">
        <v>6</v>
      </c>
    </row>
    <row r="15" spans="1:8" x14ac:dyDescent="0.35">
      <c r="B15" s="5"/>
      <c r="C15" s="5"/>
      <c r="D15" s="5" t="s">
        <v>20</v>
      </c>
      <c r="E15" s="5" t="s">
        <v>28</v>
      </c>
      <c r="F15" s="5" t="s">
        <v>30</v>
      </c>
      <c r="G15" s="5" t="s">
        <v>25</v>
      </c>
      <c r="H15" s="5" t="s">
        <v>25</v>
      </c>
    </row>
    <row r="16" spans="1:8" ht="15" thickBot="1" x14ac:dyDescent="0.4">
      <c r="B16" s="6" t="s">
        <v>18</v>
      </c>
      <c r="C16" s="6" t="s">
        <v>19</v>
      </c>
      <c r="D16" s="6" t="s">
        <v>21</v>
      </c>
      <c r="E16" s="6" t="s">
        <v>29</v>
      </c>
      <c r="F16" s="6" t="s">
        <v>31</v>
      </c>
      <c r="G16" s="6" t="s">
        <v>26</v>
      </c>
      <c r="H16" s="6" t="s">
        <v>27</v>
      </c>
    </row>
    <row r="17" spans="2:8" x14ac:dyDescent="0.35">
      <c r="B17" s="3" t="s">
        <v>36</v>
      </c>
      <c r="C17" s="3"/>
      <c r="D17" s="3">
        <v>169999.99999999997</v>
      </c>
      <c r="E17" s="3">
        <v>0.99999999999999989</v>
      </c>
      <c r="F17" s="3">
        <v>170000</v>
      </c>
      <c r="G17" s="3">
        <v>110958.35883038977</v>
      </c>
      <c r="H17" s="3">
        <v>26437.307989971625</v>
      </c>
    </row>
    <row r="18" spans="2:8" x14ac:dyDescent="0.35">
      <c r="B18" s="3" t="s">
        <v>37</v>
      </c>
      <c r="C18" s="3"/>
      <c r="D18" s="3">
        <v>289.18799999999999</v>
      </c>
      <c r="E18" s="3">
        <v>-5.5511151231257827E-17</v>
      </c>
      <c r="F18" s="3">
        <v>289.18799999999999</v>
      </c>
      <c r="G18" s="3">
        <v>71952.062331984751</v>
      </c>
      <c r="H18" s="3">
        <v>289.18799999999999</v>
      </c>
    </row>
    <row r="19" spans="2:8" x14ac:dyDescent="0.35">
      <c r="B19" s="3" t="s">
        <v>38</v>
      </c>
      <c r="C19" s="3"/>
      <c r="D19" s="3">
        <v>54795.437276523786</v>
      </c>
      <c r="E19" s="3">
        <v>0</v>
      </c>
      <c r="F19" s="3">
        <v>0</v>
      </c>
      <c r="G19" s="3">
        <v>54005.613744969603</v>
      </c>
      <c r="H19" s="3">
        <v>1E+30</v>
      </c>
    </row>
    <row r="20" spans="2:8" ht="15" thickBot="1" x14ac:dyDescent="0.4">
      <c r="B20" s="4" t="s">
        <v>39</v>
      </c>
      <c r="C20" s="4"/>
      <c r="D20" s="4">
        <v>12300</v>
      </c>
      <c r="E20" s="4">
        <v>0</v>
      </c>
      <c r="F20" s="4">
        <v>12300</v>
      </c>
      <c r="G20" s="4">
        <v>2263.7080271045388</v>
      </c>
      <c r="H20" s="4">
        <v>4849.9177752985242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18A1-8DEF-4119-9AD9-7B1C68F21C11}">
  <dimension ref="A1:G32"/>
  <sheetViews>
    <sheetView showGridLines="0" workbookViewId="0"/>
  </sheetViews>
  <sheetFormatPr defaultRowHeight="14.5" x14ac:dyDescent="0.35"/>
  <cols>
    <col min="1" max="1" width="2.1796875" customWidth="1"/>
    <col min="2" max="2" width="5.90625" bestFit="1" customWidth="1"/>
    <col min="3" max="3" width="8.36328125" bestFit="1" customWidth="1"/>
    <col min="4" max="4" width="12.453125" bestFit="1" customWidth="1"/>
    <col min="5" max="5" width="13.26953125" bestFit="1" customWidth="1"/>
    <col min="6" max="6" width="10" bestFit="1" customWidth="1"/>
    <col min="7" max="7" width="11.81640625" bestFit="1" customWidth="1"/>
  </cols>
  <sheetData>
    <row r="1" spans="1:5" x14ac:dyDescent="0.35">
      <c r="A1" s="2" t="s">
        <v>40</v>
      </c>
    </row>
    <row r="2" spans="1:5" x14ac:dyDescent="0.35">
      <c r="A2" s="2" t="s">
        <v>15</v>
      </c>
    </row>
    <row r="3" spans="1:5" x14ac:dyDescent="0.35">
      <c r="A3" s="2" t="s">
        <v>41</v>
      </c>
    </row>
    <row r="4" spans="1:5" x14ac:dyDescent="0.35">
      <c r="A4" s="2" t="s">
        <v>42</v>
      </c>
    </row>
    <row r="5" spans="1:5" x14ac:dyDescent="0.35">
      <c r="A5" s="2" t="s">
        <v>43</v>
      </c>
    </row>
    <row r="6" spans="1:5" x14ac:dyDescent="0.35">
      <c r="A6" s="2"/>
      <c r="B6" t="s">
        <v>44</v>
      </c>
    </row>
    <row r="7" spans="1:5" x14ac:dyDescent="0.35">
      <c r="A7" s="2"/>
      <c r="B7" t="s">
        <v>45</v>
      </c>
    </row>
    <row r="8" spans="1:5" x14ac:dyDescent="0.35">
      <c r="A8" s="2"/>
      <c r="B8" t="s">
        <v>46</v>
      </c>
    </row>
    <row r="9" spans="1:5" x14ac:dyDescent="0.35">
      <c r="A9" s="2" t="s">
        <v>47</v>
      </c>
    </row>
    <row r="10" spans="1:5" x14ac:dyDescent="0.35">
      <c r="B10" t="s">
        <v>48</v>
      </c>
    </row>
    <row r="11" spans="1:5" x14ac:dyDescent="0.35">
      <c r="B11" t="s">
        <v>49</v>
      </c>
    </row>
    <row r="14" spans="1:5" ht="15" thickBot="1" x14ac:dyDescent="0.4">
      <c r="A14" t="s">
        <v>50</v>
      </c>
    </row>
    <row r="15" spans="1:5" ht="15" thickBot="1" x14ac:dyDescent="0.4">
      <c r="B15" s="7" t="s">
        <v>18</v>
      </c>
      <c r="C15" s="7" t="s">
        <v>19</v>
      </c>
      <c r="D15" s="7" t="s">
        <v>51</v>
      </c>
      <c r="E15" s="7" t="s">
        <v>52</v>
      </c>
    </row>
    <row r="16" spans="1:5" ht="15" thickBot="1" x14ac:dyDescent="0.4">
      <c r="B16" s="4" t="s">
        <v>58</v>
      </c>
      <c r="C16" s="4" t="s">
        <v>5</v>
      </c>
      <c r="D16" s="8">
        <v>169999.99999999997</v>
      </c>
      <c r="E16" s="8">
        <v>169999.99999999997</v>
      </c>
    </row>
    <row r="19" spans="1:7" ht="15" thickBot="1" x14ac:dyDescent="0.4">
      <c r="A19" t="s">
        <v>17</v>
      </c>
    </row>
    <row r="20" spans="1:7" ht="15" thickBot="1" x14ac:dyDescent="0.4">
      <c r="B20" s="7" t="s">
        <v>18</v>
      </c>
      <c r="C20" s="7" t="s">
        <v>19</v>
      </c>
      <c r="D20" s="7" t="s">
        <v>51</v>
      </c>
      <c r="E20" s="7" t="s">
        <v>52</v>
      </c>
      <c r="F20" s="7" t="s">
        <v>53</v>
      </c>
    </row>
    <row r="21" spans="1:7" x14ac:dyDescent="0.35">
      <c r="B21" s="3" t="s">
        <v>32</v>
      </c>
      <c r="C21" s="3" t="s">
        <v>1</v>
      </c>
      <c r="D21" s="9">
        <v>0</v>
      </c>
      <c r="E21" s="9">
        <v>0</v>
      </c>
      <c r="F21" s="3" t="s">
        <v>59</v>
      </c>
    </row>
    <row r="22" spans="1:7" x14ac:dyDescent="0.35">
      <c r="B22" s="3" t="s">
        <v>33</v>
      </c>
      <c r="C22" s="3" t="s">
        <v>2</v>
      </c>
      <c r="D22" s="9">
        <v>0.80332231450873637</v>
      </c>
      <c r="E22" s="9">
        <v>0.80332231450873637</v>
      </c>
      <c r="F22" s="3" t="s">
        <v>59</v>
      </c>
    </row>
    <row r="23" spans="1:7" x14ac:dyDescent="0.35">
      <c r="B23" s="3" t="s">
        <v>34</v>
      </c>
      <c r="C23" s="3" t="s">
        <v>3</v>
      </c>
      <c r="D23" s="9">
        <v>394.91176577709268</v>
      </c>
      <c r="E23" s="9">
        <v>394.91176577709268</v>
      </c>
      <c r="F23" s="3" t="s">
        <v>59</v>
      </c>
    </row>
    <row r="24" spans="1:7" ht="15" thickBot="1" x14ac:dyDescent="0.4">
      <c r="B24" s="4" t="s">
        <v>35</v>
      </c>
      <c r="C24" s="4" t="s">
        <v>11</v>
      </c>
      <c r="D24" s="8">
        <v>383.21167407877323</v>
      </c>
      <c r="E24" s="8">
        <v>383.21167407877323</v>
      </c>
      <c r="F24" s="4" t="s">
        <v>59</v>
      </c>
    </row>
    <row r="27" spans="1:7" ht="15" thickBot="1" x14ac:dyDescent="0.4">
      <c r="A27" t="s">
        <v>6</v>
      </c>
    </row>
    <row r="28" spans="1:7" ht="15" thickBot="1" x14ac:dyDescent="0.4">
      <c r="B28" s="7" t="s">
        <v>18</v>
      </c>
      <c r="C28" s="7" t="s">
        <v>19</v>
      </c>
      <c r="D28" s="7" t="s">
        <v>54</v>
      </c>
      <c r="E28" s="7" t="s">
        <v>55</v>
      </c>
      <c r="F28" s="7" t="s">
        <v>56</v>
      </c>
      <c r="G28" s="7" t="s">
        <v>57</v>
      </c>
    </row>
    <row r="29" spans="1:7" x14ac:dyDescent="0.35">
      <c r="B29" s="3" t="s">
        <v>36</v>
      </c>
      <c r="C29" s="3"/>
      <c r="D29" s="9">
        <v>169999.99999999997</v>
      </c>
      <c r="E29" s="3" t="s">
        <v>60</v>
      </c>
      <c r="F29" s="3" t="s">
        <v>61</v>
      </c>
      <c r="G29" s="3">
        <v>0</v>
      </c>
    </row>
    <row r="30" spans="1:7" x14ac:dyDescent="0.35">
      <c r="B30" s="3" t="s">
        <v>37</v>
      </c>
      <c r="C30" s="3"/>
      <c r="D30" s="9">
        <v>289.18799999999999</v>
      </c>
      <c r="E30" s="3" t="s">
        <v>62</v>
      </c>
      <c r="F30" s="3" t="s">
        <v>61</v>
      </c>
      <c r="G30" s="9">
        <v>0</v>
      </c>
    </row>
    <row r="31" spans="1:7" x14ac:dyDescent="0.35">
      <c r="B31" s="3" t="s">
        <v>38</v>
      </c>
      <c r="C31" s="3"/>
      <c r="D31" s="9">
        <v>54795.437276523786</v>
      </c>
      <c r="E31" s="3" t="s">
        <v>63</v>
      </c>
      <c r="F31" s="3" t="s">
        <v>64</v>
      </c>
      <c r="G31" s="9">
        <v>54005.613744969603</v>
      </c>
    </row>
    <row r="32" spans="1:7" ht="15" thickBot="1" x14ac:dyDescent="0.4">
      <c r="B32" s="4" t="s">
        <v>39</v>
      </c>
      <c r="C32" s="4"/>
      <c r="D32" s="8">
        <v>12300</v>
      </c>
      <c r="E32" s="4" t="s">
        <v>65</v>
      </c>
      <c r="F32" s="4" t="s">
        <v>61</v>
      </c>
      <c r="G32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E860-3C8B-4915-B194-4A44E37B53A1}">
  <dimension ref="A1:J16"/>
  <sheetViews>
    <sheetView showGridLines="0" workbookViewId="0"/>
  </sheetViews>
  <sheetFormatPr defaultRowHeight="14.5" x14ac:dyDescent="0.35"/>
  <cols>
    <col min="1" max="1" width="2.1796875" customWidth="1"/>
    <col min="2" max="2" width="4.90625" bestFit="1" customWidth="1"/>
    <col min="3" max="3" width="8.81640625" bestFit="1" customWidth="1"/>
    <col min="4" max="4" width="11.81640625" bestFit="1" customWidth="1"/>
    <col min="5" max="5" width="2.1796875" customWidth="1"/>
    <col min="6" max="7" width="11.81640625" bestFit="1" customWidth="1"/>
    <col min="8" max="8" width="2.1796875" customWidth="1"/>
    <col min="9" max="9" width="11.81640625" bestFit="1" customWidth="1"/>
    <col min="10" max="10" width="8.81640625" bestFit="1" customWidth="1"/>
  </cols>
  <sheetData>
    <row r="1" spans="1:10" x14ac:dyDescent="0.35">
      <c r="A1" s="2" t="s">
        <v>66</v>
      </c>
    </row>
    <row r="2" spans="1:10" x14ac:dyDescent="0.35">
      <c r="A2" s="2" t="s">
        <v>15</v>
      </c>
    </row>
    <row r="3" spans="1:10" x14ac:dyDescent="0.35">
      <c r="A3" s="2" t="s">
        <v>67</v>
      </c>
    </row>
    <row r="5" spans="1:10" ht="15" thickBot="1" x14ac:dyDescent="0.4"/>
    <row r="6" spans="1:10" x14ac:dyDescent="0.35">
      <c r="B6" s="5"/>
      <c r="C6" s="5" t="s">
        <v>4</v>
      </c>
      <c r="D6" s="5"/>
    </row>
    <row r="7" spans="1:10" ht="15" thickBot="1" x14ac:dyDescent="0.4">
      <c r="B7" s="6" t="s">
        <v>18</v>
      </c>
      <c r="C7" s="6" t="s">
        <v>19</v>
      </c>
      <c r="D7" s="6" t="s">
        <v>21</v>
      </c>
    </row>
    <row r="8" spans="1:10" ht="15" thickBot="1" x14ac:dyDescent="0.4">
      <c r="B8" s="4" t="s">
        <v>58</v>
      </c>
      <c r="C8" s="4" t="s">
        <v>5</v>
      </c>
      <c r="D8" s="8">
        <v>169999.99999999997</v>
      </c>
    </row>
    <row r="10" spans="1:10" ht="15" thickBot="1" x14ac:dyDescent="0.4"/>
    <row r="11" spans="1:10" x14ac:dyDescent="0.35">
      <c r="B11" s="5"/>
      <c r="C11" s="5" t="s">
        <v>68</v>
      </c>
      <c r="D11" s="5"/>
      <c r="F11" s="5" t="s">
        <v>69</v>
      </c>
      <c r="G11" s="5" t="s">
        <v>4</v>
      </c>
      <c r="I11" s="5" t="s">
        <v>72</v>
      </c>
      <c r="J11" s="5" t="s">
        <v>4</v>
      </c>
    </row>
    <row r="12" spans="1:10" ht="15" thickBot="1" x14ac:dyDescent="0.4">
      <c r="B12" s="6" t="s">
        <v>18</v>
      </c>
      <c r="C12" s="6" t="s">
        <v>19</v>
      </c>
      <c r="D12" s="6" t="s">
        <v>21</v>
      </c>
      <c r="F12" s="6" t="s">
        <v>70</v>
      </c>
      <c r="G12" s="6" t="s">
        <v>71</v>
      </c>
      <c r="I12" s="6" t="s">
        <v>70</v>
      </c>
      <c r="J12" s="6" t="s">
        <v>71</v>
      </c>
    </row>
    <row r="13" spans="1:10" x14ac:dyDescent="0.35">
      <c r="B13" s="3" t="s">
        <v>32</v>
      </c>
      <c r="C13" s="3" t="s">
        <v>1</v>
      </c>
      <c r="D13" s="9">
        <v>0</v>
      </c>
      <c r="F13" s="9">
        <v>0</v>
      </c>
      <c r="G13" s="9">
        <v>169999.99999999997</v>
      </c>
      <c r="I13" s="9">
        <v>0</v>
      </c>
      <c r="J13" s="9">
        <v>169999.99999999997</v>
      </c>
    </row>
    <row r="14" spans="1:10" x14ac:dyDescent="0.35">
      <c r="B14" s="3" t="s">
        <v>33</v>
      </c>
      <c r="C14" s="3" t="s">
        <v>2</v>
      </c>
      <c r="D14" s="9">
        <v>0.80332231450873637</v>
      </c>
      <c r="F14" s="9">
        <v>0.80332231450873637</v>
      </c>
      <c r="G14" s="9">
        <v>169999.99999999997</v>
      </c>
      <c r="I14" s="9">
        <v>0.80332231450875036</v>
      </c>
      <c r="J14" s="9">
        <v>170000</v>
      </c>
    </row>
    <row r="15" spans="1:10" x14ac:dyDescent="0.35">
      <c r="B15" s="3" t="s">
        <v>34</v>
      </c>
      <c r="C15" s="3" t="s">
        <v>3</v>
      </c>
      <c r="D15" s="9">
        <v>394.91176577709268</v>
      </c>
      <c r="F15" s="9">
        <v>0</v>
      </c>
      <c r="G15" s="9">
        <v>55084.625276523788</v>
      </c>
      <c r="I15" s="9">
        <v>394.91176577709274</v>
      </c>
      <c r="J15" s="9">
        <v>170000</v>
      </c>
    </row>
    <row r="16" spans="1:10" ht="15" thickBot="1" x14ac:dyDescent="0.4">
      <c r="B16" s="4" t="s">
        <v>35</v>
      </c>
      <c r="C16" s="4" t="s">
        <v>11</v>
      </c>
      <c r="D16" s="8">
        <v>383.21167407877323</v>
      </c>
      <c r="F16" s="8">
        <v>5.5236277470745181</v>
      </c>
      <c r="G16" s="8">
        <v>115994.38625503037</v>
      </c>
      <c r="I16" s="8">
        <v>383.2116740787593</v>
      </c>
      <c r="J16" s="8">
        <v>169999.99999999799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D16" sqref="D16"/>
    </sheetView>
  </sheetViews>
  <sheetFormatPr defaultRowHeight="14.5" x14ac:dyDescent="0.35"/>
  <cols>
    <col min="1" max="1" width="10.90625" customWidth="1"/>
  </cols>
  <sheetData>
    <row r="1" spans="1:6" x14ac:dyDescent="0.35">
      <c r="A1" s="1" t="s">
        <v>0</v>
      </c>
      <c r="D1" t="s">
        <v>12</v>
      </c>
      <c r="E1" t="s">
        <v>29</v>
      </c>
      <c r="F1" t="s">
        <v>13</v>
      </c>
    </row>
    <row r="2" spans="1:6" x14ac:dyDescent="0.35">
      <c r="A2" t="s">
        <v>1</v>
      </c>
      <c r="B2">
        <v>0</v>
      </c>
      <c r="D2">
        <v>330</v>
      </c>
      <c r="E2">
        <v>499.99</v>
      </c>
      <c r="F2">
        <f>E2-D2</f>
        <v>169.99</v>
      </c>
    </row>
    <row r="3" spans="1:6" x14ac:dyDescent="0.35">
      <c r="A3" t="s">
        <v>2</v>
      </c>
      <c r="B3">
        <v>0.80332231450873637</v>
      </c>
      <c r="D3">
        <v>370</v>
      </c>
      <c r="E3">
        <v>729.99</v>
      </c>
      <c r="F3">
        <f>E3-D3</f>
        <v>359.99</v>
      </c>
    </row>
    <row r="4" spans="1:6" x14ac:dyDescent="0.35">
      <c r="A4" t="s">
        <v>3</v>
      </c>
      <c r="B4">
        <v>394.91176577709268</v>
      </c>
      <c r="D4">
        <v>410</v>
      </c>
      <c r="E4">
        <v>700.99</v>
      </c>
      <c r="F4">
        <f>E4-D4</f>
        <v>290.99</v>
      </c>
    </row>
    <row r="5" spans="1:6" x14ac:dyDescent="0.35">
      <c r="A5" t="s">
        <v>11</v>
      </c>
      <c r="B5">
        <v>383.21167407877323</v>
      </c>
      <c r="D5">
        <f>SUM(635/5)</f>
        <v>127</v>
      </c>
      <c r="E5">
        <v>269.99</v>
      </c>
      <c r="F5">
        <f>E5-D5</f>
        <v>142.99</v>
      </c>
    </row>
    <row r="7" spans="1:6" x14ac:dyDescent="0.35">
      <c r="A7" s="1" t="s">
        <v>4</v>
      </c>
    </row>
    <row r="9" spans="1:6" x14ac:dyDescent="0.35">
      <c r="A9" t="s">
        <v>5</v>
      </c>
      <c r="B9">
        <f>F2*B2+F3*B3+F4*B4+F5*B5</f>
        <v>169999.99999999997</v>
      </c>
    </row>
    <row r="11" spans="1:6" x14ac:dyDescent="0.35">
      <c r="A11" s="1" t="s">
        <v>6</v>
      </c>
    </row>
    <row r="12" spans="1:6" x14ac:dyDescent="0.35">
      <c r="C12" t="s">
        <v>7</v>
      </c>
      <c r="D12" t="s">
        <v>8</v>
      </c>
    </row>
    <row r="13" spans="1:6" x14ac:dyDescent="0.35">
      <c r="A13">
        <v>1</v>
      </c>
      <c r="B13">
        <f>F2*B2+F3*B3+F4*B4+F5*B5</f>
        <v>169999.99999999997</v>
      </c>
      <c r="C13" t="s">
        <v>9</v>
      </c>
      <c r="D13">
        <v>170000</v>
      </c>
    </row>
    <row r="14" spans="1:6" x14ac:dyDescent="0.35">
      <c r="A14">
        <v>2</v>
      </c>
      <c r="B14">
        <f>F2*B2+F3*B3</f>
        <v>289.18799999999999</v>
      </c>
      <c r="C14" t="s">
        <v>10</v>
      </c>
      <c r="D14">
        <f>0.3*(F2+F3+F4+F5)</f>
        <v>289.18799999999999</v>
      </c>
    </row>
    <row r="15" spans="1:6" x14ac:dyDescent="0.35">
      <c r="A15">
        <v>3</v>
      </c>
      <c r="B15">
        <f>F5*B5</f>
        <v>54795.437276523786</v>
      </c>
      <c r="C15" t="s">
        <v>10</v>
      </c>
      <c r="D15">
        <f>2*B4</f>
        <v>789.82353155418537</v>
      </c>
    </row>
    <row r="16" spans="1:6" x14ac:dyDescent="0.35">
      <c r="A16">
        <v>4</v>
      </c>
      <c r="B16">
        <f>25*B2+40*B3+25*B4+(25/4)*B5</f>
        <v>12300</v>
      </c>
      <c r="C16" t="s">
        <v>9</v>
      </c>
      <c r="D16">
        <f>82*30*5</f>
        <v>12300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EF013FA7CFDC43BFF299263F39E2D3" ma:contentTypeVersion="8" ma:contentTypeDescription="Create a new document." ma:contentTypeScope="" ma:versionID="ebe83211bdd26913ca98ae911ce99606">
  <xsd:schema xmlns:xsd="http://www.w3.org/2001/XMLSchema" xmlns:xs="http://www.w3.org/2001/XMLSchema" xmlns:p="http://schemas.microsoft.com/office/2006/metadata/properties" xmlns:ns3="5b9d920d-9282-4543-ab94-211420538ddd" xmlns:ns4="12944c20-9e1a-4675-9112-9b3793e9e75a" targetNamespace="http://schemas.microsoft.com/office/2006/metadata/properties" ma:root="true" ma:fieldsID="9e681f98c51f7de2f4e618252ea6c1fe" ns3:_="" ns4:_="">
    <xsd:import namespace="5b9d920d-9282-4543-ab94-211420538ddd"/>
    <xsd:import namespace="12944c20-9e1a-4675-9112-9b3793e9e75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9d920d-9282-4543-ab94-211420538d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44c20-9e1a-4675-9112-9b3793e9e75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b9d920d-9282-4543-ab94-211420538ddd" xsi:nil="true"/>
  </documentManagement>
</p:properties>
</file>

<file path=customXml/itemProps1.xml><?xml version="1.0" encoding="utf-8"?>
<ds:datastoreItem xmlns:ds="http://schemas.openxmlformats.org/officeDocument/2006/customXml" ds:itemID="{553BC5D8-2FFD-4853-AC84-2234A2947B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9d920d-9282-4543-ab94-211420538ddd"/>
    <ds:schemaRef ds:uri="12944c20-9e1a-4675-9112-9b3793e9e7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249BC0-A2A1-40FF-98E7-353B16736F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152523-2741-4977-8E6F-B65A5C7CBBA0}">
  <ds:schemaRefs>
    <ds:schemaRef ds:uri="http://schemas.microsoft.com/office/infopath/2007/PartnerControls"/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5b9d920d-9282-4543-ab94-211420538ddd"/>
    <ds:schemaRef ds:uri="12944c20-9e1a-4675-9112-9b3793e9e75a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Sensitivity Report 1</vt:lpstr>
      <vt:lpstr>Answer Report 1</vt:lpstr>
      <vt:lpstr>Limits Report 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Sean McLean</cp:lastModifiedBy>
  <cp:revision/>
  <dcterms:created xsi:type="dcterms:W3CDTF">2024-03-26T13:30:27Z</dcterms:created>
  <dcterms:modified xsi:type="dcterms:W3CDTF">2024-03-27T05:20:22Z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0x0101003BEF013FA7CFDC43BFF299263F39E2D3</vt:lpwstr>
  </property>
</Properties>
</file>