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anm\OneDrive\Desktop\McLean_Module3Project_ALY6050\"/>
    </mc:Choice>
  </mc:AlternateContent>
  <xr:revisionPtr revIDLastSave="0" documentId="8_{48210034-5A18-485D-83DE-C1EFB645CA7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6050_Module3Project_Data" sheetId="2" r:id="rId1"/>
    <sheet name="Part 1" sheetId="5" r:id="rId2"/>
    <sheet name="Part 2" sheetId="6" r:id="rId3"/>
    <sheet name="Part 3" sheetId="8" r:id="rId4"/>
  </sheets>
  <definedNames>
    <definedName name="_xlchart.v1.0" hidden="1">'6050_Module3Project_Data'!$A$2:$A$258</definedName>
    <definedName name="_xlchart.v1.1" hidden="1">'6050_Module3Project_Data'!$C$1</definedName>
    <definedName name="_xlchart.v1.2" hidden="1">'6050_Module3Project_Data'!$C$2:$C$258</definedName>
    <definedName name="_xlchart.v1.3" hidden="1">'6050_Module3Project_Data'!$E$1</definedName>
    <definedName name="_xlchart.v1.4" hidden="1">'6050_Module3Project_Data'!$E$2:$E$258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5" i="5" l="1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68" i="5"/>
  <c r="AT69" i="5"/>
  <c r="AT70" i="5"/>
  <c r="AT71" i="5"/>
  <c r="AT72" i="5"/>
  <c r="AT73" i="5"/>
  <c r="AT74" i="5"/>
  <c r="AT75" i="5"/>
  <c r="AT76" i="5"/>
  <c r="AT77" i="5"/>
  <c r="AT78" i="5"/>
  <c r="AT79" i="5"/>
  <c r="AT80" i="5"/>
  <c r="AT81" i="5"/>
  <c r="AT82" i="5"/>
  <c r="AT83" i="5"/>
  <c r="AT84" i="5"/>
  <c r="AT85" i="5"/>
  <c r="AT86" i="5"/>
  <c r="AT87" i="5"/>
  <c r="AT88" i="5"/>
  <c r="AT89" i="5"/>
  <c r="AT90" i="5"/>
  <c r="AT91" i="5"/>
  <c r="AT92" i="5"/>
  <c r="AT93" i="5"/>
  <c r="AT94" i="5"/>
  <c r="AT95" i="5"/>
  <c r="AT96" i="5"/>
  <c r="AT97" i="5"/>
  <c r="AT98" i="5"/>
  <c r="AT99" i="5"/>
  <c r="AT100" i="5"/>
  <c r="AT101" i="5"/>
  <c r="AT102" i="5"/>
  <c r="AT103" i="5"/>
  <c r="AT104" i="5"/>
  <c r="AT105" i="5"/>
  <c r="AT106" i="5"/>
  <c r="AT107" i="5"/>
  <c r="AT108" i="5"/>
  <c r="AT109" i="5"/>
  <c r="AT110" i="5"/>
  <c r="AT111" i="5"/>
  <c r="AT112" i="5"/>
  <c r="AT113" i="5"/>
  <c r="AT114" i="5"/>
  <c r="AT115" i="5"/>
  <c r="AT116" i="5"/>
  <c r="AT117" i="5"/>
  <c r="AT118" i="5"/>
  <c r="AT119" i="5"/>
  <c r="AT120" i="5"/>
  <c r="AT121" i="5"/>
  <c r="AT122" i="5"/>
  <c r="AT123" i="5"/>
  <c r="AT124" i="5"/>
  <c r="AT125" i="5"/>
  <c r="AT126" i="5"/>
  <c r="AT127" i="5"/>
  <c r="AT128" i="5"/>
  <c r="AT129" i="5"/>
  <c r="AT130" i="5"/>
  <c r="AT131" i="5"/>
  <c r="AT132" i="5"/>
  <c r="AT133" i="5"/>
  <c r="AT134" i="5"/>
  <c r="AT135" i="5"/>
  <c r="AT136" i="5"/>
  <c r="AT137" i="5"/>
  <c r="AT138" i="5"/>
  <c r="AT139" i="5"/>
  <c r="AT140" i="5"/>
  <c r="AT141" i="5"/>
  <c r="AT142" i="5"/>
  <c r="AT143" i="5"/>
  <c r="AT144" i="5"/>
  <c r="AT145" i="5"/>
  <c r="AT146" i="5"/>
  <c r="AT147" i="5"/>
  <c r="AT148" i="5"/>
  <c r="AT149" i="5"/>
  <c r="AT150" i="5"/>
  <c r="AT151" i="5"/>
  <c r="AT152" i="5"/>
  <c r="AT153" i="5"/>
  <c r="AT154" i="5"/>
  <c r="AT155" i="5"/>
  <c r="AT156" i="5"/>
  <c r="AT157" i="5"/>
  <c r="AT158" i="5"/>
  <c r="AT159" i="5"/>
  <c r="AT160" i="5"/>
  <c r="AT161" i="5"/>
  <c r="AT162" i="5"/>
  <c r="AT163" i="5"/>
  <c r="AT164" i="5"/>
  <c r="AT165" i="5"/>
  <c r="AT166" i="5"/>
  <c r="AT167" i="5"/>
  <c r="AT168" i="5"/>
  <c r="AT169" i="5"/>
  <c r="AT170" i="5"/>
  <c r="AT171" i="5"/>
  <c r="AT172" i="5"/>
  <c r="AT173" i="5"/>
  <c r="AT174" i="5"/>
  <c r="AT175" i="5"/>
  <c r="AT176" i="5"/>
  <c r="AT177" i="5"/>
  <c r="AT178" i="5"/>
  <c r="AT179" i="5"/>
  <c r="AT180" i="5"/>
  <c r="AT181" i="5"/>
  <c r="AT182" i="5"/>
  <c r="AT183" i="5"/>
  <c r="AT184" i="5"/>
  <c r="AT185" i="5"/>
  <c r="AT186" i="5"/>
  <c r="AT187" i="5"/>
  <c r="AT188" i="5"/>
  <c r="AT189" i="5"/>
  <c r="AT190" i="5"/>
  <c r="AT191" i="5"/>
  <c r="AT192" i="5"/>
  <c r="AT193" i="5"/>
  <c r="AT194" i="5"/>
  <c r="AT195" i="5"/>
  <c r="AT196" i="5"/>
  <c r="AT197" i="5"/>
  <c r="AT198" i="5"/>
  <c r="AT199" i="5"/>
  <c r="AT200" i="5"/>
  <c r="AT201" i="5"/>
  <c r="AT202" i="5"/>
  <c r="AT203" i="5"/>
  <c r="AT204" i="5"/>
  <c r="AT205" i="5"/>
  <c r="AT206" i="5"/>
  <c r="AT207" i="5"/>
  <c r="AT208" i="5"/>
  <c r="AT209" i="5"/>
  <c r="AT210" i="5"/>
  <c r="AT211" i="5"/>
  <c r="AT212" i="5"/>
  <c r="AT213" i="5"/>
  <c r="AT214" i="5"/>
  <c r="AT215" i="5"/>
  <c r="AT216" i="5"/>
  <c r="AT217" i="5"/>
  <c r="AT218" i="5"/>
  <c r="AT219" i="5"/>
  <c r="AT220" i="5"/>
  <c r="AT221" i="5"/>
  <c r="AT222" i="5"/>
  <c r="AT223" i="5"/>
  <c r="AT224" i="5"/>
  <c r="AT225" i="5"/>
  <c r="AT226" i="5"/>
  <c r="AT227" i="5"/>
  <c r="AT228" i="5"/>
  <c r="AT229" i="5"/>
  <c r="AT230" i="5"/>
  <c r="AT231" i="5"/>
  <c r="AT232" i="5"/>
  <c r="AT233" i="5"/>
  <c r="AT234" i="5"/>
  <c r="AT235" i="5"/>
  <c r="AT236" i="5"/>
  <c r="AT237" i="5"/>
  <c r="AT238" i="5"/>
  <c r="AT239" i="5"/>
  <c r="AT240" i="5"/>
  <c r="AT241" i="5"/>
  <c r="AT242" i="5"/>
  <c r="AT243" i="5"/>
  <c r="AT244" i="5"/>
  <c r="AT245" i="5"/>
  <c r="AT246" i="5"/>
  <c r="AT247" i="5"/>
  <c r="AT248" i="5"/>
  <c r="AT249" i="5"/>
  <c r="AT250" i="5"/>
  <c r="AT251" i="5"/>
  <c r="AT252" i="5"/>
  <c r="AT253" i="5"/>
  <c r="AT254" i="5"/>
  <c r="AT255" i="5"/>
  <c r="BJ5" i="5"/>
  <c r="BJ6" i="5"/>
  <c r="BJ7" i="5"/>
  <c r="BJ8" i="5"/>
  <c r="BJ9" i="5"/>
  <c r="BJ10" i="5"/>
  <c r="BJ11" i="5"/>
  <c r="BJ12" i="5"/>
  <c r="BJ13" i="5"/>
  <c r="BJ14" i="5"/>
  <c r="BJ15" i="5"/>
  <c r="BJ16" i="5"/>
  <c r="BJ17" i="5"/>
  <c r="BJ18" i="5"/>
  <c r="BJ19" i="5"/>
  <c r="BJ20" i="5"/>
  <c r="BJ21" i="5"/>
  <c r="BJ22" i="5"/>
  <c r="BJ23" i="5"/>
  <c r="BJ24" i="5"/>
  <c r="BJ25" i="5"/>
  <c r="BJ26" i="5"/>
  <c r="BJ27" i="5"/>
  <c r="BJ28" i="5"/>
  <c r="BJ29" i="5"/>
  <c r="BJ30" i="5"/>
  <c r="BJ31" i="5"/>
  <c r="BJ32" i="5"/>
  <c r="BJ33" i="5"/>
  <c r="BJ34" i="5"/>
  <c r="BJ35" i="5"/>
  <c r="BJ36" i="5"/>
  <c r="BJ37" i="5"/>
  <c r="BJ38" i="5"/>
  <c r="BJ39" i="5"/>
  <c r="BJ40" i="5"/>
  <c r="BJ41" i="5"/>
  <c r="BJ42" i="5"/>
  <c r="BJ43" i="5"/>
  <c r="BJ44" i="5"/>
  <c r="BJ45" i="5"/>
  <c r="BJ46" i="5"/>
  <c r="BJ47" i="5"/>
  <c r="BJ48" i="5"/>
  <c r="BJ49" i="5"/>
  <c r="BJ50" i="5"/>
  <c r="BJ51" i="5"/>
  <c r="BJ52" i="5"/>
  <c r="BJ53" i="5"/>
  <c r="BJ54" i="5"/>
  <c r="BJ55" i="5"/>
  <c r="BJ56" i="5"/>
  <c r="BJ57" i="5"/>
  <c r="BJ58" i="5"/>
  <c r="BJ59" i="5"/>
  <c r="BJ60" i="5"/>
  <c r="BJ61" i="5"/>
  <c r="BJ62" i="5"/>
  <c r="BJ63" i="5"/>
  <c r="BJ64" i="5"/>
  <c r="BJ65" i="5"/>
  <c r="BJ66" i="5"/>
  <c r="BJ67" i="5"/>
  <c r="BJ68" i="5"/>
  <c r="BJ69" i="5"/>
  <c r="BJ70" i="5"/>
  <c r="BJ71" i="5"/>
  <c r="BJ72" i="5"/>
  <c r="BJ73" i="5"/>
  <c r="BJ74" i="5"/>
  <c r="BJ75" i="5"/>
  <c r="BJ76" i="5"/>
  <c r="BJ77" i="5"/>
  <c r="BJ78" i="5"/>
  <c r="BJ79" i="5"/>
  <c r="BJ80" i="5"/>
  <c r="BJ81" i="5"/>
  <c r="BJ82" i="5"/>
  <c r="BJ83" i="5"/>
  <c r="BJ84" i="5"/>
  <c r="BJ85" i="5"/>
  <c r="BJ86" i="5"/>
  <c r="BJ87" i="5"/>
  <c r="BJ88" i="5"/>
  <c r="BJ89" i="5"/>
  <c r="BJ90" i="5"/>
  <c r="BJ91" i="5"/>
  <c r="BJ92" i="5"/>
  <c r="BJ93" i="5"/>
  <c r="BJ94" i="5"/>
  <c r="BJ95" i="5"/>
  <c r="BJ96" i="5"/>
  <c r="BJ97" i="5"/>
  <c r="BJ98" i="5"/>
  <c r="BJ99" i="5"/>
  <c r="BJ100" i="5"/>
  <c r="BJ101" i="5"/>
  <c r="BJ102" i="5"/>
  <c r="BJ103" i="5"/>
  <c r="BJ104" i="5"/>
  <c r="BJ105" i="5"/>
  <c r="BJ106" i="5"/>
  <c r="BJ107" i="5"/>
  <c r="BJ108" i="5"/>
  <c r="BJ109" i="5"/>
  <c r="BJ110" i="5"/>
  <c r="BJ111" i="5"/>
  <c r="BJ112" i="5"/>
  <c r="BJ113" i="5"/>
  <c r="BJ114" i="5"/>
  <c r="BJ115" i="5"/>
  <c r="BJ116" i="5"/>
  <c r="BJ117" i="5"/>
  <c r="BJ118" i="5"/>
  <c r="BJ119" i="5"/>
  <c r="BJ120" i="5"/>
  <c r="BJ121" i="5"/>
  <c r="BJ122" i="5"/>
  <c r="BJ123" i="5"/>
  <c r="BJ124" i="5"/>
  <c r="BJ125" i="5"/>
  <c r="BJ126" i="5"/>
  <c r="BJ127" i="5"/>
  <c r="BJ128" i="5"/>
  <c r="BJ129" i="5"/>
  <c r="BJ130" i="5"/>
  <c r="BJ131" i="5"/>
  <c r="BJ132" i="5"/>
  <c r="BJ133" i="5"/>
  <c r="BJ134" i="5"/>
  <c r="BJ135" i="5"/>
  <c r="BJ136" i="5"/>
  <c r="BJ137" i="5"/>
  <c r="BJ138" i="5"/>
  <c r="BJ139" i="5"/>
  <c r="BJ140" i="5"/>
  <c r="BJ141" i="5"/>
  <c r="BJ142" i="5"/>
  <c r="BJ143" i="5"/>
  <c r="BJ144" i="5"/>
  <c r="BJ145" i="5"/>
  <c r="BJ146" i="5"/>
  <c r="BJ147" i="5"/>
  <c r="BJ148" i="5"/>
  <c r="BJ149" i="5"/>
  <c r="BJ150" i="5"/>
  <c r="BJ151" i="5"/>
  <c r="BJ152" i="5"/>
  <c r="BJ153" i="5"/>
  <c r="BJ154" i="5"/>
  <c r="BJ155" i="5"/>
  <c r="BJ156" i="5"/>
  <c r="BJ157" i="5"/>
  <c r="BJ158" i="5"/>
  <c r="BJ159" i="5"/>
  <c r="BJ160" i="5"/>
  <c r="BJ161" i="5"/>
  <c r="BJ162" i="5"/>
  <c r="BJ163" i="5"/>
  <c r="BJ164" i="5"/>
  <c r="BJ165" i="5"/>
  <c r="BJ166" i="5"/>
  <c r="BJ167" i="5"/>
  <c r="BJ168" i="5"/>
  <c r="BJ169" i="5"/>
  <c r="BJ170" i="5"/>
  <c r="BJ171" i="5"/>
  <c r="BJ172" i="5"/>
  <c r="BJ173" i="5"/>
  <c r="BJ174" i="5"/>
  <c r="BJ175" i="5"/>
  <c r="BJ176" i="5"/>
  <c r="BJ177" i="5"/>
  <c r="BJ178" i="5"/>
  <c r="BJ179" i="5"/>
  <c r="BJ180" i="5"/>
  <c r="BJ181" i="5"/>
  <c r="BJ182" i="5"/>
  <c r="BJ183" i="5"/>
  <c r="BJ184" i="5"/>
  <c r="BJ185" i="5"/>
  <c r="BJ186" i="5"/>
  <c r="BJ187" i="5"/>
  <c r="BJ188" i="5"/>
  <c r="BJ189" i="5"/>
  <c r="BJ190" i="5"/>
  <c r="BJ191" i="5"/>
  <c r="BJ192" i="5"/>
  <c r="BJ193" i="5"/>
  <c r="BJ194" i="5"/>
  <c r="BJ195" i="5"/>
  <c r="BJ196" i="5"/>
  <c r="BJ197" i="5"/>
  <c r="BJ198" i="5"/>
  <c r="BJ199" i="5"/>
  <c r="BJ200" i="5"/>
  <c r="BJ201" i="5"/>
  <c r="BJ202" i="5"/>
  <c r="BJ203" i="5"/>
  <c r="BJ204" i="5"/>
  <c r="BJ205" i="5"/>
  <c r="BJ206" i="5"/>
  <c r="BJ207" i="5"/>
  <c r="BJ208" i="5"/>
  <c r="BJ209" i="5"/>
  <c r="BJ210" i="5"/>
  <c r="BJ211" i="5"/>
  <c r="BJ212" i="5"/>
  <c r="BJ213" i="5"/>
  <c r="BJ214" i="5"/>
  <c r="BJ215" i="5"/>
  <c r="BJ216" i="5"/>
  <c r="BJ217" i="5"/>
  <c r="BJ218" i="5"/>
  <c r="BJ219" i="5"/>
  <c r="BJ220" i="5"/>
  <c r="BJ221" i="5"/>
  <c r="BJ222" i="5"/>
  <c r="BJ223" i="5"/>
  <c r="BJ224" i="5"/>
  <c r="BJ225" i="5"/>
  <c r="BJ226" i="5"/>
  <c r="BJ227" i="5"/>
  <c r="BJ228" i="5"/>
  <c r="BJ229" i="5"/>
  <c r="BJ230" i="5"/>
  <c r="BJ231" i="5"/>
  <c r="BJ232" i="5"/>
  <c r="BJ233" i="5"/>
  <c r="BJ234" i="5"/>
  <c r="BJ235" i="5"/>
  <c r="BJ236" i="5"/>
  <c r="BJ237" i="5"/>
  <c r="BJ238" i="5"/>
  <c r="BJ239" i="5"/>
  <c r="BJ240" i="5"/>
  <c r="BJ241" i="5"/>
  <c r="BJ242" i="5"/>
  <c r="BJ243" i="5"/>
  <c r="BJ244" i="5"/>
  <c r="BJ245" i="5"/>
  <c r="BJ246" i="5"/>
  <c r="BJ247" i="5"/>
  <c r="BJ248" i="5"/>
  <c r="BJ249" i="5"/>
  <c r="BJ250" i="5"/>
  <c r="BJ251" i="5"/>
  <c r="BJ252" i="5"/>
  <c r="BJ253" i="5"/>
  <c r="BJ254" i="5"/>
  <c r="BJ255" i="5"/>
  <c r="BI5" i="5"/>
  <c r="BI6" i="5"/>
  <c r="BI7" i="5"/>
  <c r="BI8" i="5"/>
  <c r="BI9" i="5"/>
  <c r="BI10" i="5"/>
  <c r="BI11" i="5"/>
  <c r="BI12" i="5"/>
  <c r="BI13" i="5"/>
  <c r="BI14" i="5"/>
  <c r="BI15" i="5"/>
  <c r="BI16" i="5"/>
  <c r="BI17" i="5"/>
  <c r="BI18" i="5"/>
  <c r="BI19" i="5"/>
  <c r="BI20" i="5"/>
  <c r="BI21" i="5"/>
  <c r="BI22" i="5"/>
  <c r="BI23" i="5"/>
  <c r="BI24" i="5"/>
  <c r="BI25" i="5"/>
  <c r="BI26" i="5"/>
  <c r="BI27" i="5"/>
  <c r="BI28" i="5"/>
  <c r="BI29" i="5"/>
  <c r="BI30" i="5"/>
  <c r="BI31" i="5"/>
  <c r="BI32" i="5"/>
  <c r="BI33" i="5"/>
  <c r="BI34" i="5"/>
  <c r="BI35" i="5"/>
  <c r="BI36" i="5"/>
  <c r="BI37" i="5"/>
  <c r="BI38" i="5"/>
  <c r="BI39" i="5"/>
  <c r="BI40" i="5"/>
  <c r="BI41" i="5"/>
  <c r="BI42" i="5"/>
  <c r="BI43" i="5"/>
  <c r="BI44" i="5"/>
  <c r="BI45" i="5"/>
  <c r="BI46" i="5"/>
  <c r="BI47" i="5"/>
  <c r="BI48" i="5"/>
  <c r="BI49" i="5"/>
  <c r="BI50" i="5"/>
  <c r="BI51" i="5"/>
  <c r="BI52" i="5"/>
  <c r="BI53" i="5"/>
  <c r="BI54" i="5"/>
  <c r="BI55" i="5"/>
  <c r="BI56" i="5"/>
  <c r="BI57" i="5"/>
  <c r="BI58" i="5"/>
  <c r="BI59" i="5"/>
  <c r="BI60" i="5"/>
  <c r="BI61" i="5"/>
  <c r="BI62" i="5"/>
  <c r="BI63" i="5"/>
  <c r="BI64" i="5"/>
  <c r="BI65" i="5"/>
  <c r="BI66" i="5"/>
  <c r="BI67" i="5"/>
  <c r="BI68" i="5"/>
  <c r="BI69" i="5"/>
  <c r="BI70" i="5"/>
  <c r="BI71" i="5"/>
  <c r="BI72" i="5"/>
  <c r="BI73" i="5"/>
  <c r="BI74" i="5"/>
  <c r="BI75" i="5"/>
  <c r="BI76" i="5"/>
  <c r="BI77" i="5"/>
  <c r="BI78" i="5"/>
  <c r="BI79" i="5"/>
  <c r="BI80" i="5"/>
  <c r="BI81" i="5"/>
  <c r="BI82" i="5"/>
  <c r="BI83" i="5"/>
  <c r="BI84" i="5"/>
  <c r="BI85" i="5"/>
  <c r="BI86" i="5"/>
  <c r="BI87" i="5"/>
  <c r="BI88" i="5"/>
  <c r="BI89" i="5"/>
  <c r="BI90" i="5"/>
  <c r="BI91" i="5"/>
  <c r="BI92" i="5"/>
  <c r="BI93" i="5"/>
  <c r="BI94" i="5"/>
  <c r="BI95" i="5"/>
  <c r="BI96" i="5"/>
  <c r="BI97" i="5"/>
  <c r="BI98" i="5"/>
  <c r="BI99" i="5"/>
  <c r="BI100" i="5"/>
  <c r="BI101" i="5"/>
  <c r="BI102" i="5"/>
  <c r="BI103" i="5"/>
  <c r="BI104" i="5"/>
  <c r="BI105" i="5"/>
  <c r="BI106" i="5"/>
  <c r="BI107" i="5"/>
  <c r="BI108" i="5"/>
  <c r="BI109" i="5"/>
  <c r="BI110" i="5"/>
  <c r="BI111" i="5"/>
  <c r="BI112" i="5"/>
  <c r="BI113" i="5"/>
  <c r="BI114" i="5"/>
  <c r="BI115" i="5"/>
  <c r="BI116" i="5"/>
  <c r="BI117" i="5"/>
  <c r="BI118" i="5"/>
  <c r="BI119" i="5"/>
  <c r="BI120" i="5"/>
  <c r="BI121" i="5"/>
  <c r="BI122" i="5"/>
  <c r="BI123" i="5"/>
  <c r="BI124" i="5"/>
  <c r="BI125" i="5"/>
  <c r="BI126" i="5"/>
  <c r="BI127" i="5"/>
  <c r="BI128" i="5"/>
  <c r="BI129" i="5"/>
  <c r="BI130" i="5"/>
  <c r="BI131" i="5"/>
  <c r="BI132" i="5"/>
  <c r="BI133" i="5"/>
  <c r="BI134" i="5"/>
  <c r="BI135" i="5"/>
  <c r="BI136" i="5"/>
  <c r="BI137" i="5"/>
  <c r="BI138" i="5"/>
  <c r="BI139" i="5"/>
  <c r="BI140" i="5"/>
  <c r="BI141" i="5"/>
  <c r="BI142" i="5"/>
  <c r="BI143" i="5"/>
  <c r="BI144" i="5"/>
  <c r="BI145" i="5"/>
  <c r="BI146" i="5"/>
  <c r="BI147" i="5"/>
  <c r="BI148" i="5"/>
  <c r="BI149" i="5"/>
  <c r="BI150" i="5"/>
  <c r="BI151" i="5"/>
  <c r="BI152" i="5"/>
  <c r="BI153" i="5"/>
  <c r="BI154" i="5"/>
  <c r="BI155" i="5"/>
  <c r="BI156" i="5"/>
  <c r="BI157" i="5"/>
  <c r="BI158" i="5"/>
  <c r="BI159" i="5"/>
  <c r="BI160" i="5"/>
  <c r="BI161" i="5"/>
  <c r="BI162" i="5"/>
  <c r="BI163" i="5"/>
  <c r="BI164" i="5"/>
  <c r="BI165" i="5"/>
  <c r="BI166" i="5"/>
  <c r="BI167" i="5"/>
  <c r="BI168" i="5"/>
  <c r="BI169" i="5"/>
  <c r="BI170" i="5"/>
  <c r="BI171" i="5"/>
  <c r="BI172" i="5"/>
  <c r="BI173" i="5"/>
  <c r="BI174" i="5"/>
  <c r="BI175" i="5"/>
  <c r="BI176" i="5"/>
  <c r="BI177" i="5"/>
  <c r="BI178" i="5"/>
  <c r="BI179" i="5"/>
  <c r="BI180" i="5"/>
  <c r="BI181" i="5"/>
  <c r="BI182" i="5"/>
  <c r="BI183" i="5"/>
  <c r="BI184" i="5"/>
  <c r="BI185" i="5"/>
  <c r="BI186" i="5"/>
  <c r="BI187" i="5"/>
  <c r="BI188" i="5"/>
  <c r="BI189" i="5"/>
  <c r="BI190" i="5"/>
  <c r="BI191" i="5"/>
  <c r="BI192" i="5"/>
  <c r="BI193" i="5"/>
  <c r="BI194" i="5"/>
  <c r="BI195" i="5"/>
  <c r="BI196" i="5"/>
  <c r="BI197" i="5"/>
  <c r="BI198" i="5"/>
  <c r="BI199" i="5"/>
  <c r="BI200" i="5"/>
  <c r="BI201" i="5"/>
  <c r="BI202" i="5"/>
  <c r="BI203" i="5"/>
  <c r="BI204" i="5"/>
  <c r="BI205" i="5"/>
  <c r="BI206" i="5"/>
  <c r="BI207" i="5"/>
  <c r="BI208" i="5"/>
  <c r="BI209" i="5"/>
  <c r="BI210" i="5"/>
  <c r="BI211" i="5"/>
  <c r="BI212" i="5"/>
  <c r="BI213" i="5"/>
  <c r="BI214" i="5"/>
  <c r="BI215" i="5"/>
  <c r="BI216" i="5"/>
  <c r="BI217" i="5"/>
  <c r="BI218" i="5"/>
  <c r="BI219" i="5"/>
  <c r="BI220" i="5"/>
  <c r="BI221" i="5"/>
  <c r="BI222" i="5"/>
  <c r="BI223" i="5"/>
  <c r="BI224" i="5"/>
  <c r="BI225" i="5"/>
  <c r="BI226" i="5"/>
  <c r="BI227" i="5"/>
  <c r="BI228" i="5"/>
  <c r="BI229" i="5"/>
  <c r="BI230" i="5"/>
  <c r="BI231" i="5"/>
  <c r="BI232" i="5"/>
  <c r="BI233" i="5"/>
  <c r="BI234" i="5"/>
  <c r="BI235" i="5"/>
  <c r="BI236" i="5"/>
  <c r="BI237" i="5"/>
  <c r="BI238" i="5"/>
  <c r="BI239" i="5"/>
  <c r="BI240" i="5"/>
  <c r="BI241" i="5"/>
  <c r="BI242" i="5"/>
  <c r="BI243" i="5"/>
  <c r="BI244" i="5"/>
  <c r="BI245" i="5"/>
  <c r="BI246" i="5"/>
  <c r="BI247" i="5"/>
  <c r="BI248" i="5"/>
  <c r="BI249" i="5"/>
  <c r="BI250" i="5"/>
  <c r="BI251" i="5"/>
  <c r="BI252" i="5"/>
  <c r="BI253" i="5"/>
  <c r="BI254" i="5"/>
  <c r="BI255" i="5"/>
  <c r="BH5" i="5"/>
  <c r="BH6" i="5"/>
  <c r="BH7" i="5"/>
  <c r="BH8" i="5"/>
  <c r="BH9" i="5"/>
  <c r="BH10" i="5"/>
  <c r="BH11" i="5"/>
  <c r="BH12" i="5"/>
  <c r="BH13" i="5"/>
  <c r="BH14" i="5"/>
  <c r="BH15" i="5"/>
  <c r="BH16" i="5"/>
  <c r="BH17" i="5"/>
  <c r="BH18" i="5"/>
  <c r="BH19" i="5"/>
  <c r="BH20" i="5"/>
  <c r="BH21" i="5"/>
  <c r="BH22" i="5"/>
  <c r="BH23" i="5"/>
  <c r="BH24" i="5"/>
  <c r="BH25" i="5"/>
  <c r="BH26" i="5"/>
  <c r="BH27" i="5"/>
  <c r="BH28" i="5"/>
  <c r="BH29" i="5"/>
  <c r="BH30" i="5"/>
  <c r="BH31" i="5"/>
  <c r="BH32" i="5"/>
  <c r="BH33" i="5"/>
  <c r="BH34" i="5"/>
  <c r="BH35" i="5"/>
  <c r="BH36" i="5"/>
  <c r="BH37" i="5"/>
  <c r="BH38" i="5"/>
  <c r="BH39" i="5"/>
  <c r="BH40" i="5"/>
  <c r="BH41" i="5"/>
  <c r="BH42" i="5"/>
  <c r="BH43" i="5"/>
  <c r="BH44" i="5"/>
  <c r="BH45" i="5"/>
  <c r="BH46" i="5"/>
  <c r="BH47" i="5"/>
  <c r="BH48" i="5"/>
  <c r="BH49" i="5"/>
  <c r="BH50" i="5"/>
  <c r="BH51" i="5"/>
  <c r="BH52" i="5"/>
  <c r="BH53" i="5"/>
  <c r="BH54" i="5"/>
  <c r="BH55" i="5"/>
  <c r="BH56" i="5"/>
  <c r="BH57" i="5"/>
  <c r="BH58" i="5"/>
  <c r="BH59" i="5"/>
  <c r="BH60" i="5"/>
  <c r="BH61" i="5"/>
  <c r="BH62" i="5"/>
  <c r="BH63" i="5"/>
  <c r="BH64" i="5"/>
  <c r="BH65" i="5"/>
  <c r="BH66" i="5"/>
  <c r="BH67" i="5"/>
  <c r="BH68" i="5"/>
  <c r="BH69" i="5"/>
  <c r="BH70" i="5"/>
  <c r="BH71" i="5"/>
  <c r="BH72" i="5"/>
  <c r="BH73" i="5"/>
  <c r="BH74" i="5"/>
  <c r="BH75" i="5"/>
  <c r="BH76" i="5"/>
  <c r="BH77" i="5"/>
  <c r="BH78" i="5"/>
  <c r="BH79" i="5"/>
  <c r="BH80" i="5"/>
  <c r="BH81" i="5"/>
  <c r="BH82" i="5"/>
  <c r="BH83" i="5"/>
  <c r="BH84" i="5"/>
  <c r="BH85" i="5"/>
  <c r="BH86" i="5"/>
  <c r="BH87" i="5"/>
  <c r="BH88" i="5"/>
  <c r="BH89" i="5"/>
  <c r="BH90" i="5"/>
  <c r="BH91" i="5"/>
  <c r="BH92" i="5"/>
  <c r="BH93" i="5"/>
  <c r="BH94" i="5"/>
  <c r="BH95" i="5"/>
  <c r="BH96" i="5"/>
  <c r="BH97" i="5"/>
  <c r="BH98" i="5"/>
  <c r="BH99" i="5"/>
  <c r="BH100" i="5"/>
  <c r="BH101" i="5"/>
  <c r="BH102" i="5"/>
  <c r="BH103" i="5"/>
  <c r="BH104" i="5"/>
  <c r="BH105" i="5"/>
  <c r="BH106" i="5"/>
  <c r="BH107" i="5"/>
  <c r="BH108" i="5"/>
  <c r="BH109" i="5"/>
  <c r="BH110" i="5"/>
  <c r="BH111" i="5"/>
  <c r="BH112" i="5"/>
  <c r="BH113" i="5"/>
  <c r="BH114" i="5"/>
  <c r="BH115" i="5"/>
  <c r="BH116" i="5"/>
  <c r="BH117" i="5"/>
  <c r="BH118" i="5"/>
  <c r="BH119" i="5"/>
  <c r="BH120" i="5"/>
  <c r="BH121" i="5"/>
  <c r="BH122" i="5"/>
  <c r="BH123" i="5"/>
  <c r="BH124" i="5"/>
  <c r="BH125" i="5"/>
  <c r="BH126" i="5"/>
  <c r="BH127" i="5"/>
  <c r="BH128" i="5"/>
  <c r="BH129" i="5"/>
  <c r="BH130" i="5"/>
  <c r="BH131" i="5"/>
  <c r="BH132" i="5"/>
  <c r="BH133" i="5"/>
  <c r="BH134" i="5"/>
  <c r="BH135" i="5"/>
  <c r="BH136" i="5"/>
  <c r="BH137" i="5"/>
  <c r="BH138" i="5"/>
  <c r="BH139" i="5"/>
  <c r="BH140" i="5"/>
  <c r="BH141" i="5"/>
  <c r="BH142" i="5"/>
  <c r="BH143" i="5"/>
  <c r="BH144" i="5"/>
  <c r="BH145" i="5"/>
  <c r="BH146" i="5"/>
  <c r="BH147" i="5"/>
  <c r="BH148" i="5"/>
  <c r="BH149" i="5"/>
  <c r="BH150" i="5"/>
  <c r="BH151" i="5"/>
  <c r="BH152" i="5"/>
  <c r="BH153" i="5"/>
  <c r="BH154" i="5"/>
  <c r="BH155" i="5"/>
  <c r="BH156" i="5"/>
  <c r="BH157" i="5"/>
  <c r="BH158" i="5"/>
  <c r="BH159" i="5"/>
  <c r="BH160" i="5"/>
  <c r="BH161" i="5"/>
  <c r="BH162" i="5"/>
  <c r="BH163" i="5"/>
  <c r="BH164" i="5"/>
  <c r="BH165" i="5"/>
  <c r="BH166" i="5"/>
  <c r="BH167" i="5"/>
  <c r="BH168" i="5"/>
  <c r="BH169" i="5"/>
  <c r="BH170" i="5"/>
  <c r="BH171" i="5"/>
  <c r="BH172" i="5"/>
  <c r="BH173" i="5"/>
  <c r="BH174" i="5"/>
  <c r="BH175" i="5"/>
  <c r="BH176" i="5"/>
  <c r="BH177" i="5"/>
  <c r="BH178" i="5"/>
  <c r="BH179" i="5"/>
  <c r="BH180" i="5"/>
  <c r="BH181" i="5"/>
  <c r="BH182" i="5"/>
  <c r="BH183" i="5"/>
  <c r="BH184" i="5"/>
  <c r="BH185" i="5"/>
  <c r="BH186" i="5"/>
  <c r="BH187" i="5"/>
  <c r="BH188" i="5"/>
  <c r="BH189" i="5"/>
  <c r="BH190" i="5"/>
  <c r="BH191" i="5"/>
  <c r="BH192" i="5"/>
  <c r="BH193" i="5"/>
  <c r="BH194" i="5"/>
  <c r="BH195" i="5"/>
  <c r="BH196" i="5"/>
  <c r="BH197" i="5"/>
  <c r="BH198" i="5"/>
  <c r="BH199" i="5"/>
  <c r="BH200" i="5"/>
  <c r="BH201" i="5"/>
  <c r="BH202" i="5"/>
  <c r="BH203" i="5"/>
  <c r="BH204" i="5"/>
  <c r="BH205" i="5"/>
  <c r="BH206" i="5"/>
  <c r="BH207" i="5"/>
  <c r="BH208" i="5"/>
  <c r="BH209" i="5"/>
  <c r="BH210" i="5"/>
  <c r="BH211" i="5"/>
  <c r="BH212" i="5"/>
  <c r="BH213" i="5"/>
  <c r="BH214" i="5"/>
  <c r="BH215" i="5"/>
  <c r="BH216" i="5"/>
  <c r="BH217" i="5"/>
  <c r="BH218" i="5"/>
  <c r="BH219" i="5"/>
  <c r="BH220" i="5"/>
  <c r="BH221" i="5"/>
  <c r="BH222" i="5"/>
  <c r="BH223" i="5"/>
  <c r="BH224" i="5"/>
  <c r="BH225" i="5"/>
  <c r="BH226" i="5"/>
  <c r="BH227" i="5"/>
  <c r="BH228" i="5"/>
  <c r="BH229" i="5"/>
  <c r="BH230" i="5"/>
  <c r="BH231" i="5"/>
  <c r="BH232" i="5"/>
  <c r="BH233" i="5"/>
  <c r="BH234" i="5"/>
  <c r="BH235" i="5"/>
  <c r="BH236" i="5"/>
  <c r="BH237" i="5"/>
  <c r="BH238" i="5"/>
  <c r="BH239" i="5"/>
  <c r="BH240" i="5"/>
  <c r="BH241" i="5"/>
  <c r="BH242" i="5"/>
  <c r="BH243" i="5"/>
  <c r="BH244" i="5"/>
  <c r="BH245" i="5"/>
  <c r="BH246" i="5"/>
  <c r="BH247" i="5"/>
  <c r="BH248" i="5"/>
  <c r="BH249" i="5"/>
  <c r="BH250" i="5"/>
  <c r="BH251" i="5"/>
  <c r="BH252" i="5"/>
  <c r="BH253" i="5"/>
  <c r="BH254" i="5"/>
  <c r="BH255" i="5"/>
  <c r="BG5" i="5"/>
  <c r="BG6" i="5"/>
  <c r="BG7" i="5"/>
  <c r="BG8" i="5"/>
  <c r="BG9" i="5"/>
  <c r="BG10" i="5"/>
  <c r="BG11" i="5"/>
  <c r="BG12" i="5"/>
  <c r="BG13" i="5"/>
  <c r="BG14" i="5"/>
  <c r="BG15" i="5"/>
  <c r="BG16" i="5"/>
  <c r="BG17" i="5"/>
  <c r="BG18" i="5"/>
  <c r="BG19" i="5"/>
  <c r="BG20" i="5"/>
  <c r="BG21" i="5"/>
  <c r="BG22" i="5"/>
  <c r="BG23" i="5"/>
  <c r="BG24" i="5"/>
  <c r="BG25" i="5"/>
  <c r="BG26" i="5"/>
  <c r="BG27" i="5"/>
  <c r="BG28" i="5"/>
  <c r="BG29" i="5"/>
  <c r="BG30" i="5"/>
  <c r="BG31" i="5"/>
  <c r="BG32" i="5"/>
  <c r="BG33" i="5"/>
  <c r="BG34" i="5"/>
  <c r="BG35" i="5"/>
  <c r="BG36" i="5"/>
  <c r="BG37" i="5"/>
  <c r="BG38" i="5"/>
  <c r="BG39" i="5"/>
  <c r="BG40" i="5"/>
  <c r="BG41" i="5"/>
  <c r="BG42" i="5"/>
  <c r="BG43" i="5"/>
  <c r="BG44" i="5"/>
  <c r="BG45" i="5"/>
  <c r="BG46" i="5"/>
  <c r="BG47" i="5"/>
  <c r="BG48" i="5"/>
  <c r="BG49" i="5"/>
  <c r="BG50" i="5"/>
  <c r="BG51" i="5"/>
  <c r="BG52" i="5"/>
  <c r="BG53" i="5"/>
  <c r="BG54" i="5"/>
  <c r="BG55" i="5"/>
  <c r="BG56" i="5"/>
  <c r="BG57" i="5"/>
  <c r="BG58" i="5"/>
  <c r="BG59" i="5"/>
  <c r="BG60" i="5"/>
  <c r="BG61" i="5"/>
  <c r="BG62" i="5"/>
  <c r="BG63" i="5"/>
  <c r="BG64" i="5"/>
  <c r="BG65" i="5"/>
  <c r="BG66" i="5"/>
  <c r="BG67" i="5"/>
  <c r="BG68" i="5"/>
  <c r="BG69" i="5"/>
  <c r="BG70" i="5"/>
  <c r="BG71" i="5"/>
  <c r="BG72" i="5"/>
  <c r="BG73" i="5"/>
  <c r="BG74" i="5"/>
  <c r="BG75" i="5"/>
  <c r="BG76" i="5"/>
  <c r="BG77" i="5"/>
  <c r="BG78" i="5"/>
  <c r="BG79" i="5"/>
  <c r="BG80" i="5"/>
  <c r="BG81" i="5"/>
  <c r="BG82" i="5"/>
  <c r="BG83" i="5"/>
  <c r="BG84" i="5"/>
  <c r="BG85" i="5"/>
  <c r="BG86" i="5"/>
  <c r="BG87" i="5"/>
  <c r="BG88" i="5"/>
  <c r="BG89" i="5"/>
  <c r="BG90" i="5"/>
  <c r="BG91" i="5"/>
  <c r="BG92" i="5"/>
  <c r="BG93" i="5"/>
  <c r="BG94" i="5"/>
  <c r="BG95" i="5"/>
  <c r="BG96" i="5"/>
  <c r="BG97" i="5"/>
  <c r="BG98" i="5"/>
  <c r="BG99" i="5"/>
  <c r="BG100" i="5"/>
  <c r="BG101" i="5"/>
  <c r="BG102" i="5"/>
  <c r="BG103" i="5"/>
  <c r="BG104" i="5"/>
  <c r="BG105" i="5"/>
  <c r="BG106" i="5"/>
  <c r="BG107" i="5"/>
  <c r="BG108" i="5"/>
  <c r="BG109" i="5"/>
  <c r="BG110" i="5"/>
  <c r="BG111" i="5"/>
  <c r="BG112" i="5"/>
  <c r="BG113" i="5"/>
  <c r="BG114" i="5"/>
  <c r="BG115" i="5"/>
  <c r="BG116" i="5"/>
  <c r="BG117" i="5"/>
  <c r="BG118" i="5"/>
  <c r="BG119" i="5"/>
  <c r="BG120" i="5"/>
  <c r="BG121" i="5"/>
  <c r="BG122" i="5"/>
  <c r="BG123" i="5"/>
  <c r="BG124" i="5"/>
  <c r="BG125" i="5"/>
  <c r="BG126" i="5"/>
  <c r="BG127" i="5"/>
  <c r="BG128" i="5"/>
  <c r="BG129" i="5"/>
  <c r="BG130" i="5"/>
  <c r="BG131" i="5"/>
  <c r="BG132" i="5"/>
  <c r="BG133" i="5"/>
  <c r="BG134" i="5"/>
  <c r="BG135" i="5"/>
  <c r="BG136" i="5"/>
  <c r="BG137" i="5"/>
  <c r="BG138" i="5"/>
  <c r="BG139" i="5"/>
  <c r="BG140" i="5"/>
  <c r="BG141" i="5"/>
  <c r="BG142" i="5"/>
  <c r="BG143" i="5"/>
  <c r="BG144" i="5"/>
  <c r="BG145" i="5"/>
  <c r="BG146" i="5"/>
  <c r="BG147" i="5"/>
  <c r="BG148" i="5"/>
  <c r="BG149" i="5"/>
  <c r="BG150" i="5"/>
  <c r="BG151" i="5"/>
  <c r="BG152" i="5"/>
  <c r="BG153" i="5"/>
  <c r="BG154" i="5"/>
  <c r="BG155" i="5"/>
  <c r="BG156" i="5"/>
  <c r="BG157" i="5"/>
  <c r="BG158" i="5"/>
  <c r="BG159" i="5"/>
  <c r="BG160" i="5"/>
  <c r="BG161" i="5"/>
  <c r="BG162" i="5"/>
  <c r="BG163" i="5"/>
  <c r="BG164" i="5"/>
  <c r="BG165" i="5"/>
  <c r="BG166" i="5"/>
  <c r="BG167" i="5"/>
  <c r="BG168" i="5"/>
  <c r="BG169" i="5"/>
  <c r="BG170" i="5"/>
  <c r="BG171" i="5"/>
  <c r="BG172" i="5"/>
  <c r="BG173" i="5"/>
  <c r="BG174" i="5"/>
  <c r="BG175" i="5"/>
  <c r="BG176" i="5"/>
  <c r="BG177" i="5"/>
  <c r="BG178" i="5"/>
  <c r="BG179" i="5"/>
  <c r="BG180" i="5"/>
  <c r="BG181" i="5"/>
  <c r="BG182" i="5"/>
  <c r="BG183" i="5"/>
  <c r="BG184" i="5"/>
  <c r="BG185" i="5"/>
  <c r="BG186" i="5"/>
  <c r="BG187" i="5"/>
  <c r="BG188" i="5"/>
  <c r="BG189" i="5"/>
  <c r="BG190" i="5"/>
  <c r="BG191" i="5"/>
  <c r="BG192" i="5"/>
  <c r="BG193" i="5"/>
  <c r="BG194" i="5"/>
  <c r="BG195" i="5"/>
  <c r="BG196" i="5"/>
  <c r="BG197" i="5"/>
  <c r="BG198" i="5"/>
  <c r="BG199" i="5"/>
  <c r="BG200" i="5"/>
  <c r="BG201" i="5"/>
  <c r="BG202" i="5"/>
  <c r="BG203" i="5"/>
  <c r="BG204" i="5"/>
  <c r="BG205" i="5"/>
  <c r="BG206" i="5"/>
  <c r="BG207" i="5"/>
  <c r="BG208" i="5"/>
  <c r="BG209" i="5"/>
  <c r="BG210" i="5"/>
  <c r="BG211" i="5"/>
  <c r="BG212" i="5"/>
  <c r="BG213" i="5"/>
  <c r="BG214" i="5"/>
  <c r="BG215" i="5"/>
  <c r="BG216" i="5"/>
  <c r="BG217" i="5"/>
  <c r="BG218" i="5"/>
  <c r="BG219" i="5"/>
  <c r="BG220" i="5"/>
  <c r="BG221" i="5"/>
  <c r="BG222" i="5"/>
  <c r="BG223" i="5"/>
  <c r="BG224" i="5"/>
  <c r="BG225" i="5"/>
  <c r="BG226" i="5"/>
  <c r="BG227" i="5"/>
  <c r="BG228" i="5"/>
  <c r="BG229" i="5"/>
  <c r="BG230" i="5"/>
  <c r="BG231" i="5"/>
  <c r="BG232" i="5"/>
  <c r="BG233" i="5"/>
  <c r="BG234" i="5"/>
  <c r="BG235" i="5"/>
  <c r="BG236" i="5"/>
  <c r="BG237" i="5"/>
  <c r="BG238" i="5"/>
  <c r="BG239" i="5"/>
  <c r="BG240" i="5"/>
  <c r="BG241" i="5"/>
  <c r="BG242" i="5"/>
  <c r="BG243" i="5"/>
  <c r="BG244" i="5"/>
  <c r="BG245" i="5"/>
  <c r="BG246" i="5"/>
  <c r="BG247" i="5"/>
  <c r="BG248" i="5"/>
  <c r="BG249" i="5"/>
  <c r="BG250" i="5"/>
  <c r="BG251" i="5"/>
  <c r="BG252" i="5"/>
  <c r="BG253" i="5"/>
  <c r="BG254" i="5"/>
  <c r="BG255" i="5"/>
  <c r="AU5" i="5"/>
  <c r="AU6" i="5"/>
  <c r="AU7" i="5"/>
  <c r="AU8" i="5"/>
  <c r="AU9" i="5"/>
  <c r="AU10" i="5"/>
  <c r="AU11" i="5"/>
  <c r="AU12" i="5"/>
  <c r="AU13" i="5"/>
  <c r="AU14" i="5"/>
  <c r="AU15" i="5"/>
  <c r="AU16" i="5"/>
  <c r="AU17" i="5"/>
  <c r="AU18" i="5"/>
  <c r="AU19" i="5"/>
  <c r="AU20" i="5"/>
  <c r="AU21" i="5"/>
  <c r="AU22" i="5"/>
  <c r="AU23" i="5"/>
  <c r="AU24" i="5"/>
  <c r="AU25" i="5"/>
  <c r="AU26" i="5"/>
  <c r="AU27" i="5"/>
  <c r="AU28" i="5"/>
  <c r="AU29" i="5"/>
  <c r="AU30" i="5"/>
  <c r="AU31" i="5"/>
  <c r="AU32" i="5"/>
  <c r="AU33" i="5"/>
  <c r="AU34" i="5"/>
  <c r="AU35" i="5"/>
  <c r="AU36" i="5"/>
  <c r="AU37" i="5"/>
  <c r="AU38" i="5"/>
  <c r="AU39" i="5"/>
  <c r="AU40" i="5"/>
  <c r="AU41" i="5"/>
  <c r="AU42" i="5"/>
  <c r="AU43" i="5"/>
  <c r="AU44" i="5"/>
  <c r="AU45" i="5"/>
  <c r="AU46" i="5"/>
  <c r="AU47" i="5"/>
  <c r="AU48" i="5"/>
  <c r="AU49" i="5"/>
  <c r="AU50" i="5"/>
  <c r="AU51" i="5"/>
  <c r="AU52" i="5"/>
  <c r="AU53" i="5"/>
  <c r="AU54" i="5"/>
  <c r="AU55" i="5"/>
  <c r="AU56" i="5"/>
  <c r="AU57" i="5"/>
  <c r="AU58" i="5"/>
  <c r="AU59" i="5"/>
  <c r="AU60" i="5"/>
  <c r="AU61" i="5"/>
  <c r="AU62" i="5"/>
  <c r="AU63" i="5"/>
  <c r="AU64" i="5"/>
  <c r="AU65" i="5"/>
  <c r="AU66" i="5"/>
  <c r="AU67" i="5"/>
  <c r="AU68" i="5"/>
  <c r="AU69" i="5"/>
  <c r="AU70" i="5"/>
  <c r="AU71" i="5"/>
  <c r="AU72" i="5"/>
  <c r="AU73" i="5"/>
  <c r="AU74" i="5"/>
  <c r="AU75" i="5"/>
  <c r="AU76" i="5"/>
  <c r="AU77" i="5"/>
  <c r="AU78" i="5"/>
  <c r="AU79" i="5"/>
  <c r="AU80" i="5"/>
  <c r="AU81" i="5"/>
  <c r="AU82" i="5"/>
  <c r="AU83" i="5"/>
  <c r="AU84" i="5"/>
  <c r="AU85" i="5"/>
  <c r="AU86" i="5"/>
  <c r="AU87" i="5"/>
  <c r="AU88" i="5"/>
  <c r="AU89" i="5"/>
  <c r="AU90" i="5"/>
  <c r="AU91" i="5"/>
  <c r="AU92" i="5"/>
  <c r="AU93" i="5"/>
  <c r="AU94" i="5"/>
  <c r="AU95" i="5"/>
  <c r="AU96" i="5"/>
  <c r="AU97" i="5"/>
  <c r="AU98" i="5"/>
  <c r="AU99" i="5"/>
  <c r="AU100" i="5"/>
  <c r="AU101" i="5"/>
  <c r="AU102" i="5"/>
  <c r="AU103" i="5"/>
  <c r="AU104" i="5"/>
  <c r="AU105" i="5"/>
  <c r="AU106" i="5"/>
  <c r="AU107" i="5"/>
  <c r="AU108" i="5"/>
  <c r="AU109" i="5"/>
  <c r="AU110" i="5"/>
  <c r="AU111" i="5"/>
  <c r="AU112" i="5"/>
  <c r="AU113" i="5"/>
  <c r="AU114" i="5"/>
  <c r="AU115" i="5"/>
  <c r="AU116" i="5"/>
  <c r="AU117" i="5"/>
  <c r="AU118" i="5"/>
  <c r="AU119" i="5"/>
  <c r="AU120" i="5"/>
  <c r="AU121" i="5"/>
  <c r="AU122" i="5"/>
  <c r="AU123" i="5"/>
  <c r="AU124" i="5"/>
  <c r="AU125" i="5"/>
  <c r="AU126" i="5"/>
  <c r="AU127" i="5"/>
  <c r="AU128" i="5"/>
  <c r="AU129" i="5"/>
  <c r="AU130" i="5"/>
  <c r="AU131" i="5"/>
  <c r="AU132" i="5"/>
  <c r="AU133" i="5"/>
  <c r="AU134" i="5"/>
  <c r="AU135" i="5"/>
  <c r="AU136" i="5"/>
  <c r="AU137" i="5"/>
  <c r="AU138" i="5"/>
  <c r="AU139" i="5"/>
  <c r="AU140" i="5"/>
  <c r="AU141" i="5"/>
  <c r="AU142" i="5"/>
  <c r="AU143" i="5"/>
  <c r="AU144" i="5"/>
  <c r="AU145" i="5"/>
  <c r="AU146" i="5"/>
  <c r="AU147" i="5"/>
  <c r="AU148" i="5"/>
  <c r="AU149" i="5"/>
  <c r="AU150" i="5"/>
  <c r="AU151" i="5"/>
  <c r="AU152" i="5"/>
  <c r="AU153" i="5"/>
  <c r="AU154" i="5"/>
  <c r="AU155" i="5"/>
  <c r="AU156" i="5"/>
  <c r="AU157" i="5"/>
  <c r="AU158" i="5"/>
  <c r="AU159" i="5"/>
  <c r="AU160" i="5"/>
  <c r="AU161" i="5"/>
  <c r="AU162" i="5"/>
  <c r="AU163" i="5"/>
  <c r="AU164" i="5"/>
  <c r="AU165" i="5"/>
  <c r="AU166" i="5"/>
  <c r="AU167" i="5"/>
  <c r="AU168" i="5"/>
  <c r="AU169" i="5"/>
  <c r="AU170" i="5"/>
  <c r="AU171" i="5"/>
  <c r="AU172" i="5"/>
  <c r="AU173" i="5"/>
  <c r="AU174" i="5"/>
  <c r="AU175" i="5"/>
  <c r="AU176" i="5"/>
  <c r="AU177" i="5"/>
  <c r="AU178" i="5"/>
  <c r="AU179" i="5"/>
  <c r="AU180" i="5"/>
  <c r="AU181" i="5"/>
  <c r="AU182" i="5"/>
  <c r="AU183" i="5"/>
  <c r="AU184" i="5"/>
  <c r="AU185" i="5"/>
  <c r="AU186" i="5"/>
  <c r="AU187" i="5"/>
  <c r="AU188" i="5"/>
  <c r="AU189" i="5"/>
  <c r="AU190" i="5"/>
  <c r="AU191" i="5"/>
  <c r="AU192" i="5"/>
  <c r="AU193" i="5"/>
  <c r="AU194" i="5"/>
  <c r="AU195" i="5"/>
  <c r="AU196" i="5"/>
  <c r="AU197" i="5"/>
  <c r="AU198" i="5"/>
  <c r="AU199" i="5"/>
  <c r="AU200" i="5"/>
  <c r="AU201" i="5"/>
  <c r="AU202" i="5"/>
  <c r="AU203" i="5"/>
  <c r="AU204" i="5"/>
  <c r="AU205" i="5"/>
  <c r="AU206" i="5"/>
  <c r="AU207" i="5"/>
  <c r="AU208" i="5"/>
  <c r="AU209" i="5"/>
  <c r="AU210" i="5"/>
  <c r="AU211" i="5"/>
  <c r="AU212" i="5"/>
  <c r="AU213" i="5"/>
  <c r="AU214" i="5"/>
  <c r="AU215" i="5"/>
  <c r="AU216" i="5"/>
  <c r="AU217" i="5"/>
  <c r="AU218" i="5"/>
  <c r="AU219" i="5"/>
  <c r="AU220" i="5"/>
  <c r="AU221" i="5"/>
  <c r="AU222" i="5"/>
  <c r="AU223" i="5"/>
  <c r="AU224" i="5"/>
  <c r="AU225" i="5"/>
  <c r="AU226" i="5"/>
  <c r="AU227" i="5"/>
  <c r="AU228" i="5"/>
  <c r="AU229" i="5"/>
  <c r="AU230" i="5"/>
  <c r="AU231" i="5"/>
  <c r="AU232" i="5"/>
  <c r="AU233" i="5"/>
  <c r="AU234" i="5"/>
  <c r="AU235" i="5"/>
  <c r="AU236" i="5"/>
  <c r="AU237" i="5"/>
  <c r="AU238" i="5"/>
  <c r="AU239" i="5"/>
  <c r="AU240" i="5"/>
  <c r="AU241" i="5"/>
  <c r="AU242" i="5"/>
  <c r="AU243" i="5"/>
  <c r="AU244" i="5"/>
  <c r="AU245" i="5"/>
  <c r="AU246" i="5"/>
  <c r="AU247" i="5"/>
  <c r="AU248" i="5"/>
  <c r="AU249" i="5"/>
  <c r="AU250" i="5"/>
  <c r="AU251" i="5"/>
  <c r="AU252" i="5"/>
  <c r="AU253" i="5"/>
  <c r="AU254" i="5"/>
  <c r="AU255" i="5"/>
  <c r="AC257" i="5"/>
  <c r="CA18" i="8"/>
  <c r="CB18" i="8" s="1"/>
  <c r="CA4" i="8"/>
  <c r="CA5" i="8"/>
  <c r="CA6" i="8"/>
  <c r="CA7" i="8"/>
  <c r="CA8" i="8"/>
  <c r="CB8" i="8" s="1"/>
  <c r="CA9" i="8"/>
  <c r="CB9" i="8" s="1"/>
  <c r="CA10" i="8"/>
  <c r="CB10" i="8" s="1"/>
  <c r="CA11" i="8"/>
  <c r="CA12" i="8"/>
  <c r="CA13" i="8"/>
  <c r="CA14" i="8"/>
  <c r="CA15" i="8"/>
  <c r="CA16" i="8"/>
  <c r="CB16" i="8" s="1"/>
  <c r="CA17" i="8"/>
  <c r="CB17" i="8" s="1"/>
  <c r="CB4" i="8"/>
  <c r="CB5" i="8"/>
  <c r="CB6" i="8"/>
  <c r="CB7" i="8"/>
  <c r="CB11" i="8"/>
  <c r="CA3" i="8"/>
  <c r="BZ4" i="8"/>
  <c r="BZ5" i="8"/>
  <c r="BZ6" i="8"/>
  <c r="BZ7" i="8"/>
  <c r="BZ8" i="8"/>
  <c r="BZ9" i="8"/>
  <c r="BZ10" i="8"/>
  <c r="BZ11" i="8"/>
  <c r="BZ12" i="8"/>
  <c r="BZ13" i="8"/>
  <c r="BZ14" i="8"/>
  <c r="BZ15" i="8"/>
  <c r="BZ16" i="8"/>
  <c r="BZ17" i="8"/>
  <c r="BZ18" i="8"/>
  <c r="BZ3" i="8"/>
  <c r="BZ20" i="8"/>
  <c r="CB15" i="8"/>
  <c r="CB14" i="8"/>
  <c r="CB13" i="8"/>
  <c r="CB12" i="8"/>
  <c r="ED20" i="8"/>
  <c r="EE4" i="8"/>
  <c r="EE5" i="8"/>
  <c r="EE6" i="8"/>
  <c r="EE7" i="8"/>
  <c r="EE8" i="8"/>
  <c r="EE9" i="8"/>
  <c r="EE10" i="8"/>
  <c r="EE11" i="8"/>
  <c r="EE12" i="8"/>
  <c r="EE13" i="8"/>
  <c r="EE14" i="8"/>
  <c r="EE15" i="8"/>
  <c r="EE16" i="8"/>
  <c r="EE17" i="8"/>
  <c r="EE18" i="8"/>
  <c r="EE3" i="8"/>
  <c r="EC20" i="8"/>
  <c r="DO2" i="8"/>
  <c r="DP2" i="8" s="1"/>
  <c r="DN3" i="8"/>
  <c r="DO3" i="8" s="1"/>
  <c r="DP3" i="8" s="1"/>
  <c r="DL3" i="8"/>
  <c r="DL4" i="8"/>
  <c r="DL5" i="8"/>
  <c r="DL6" i="8"/>
  <c r="DL7" i="8"/>
  <c r="DL8" i="8"/>
  <c r="DL9" i="8"/>
  <c r="DL10" i="8"/>
  <c r="DL11" i="8"/>
  <c r="DL12" i="8"/>
  <c r="DL13" i="8"/>
  <c r="DL14" i="8"/>
  <c r="DL15" i="8"/>
  <c r="DL16" i="8"/>
  <c r="DL17" i="8"/>
  <c r="DL18" i="8"/>
  <c r="DL19" i="8"/>
  <c r="DL20" i="8"/>
  <c r="DL21" i="8"/>
  <c r="DL22" i="8"/>
  <c r="DL23" i="8"/>
  <c r="DL24" i="8"/>
  <c r="DL25" i="8"/>
  <c r="DL26" i="8"/>
  <c r="DL27" i="8"/>
  <c r="DL28" i="8"/>
  <c r="DL29" i="8"/>
  <c r="DL30" i="8"/>
  <c r="DL31" i="8"/>
  <c r="DL32" i="8"/>
  <c r="DL33" i="8"/>
  <c r="DL34" i="8"/>
  <c r="DL35" i="8"/>
  <c r="DL36" i="8"/>
  <c r="DL37" i="8"/>
  <c r="DL38" i="8"/>
  <c r="DL39" i="8"/>
  <c r="DL40" i="8"/>
  <c r="DL41" i="8"/>
  <c r="DL42" i="8"/>
  <c r="DL43" i="8"/>
  <c r="DL44" i="8"/>
  <c r="DL45" i="8"/>
  <c r="DL46" i="8"/>
  <c r="DL47" i="8"/>
  <c r="DL48" i="8"/>
  <c r="DL49" i="8"/>
  <c r="DL50" i="8"/>
  <c r="DL51" i="8"/>
  <c r="DL52" i="8"/>
  <c r="DL53" i="8"/>
  <c r="DL54" i="8"/>
  <c r="DL55" i="8"/>
  <c r="DL56" i="8"/>
  <c r="DL57" i="8"/>
  <c r="DL58" i="8"/>
  <c r="DL59" i="8"/>
  <c r="DL60" i="8"/>
  <c r="DL61" i="8"/>
  <c r="DL62" i="8"/>
  <c r="DL63" i="8"/>
  <c r="DL64" i="8"/>
  <c r="DL65" i="8"/>
  <c r="DL66" i="8"/>
  <c r="DL67" i="8"/>
  <c r="DL68" i="8"/>
  <c r="DL69" i="8"/>
  <c r="DL70" i="8"/>
  <c r="DL71" i="8"/>
  <c r="DL72" i="8"/>
  <c r="DL73" i="8"/>
  <c r="DL74" i="8"/>
  <c r="DL75" i="8"/>
  <c r="DL76" i="8"/>
  <c r="DL77" i="8"/>
  <c r="DL78" i="8"/>
  <c r="DL79" i="8"/>
  <c r="DL80" i="8"/>
  <c r="DL81" i="8"/>
  <c r="DL82" i="8"/>
  <c r="DL83" i="8"/>
  <c r="DL84" i="8"/>
  <c r="DL85" i="8"/>
  <c r="DL86" i="8"/>
  <c r="DL87" i="8"/>
  <c r="DL88" i="8"/>
  <c r="DL89" i="8"/>
  <c r="DL90" i="8"/>
  <c r="DL91" i="8"/>
  <c r="DL92" i="8"/>
  <c r="DL93" i="8"/>
  <c r="DL94" i="8"/>
  <c r="DL95" i="8"/>
  <c r="DL96" i="8"/>
  <c r="DL97" i="8"/>
  <c r="DL98" i="8"/>
  <c r="DL99" i="8"/>
  <c r="DL100" i="8"/>
  <c r="DL101" i="8"/>
  <c r="DL102" i="8"/>
  <c r="DL103" i="8"/>
  <c r="DL104" i="8"/>
  <c r="DL105" i="8"/>
  <c r="DL106" i="8"/>
  <c r="DL107" i="8"/>
  <c r="DL108" i="8"/>
  <c r="DL109" i="8"/>
  <c r="DL110" i="8"/>
  <c r="DL111" i="8"/>
  <c r="DL112" i="8"/>
  <c r="DL113" i="8"/>
  <c r="DL114" i="8"/>
  <c r="DL115" i="8"/>
  <c r="DL116" i="8"/>
  <c r="DL117" i="8"/>
  <c r="DL118" i="8"/>
  <c r="DL119" i="8"/>
  <c r="DL120" i="8"/>
  <c r="DL121" i="8"/>
  <c r="DL122" i="8"/>
  <c r="DL123" i="8"/>
  <c r="DL124" i="8"/>
  <c r="DL125" i="8"/>
  <c r="DL126" i="8"/>
  <c r="DL127" i="8"/>
  <c r="DL128" i="8"/>
  <c r="DL129" i="8"/>
  <c r="DL130" i="8"/>
  <c r="DL131" i="8"/>
  <c r="DL132" i="8"/>
  <c r="DL133" i="8"/>
  <c r="DL134" i="8"/>
  <c r="DL135" i="8"/>
  <c r="DL136" i="8"/>
  <c r="DL137" i="8"/>
  <c r="DL138" i="8"/>
  <c r="DL139" i="8"/>
  <c r="DL140" i="8"/>
  <c r="DL141" i="8"/>
  <c r="DL142" i="8"/>
  <c r="DL143" i="8"/>
  <c r="DL144" i="8"/>
  <c r="DL145" i="8"/>
  <c r="DL146" i="8"/>
  <c r="DL147" i="8"/>
  <c r="DL148" i="8"/>
  <c r="DL149" i="8"/>
  <c r="DL150" i="8"/>
  <c r="DL151" i="8"/>
  <c r="DL152" i="8"/>
  <c r="DL153" i="8"/>
  <c r="DL154" i="8"/>
  <c r="DL155" i="8"/>
  <c r="DL156" i="8"/>
  <c r="DL157" i="8"/>
  <c r="DL158" i="8"/>
  <c r="DL159" i="8"/>
  <c r="DL160" i="8"/>
  <c r="DL161" i="8"/>
  <c r="DL162" i="8"/>
  <c r="DL163" i="8"/>
  <c r="DL164" i="8"/>
  <c r="DL165" i="8"/>
  <c r="DL166" i="8"/>
  <c r="DL167" i="8"/>
  <c r="DL168" i="8"/>
  <c r="DL169" i="8"/>
  <c r="DL170" i="8"/>
  <c r="DL171" i="8"/>
  <c r="DL172" i="8"/>
  <c r="DL173" i="8"/>
  <c r="DL174" i="8"/>
  <c r="DL175" i="8"/>
  <c r="DL176" i="8"/>
  <c r="DL177" i="8"/>
  <c r="DL178" i="8"/>
  <c r="DL179" i="8"/>
  <c r="DL180" i="8"/>
  <c r="DL181" i="8"/>
  <c r="DL182" i="8"/>
  <c r="DL183" i="8"/>
  <c r="DL184" i="8"/>
  <c r="DL185" i="8"/>
  <c r="DL186" i="8"/>
  <c r="DL187" i="8"/>
  <c r="DL188" i="8"/>
  <c r="DL189" i="8"/>
  <c r="DL190" i="8"/>
  <c r="DL191" i="8"/>
  <c r="DL192" i="8"/>
  <c r="DL193" i="8"/>
  <c r="DL194" i="8"/>
  <c r="DL195" i="8"/>
  <c r="DL196" i="8"/>
  <c r="DL197" i="8"/>
  <c r="DL198" i="8"/>
  <c r="DL199" i="8"/>
  <c r="DL200" i="8"/>
  <c r="DL201" i="8"/>
  <c r="DL202" i="8"/>
  <c r="DL203" i="8"/>
  <c r="DL204" i="8"/>
  <c r="DL205" i="8"/>
  <c r="DL206" i="8"/>
  <c r="DL207" i="8"/>
  <c r="DL208" i="8"/>
  <c r="DL209" i="8"/>
  <c r="DL210" i="8"/>
  <c r="DL211" i="8"/>
  <c r="DL212" i="8"/>
  <c r="DL213" i="8"/>
  <c r="DL214" i="8"/>
  <c r="DL215" i="8"/>
  <c r="DL216" i="8"/>
  <c r="DL217" i="8"/>
  <c r="DL218" i="8"/>
  <c r="DL219" i="8"/>
  <c r="DL220" i="8"/>
  <c r="DL221" i="8"/>
  <c r="DL222" i="8"/>
  <c r="DL223" i="8"/>
  <c r="DL224" i="8"/>
  <c r="DL225" i="8"/>
  <c r="DL226" i="8"/>
  <c r="DL227" i="8"/>
  <c r="DL228" i="8"/>
  <c r="DL229" i="8"/>
  <c r="DL230" i="8"/>
  <c r="DL231" i="8"/>
  <c r="DL232" i="8"/>
  <c r="DL233" i="8"/>
  <c r="DL234" i="8"/>
  <c r="DL235" i="8"/>
  <c r="DL236" i="8"/>
  <c r="DL237" i="8"/>
  <c r="DL238" i="8"/>
  <c r="DL239" i="8"/>
  <c r="DL240" i="8"/>
  <c r="DL241" i="8"/>
  <c r="DL242" i="8"/>
  <c r="DL243" i="8"/>
  <c r="DL244" i="8"/>
  <c r="DL245" i="8"/>
  <c r="DL246" i="8"/>
  <c r="DL247" i="8"/>
  <c r="DL248" i="8"/>
  <c r="DL249" i="8"/>
  <c r="DL250" i="8"/>
  <c r="DL251" i="8"/>
  <c r="DL252" i="8"/>
  <c r="DL253" i="8"/>
  <c r="DL2" i="8"/>
  <c r="BL2" i="8"/>
  <c r="BM2" i="8" s="1"/>
  <c r="BK3" i="8"/>
  <c r="BL3" i="8" s="1"/>
  <c r="BM3" i="8" s="1"/>
  <c r="BI253" i="8"/>
  <c r="BI3" i="8"/>
  <c r="BI4" i="8"/>
  <c r="BI5" i="8"/>
  <c r="BI6" i="8"/>
  <c r="BI7" i="8"/>
  <c r="BI8" i="8"/>
  <c r="BI9" i="8"/>
  <c r="BI10" i="8"/>
  <c r="BI11" i="8"/>
  <c r="BI12" i="8"/>
  <c r="BI13" i="8"/>
  <c r="BI14" i="8"/>
  <c r="BI15" i="8"/>
  <c r="BI16" i="8"/>
  <c r="BI17" i="8"/>
  <c r="BI18" i="8"/>
  <c r="BI19" i="8"/>
  <c r="BI20" i="8"/>
  <c r="BI21" i="8"/>
  <c r="BI22" i="8"/>
  <c r="BI23" i="8"/>
  <c r="BI24" i="8"/>
  <c r="BI25" i="8"/>
  <c r="BI26" i="8"/>
  <c r="BI27" i="8"/>
  <c r="BI28" i="8"/>
  <c r="BI29" i="8"/>
  <c r="BI30" i="8"/>
  <c r="BI31" i="8"/>
  <c r="BI32" i="8"/>
  <c r="BI33" i="8"/>
  <c r="BI34" i="8"/>
  <c r="BI35" i="8"/>
  <c r="BI36" i="8"/>
  <c r="BI37" i="8"/>
  <c r="BI38" i="8"/>
  <c r="BI39" i="8"/>
  <c r="BI40" i="8"/>
  <c r="BI41" i="8"/>
  <c r="BI42" i="8"/>
  <c r="BI43" i="8"/>
  <c r="BI44" i="8"/>
  <c r="BI45" i="8"/>
  <c r="BI46" i="8"/>
  <c r="BI47" i="8"/>
  <c r="BI48" i="8"/>
  <c r="BI49" i="8"/>
  <c r="BI50" i="8"/>
  <c r="BI51" i="8"/>
  <c r="BI52" i="8"/>
  <c r="BI53" i="8"/>
  <c r="BI54" i="8"/>
  <c r="BI55" i="8"/>
  <c r="BI56" i="8"/>
  <c r="BI57" i="8"/>
  <c r="BI58" i="8"/>
  <c r="BI59" i="8"/>
  <c r="BI60" i="8"/>
  <c r="BI61" i="8"/>
  <c r="BI62" i="8"/>
  <c r="BI63" i="8"/>
  <c r="BI64" i="8"/>
  <c r="BI65" i="8"/>
  <c r="BI66" i="8"/>
  <c r="BI67" i="8"/>
  <c r="BI68" i="8"/>
  <c r="BI69" i="8"/>
  <c r="BI70" i="8"/>
  <c r="BI71" i="8"/>
  <c r="BI72" i="8"/>
  <c r="BI73" i="8"/>
  <c r="BI74" i="8"/>
  <c r="BI75" i="8"/>
  <c r="BI76" i="8"/>
  <c r="BI77" i="8"/>
  <c r="BI78" i="8"/>
  <c r="BI79" i="8"/>
  <c r="BI80" i="8"/>
  <c r="BI81" i="8"/>
  <c r="BI82" i="8"/>
  <c r="BI83" i="8"/>
  <c r="BI84" i="8"/>
  <c r="BI85" i="8"/>
  <c r="BI86" i="8"/>
  <c r="BI87" i="8"/>
  <c r="BI88" i="8"/>
  <c r="BI89" i="8"/>
  <c r="BI90" i="8"/>
  <c r="BI91" i="8"/>
  <c r="BI92" i="8"/>
  <c r="BI93" i="8"/>
  <c r="BI94" i="8"/>
  <c r="BI95" i="8"/>
  <c r="BI96" i="8"/>
  <c r="BI97" i="8"/>
  <c r="BI98" i="8"/>
  <c r="BI99" i="8"/>
  <c r="BI100" i="8"/>
  <c r="BI101" i="8"/>
  <c r="BI102" i="8"/>
  <c r="BI103" i="8"/>
  <c r="BI104" i="8"/>
  <c r="BI105" i="8"/>
  <c r="BI106" i="8"/>
  <c r="BI107" i="8"/>
  <c r="BI108" i="8"/>
  <c r="BI109" i="8"/>
  <c r="BI110" i="8"/>
  <c r="BI111" i="8"/>
  <c r="BI112" i="8"/>
  <c r="BI113" i="8"/>
  <c r="BI114" i="8"/>
  <c r="BI115" i="8"/>
  <c r="BI116" i="8"/>
  <c r="BI117" i="8"/>
  <c r="BI118" i="8"/>
  <c r="BI119" i="8"/>
  <c r="BI120" i="8"/>
  <c r="BI121" i="8"/>
  <c r="BI122" i="8"/>
  <c r="BI123" i="8"/>
  <c r="BI124" i="8"/>
  <c r="BI125" i="8"/>
  <c r="BI126" i="8"/>
  <c r="BI127" i="8"/>
  <c r="BI128" i="8"/>
  <c r="BI129" i="8"/>
  <c r="BI130" i="8"/>
  <c r="BI131" i="8"/>
  <c r="BI132" i="8"/>
  <c r="BI133" i="8"/>
  <c r="BI134" i="8"/>
  <c r="BI135" i="8"/>
  <c r="BI136" i="8"/>
  <c r="BI137" i="8"/>
  <c r="BI138" i="8"/>
  <c r="BI139" i="8"/>
  <c r="BI140" i="8"/>
  <c r="BI141" i="8"/>
  <c r="BI142" i="8"/>
  <c r="BI143" i="8"/>
  <c r="BI144" i="8"/>
  <c r="BI145" i="8"/>
  <c r="BI146" i="8"/>
  <c r="BI147" i="8"/>
  <c r="BI148" i="8"/>
  <c r="BI149" i="8"/>
  <c r="BI150" i="8"/>
  <c r="BI151" i="8"/>
  <c r="BI152" i="8"/>
  <c r="BI153" i="8"/>
  <c r="BI154" i="8"/>
  <c r="BI155" i="8"/>
  <c r="BI156" i="8"/>
  <c r="BI157" i="8"/>
  <c r="BI158" i="8"/>
  <c r="BI159" i="8"/>
  <c r="BI160" i="8"/>
  <c r="BI161" i="8"/>
  <c r="BI162" i="8"/>
  <c r="BI163" i="8"/>
  <c r="BI164" i="8"/>
  <c r="BI165" i="8"/>
  <c r="BI166" i="8"/>
  <c r="BI167" i="8"/>
  <c r="BI168" i="8"/>
  <c r="BI169" i="8"/>
  <c r="BI170" i="8"/>
  <c r="BI171" i="8"/>
  <c r="BI172" i="8"/>
  <c r="BI173" i="8"/>
  <c r="BI174" i="8"/>
  <c r="BI175" i="8"/>
  <c r="BI176" i="8"/>
  <c r="BI177" i="8"/>
  <c r="BI178" i="8"/>
  <c r="BI179" i="8"/>
  <c r="BI180" i="8"/>
  <c r="BI181" i="8"/>
  <c r="BI182" i="8"/>
  <c r="BI183" i="8"/>
  <c r="BI184" i="8"/>
  <c r="BI185" i="8"/>
  <c r="BI186" i="8"/>
  <c r="BI187" i="8"/>
  <c r="BI188" i="8"/>
  <c r="BI189" i="8"/>
  <c r="BI190" i="8"/>
  <c r="BI191" i="8"/>
  <c r="BI192" i="8"/>
  <c r="BI193" i="8"/>
  <c r="BI194" i="8"/>
  <c r="BI195" i="8"/>
  <c r="BI196" i="8"/>
  <c r="BI197" i="8"/>
  <c r="BI198" i="8"/>
  <c r="BI199" i="8"/>
  <c r="BI200" i="8"/>
  <c r="BI201" i="8"/>
  <c r="BI202" i="8"/>
  <c r="BI203" i="8"/>
  <c r="BI204" i="8"/>
  <c r="BI205" i="8"/>
  <c r="BI206" i="8"/>
  <c r="BI207" i="8"/>
  <c r="BI208" i="8"/>
  <c r="BI209" i="8"/>
  <c r="BI210" i="8"/>
  <c r="BI211" i="8"/>
  <c r="BI212" i="8"/>
  <c r="BI213" i="8"/>
  <c r="BI214" i="8"/>
  <c r="BI215" i="8"/>
  <c r="BI216" i="8"/>
  <c r="BI217" i="8"/>
  <c r="BI218" i="8"/>
  <c r="BI219" i="8"/>
  <c r="BI220" i="8"/>
  <c r="BI221" i="8"/>
  <c r="BI222" i="8"/>
  <c r="BI223" i="8"/>
  <c r="BI224" i="8"/>
  <c r="BI225" i="8"/>
  <c r="BI226" i="8"/>
  <c r="BI227" i="8"/>
  <c r="BI228" i="8"/>
  <c r="BI229" i="8"/>
  <c r="BI230" i="8"/>
  <c r="BI231" i="8"/>
  <c r="BI232" i="8"/>
  <c r="BI233" i="8"/>
  <c r="BI234" i="8"/>
  <c r="BI235" i="8"/>
  <c r="BI236" i="8"/>
  <c r="BI237" i="8"/>
  <c r="BI238" i="8"/>
  <c r="BI239" i="8"/>
  <c r="BI240" i="8"/>
  <c r="BI241" i="8"/>
  <c r="BI242" i="8"/>
  <c r="BI243" i="8"/>
  <c r="BI244" i="8"/>
  <c r="BI245" i="8"/>
  <c r="BI246" i="8"/>
  <c r="BI247" i="8"/>
  <c r="BI248" i="8"/>
  <c r="BI249" i="8"/>
  <c r="BI250" i="8"/>
  <c r="BI251" i="8"/>
  <c r="BI252" i="8"/>
  <c r="BI2" i="8"/>
  <c r="CA20" i="8" l="1"/>
  <c r="CB3" i="8"/>
  <c r="CB20" i="8"/>
  <c r="EE20" i="8"/>
  <c r="BK4" i="8"/>
  <c r="DN4" i="8"/>
  <c r="DO4" i="8" l="1"/>
  <c r="DP4" i="8" s="1"/>
  <c r="DN5" i="8"/>
  <c r="BL4" i="8"/>
  <c r="BM4" i="8" s="1"/>
  <c r="BK5" i="8"/>
  <c r="BL5" i="8" l="1"/>
  <c r="BM5" i="8" s="1"/>
  <c r="BK6" i="8"/>
  <c r="DN6" i="8"/>
  <c r="DO5" i="8"/>
  <c r="DP5" i="8" s="1"/>
  <c r="DN7" i="8" l="1"/>
  <c r="DO6" i="8"/>
  <c r="DP6" i="8" s="1"/>
  <c r="BL6" i="8"/>
  <c r="BM6" i="8" s="1"/>
  <c r="BK7" i="8"/>
  <c r="BL7" i="8" l="1"/>
  <c r="BM7" i="8" s="1"/>
  <c r="BK8" i="8"/>
  <c r="DN8" i="8"/>
  <c r="DO7" i="8"/>
  <c r="DP7" i="8" s="1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68" i="6"/>
  <c r="AA169" i="6"/>
  <c r="AA170" i="6"/>
  <c r="AA171" i="6"/>
  <c r="AA172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4" i="6"/>
  <c r="W95" i="6"/>
  <c r="W96" i="6"/>
  <c r="W97" i="6"/>
  <c r="W98" i="6"/>
  <c r="W99" i="6"/>
  <c r="W100" i="6"/>
  <c r="W101" i="6"/>
  <c r="W102" i="6"/>
  <c r="W103" i="6"/>
  <c r="W104" i="6"/>
  <c r="W105" i="6"/>
  <c r="W106" i="6"/>
  <c r="W107" i="6"/>
  <c r="W108" i="6"/>
  <c r="W109" i="6"/>
  <c r="W110" i="6"/>
  <c r="W111" i="6"/>
  <c r="W112" i="6"/>
  <c r="W113" i="6"/>
  <c r="W114" i="6"/>
  <c r="W115" i="6"/>
  <c r="W116" i="6"/>
  <c r="W117" i="6"/>
  <c r="W118" i="6"/>
  <c r="W119" i="6"/>
  <c r="W120" i="6"/>
  <c r="W121" i="6"/>
  <c r="W122" i="6"/>
  <c r="W123" i="6"/>
  <c r="W124" i="6"/>
  <c r="W125" i="6"/>
  <c r="W126" i="6"/>
  <c r="W127" i="6"/>
  <c r="W128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1" i="6"/>
  <c r="W142" i="6"/>
  <c r="W143" i="6"/>
  <c r="W144" i="6"/>
  <c r="W145" i="6"/>
  <c r="W146" i="6"/>
  <c r="W147" i="6"/>
  <c r="W148" i="6"/>
  <c r="W149" i="6"/>
  <c r="W150" i="6"/>
  <c r="W151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216" i="6"/>
  <c r="W217" i="6"/>
  <c r="W218" i="6"/>
  <c r="W219" i="6"/>
  <c r="W220" i="6"/>
  <c r="W221" i="6"/>
  <c r="W222" i="6"/>
  <c r="W223" i="6"/>
  <c r="W224" i="6"/>
  <c r="W225" i="6"/>
  <c r="W226" i="6"/>
  <c r="W227" i="6"/>
  <c r="W228" i="6"/>
  <c r="W229" i="6"/>
  <c r="W230" i="6"/>
  <c r="W231" i="6"/>
  <c r="W232" i="6"/>
  <c r="W233" i="6"/>
  <c r="W234" i="6"/>
  <c r="W235" i="6"/>
  <c r="W236" i="6"/>
  <c r="W237" i="6"/>
  <c r="W238" i="6"/>
  <c r="W239" i="6"/>
  <c r="W240" i="6"/>
  <c r="W241" i="6"/>
  <c r="W242" i="6"/>
  <c r="W243" i="6"/>
  <c r="W244" i="6"/>
  <c r="W245" i="6"/>
  <c r="W246" i="6"/>
  <c r="W247" i="6"/>
  <c r="W248" i="6"/>
  <c r="W249" i="6"/>
  <c r="W250" i="6"/>
  <c r="W251" i="6"/>
  <c r="W252" i="6"/>
  <c r="W253" i="6"/>
  <c r="W254" i="6"/>
  <c r="W255" i="6"/>
  <c r="W256" i="6"/>
  <c r="W257" i="6"/>
  <c r="W258" i="6"/>
  <c r="W5" i="6"/>
  <c r="P7" i="8"/>
  <c r="P8" i="8" s="1"/>
  <c r="B7" i="8"/>
  <c r="B8" i="8" s="1"/>
  <c r="P6" i="8"/>
  <c r="P5" i="8"/>
  <c r="B6" i="8"/>
  <c r="B5" i="8"/>
  <c r="L256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102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7" i="6"/>
  <c r="L258" i="6"/>
  <c r="L103" i="6"/>
  <c r="L102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5" i="6"/>
  <c r="AW5" i="5"/>
  <c r="AW6" i="5"/>
  <c r="AW7" i="5"/>
  <c r="AW8" i="5"/>
  <c r="AW9" i="5"/>
  <c r="AW10" i="5"/>
  <c r="AW11" i="5"/>
  <c r="AW12" i="5"/>
  <c r="AW13" i="5"/>
  <c r="AW14" i="5"/>
  <c r="AW15" i="5"/>
  <c r="AW16" i="5"/>
  <c r="AW17" i="5"/>
  <c r="AW18" i="5"/>
  <c r="AW19" i="5"/>
  <c r="AW20" i="5"/>
  <c r="AW21" i="5"/>
  <c r="AW22" i="5"/>
  <c r="AW23" i="5"/>
  <c r="AW24" i="5"/>
  <c r="AW25" i="5"/>
  <c r="AW26" i="5"/>
  <c r="AW27" i="5"/>
  <c r="AW28" i="5"/>
  <c r="AW29" i="5"/>
  <c r="AW30" i="5"/>
  <c r="AW31" i="5"/>
  <c r="AW32" i="5"/>
  <c r="AW33" i="5"/>
  <c r="AW34" i="5"/>
  <c r="AW35" i="5"/>
  <c r="AW36" i="5"/>
  <c r="AW37" i="5"/>
  <c r="AW38" i="5"/>
  <c r="AW39" i="5"/>
  <c r="AW40" i="5"/>
  <c r="AW41" i="5"/>
  <c r="AW42" i="5"/>
  <c r="AW43" i="5"/>
  <c r="AW44" i="5"/>
  <c r="AW45" i="5"/>
  <c r="AW46" i="5"/>
  <c r="AW47" i="5"/>
  <c r="AW48" i="5"/>
  <c r="AW49" i="5"/>
  <c r="AW50" i="5"/>
  <c r="AW51" i="5"/>
  <c r="AW52" i="5"/>
  <c r="AW53" i="5"/>
  <c r="AW54" i="5"/>
  <c r="AW55" i="5"/>
  <c r="AW56" i="5"/>
  <c r="AW57" i="5"/>
  <c r="AW58" i="5"/>
  <c r="AW59" i="5"/>
  <c r="AW60" i="5"/>
  <c r="AW61" i="5"/>
  <c r="AW62" i="5"/>
  <c r="AW63" i="5"/>
  <c r="AW64" i="5"/>
  <c r="AW65" i="5"/>
  <c r="AW66" i="5"/>
  <c r="AW67" i="5"/>
  <c r="AW68" i="5"/>
  <c r="AW69" i="5"/>
  <c r="AW70" i="5"/>
  <c r="AW71" i="5"/>
  <c r="AW72" i="5"/>
  <c r="AW73" i="5"/>
  <c r="AW74" i="5"/>
  <c r="AW75" i="5"/>
  <c r="AW76" i="5"/>
  <c r="AW77" i="5"/>
  <c r="AW78" i="5"/>
  <c r="AW79" i="5"/>
  <c r="AW80" i="5"/>
  <c r="AW81" i="5"/>
  <c r="AW82" i="5"/>
  <c r="AW83" i="5"/>
  <c r="AW84" i="5"/>
  <c r="AW85" i="5"/>
  <c r="AW86" i="5"/>
  <c r="AW87" i="5"/>
  <c r="AW88" i="5"/>
  <c r="AW89" i="5"/>
  <c r="AW90" i="5"/>
  <c r="AW91" i="5"/>
  <c r="AW92" i="5"/>
  <c r="AW93" i="5"/>
  <c r="AW94" i="5"/>
  <c r="AW95" i="5"/>
  <c r="AW96" i="5"/>
  <c r="AW97" i="5"/>
  <c r="AW98" i="5"/>
  <c r="AW99" i="5"/>
  <c r="AW100" i="5"/>
  <c r="AW101" i="5"/>
  <c r="AW102" i="5"/>
  <c r="AW103" i="5"/>
  <c r="AW104" i="5"/>
  <c r="AW105" i="5"/>
  <c r="AW106" i="5"/>
  <c r="AW107" i="5"/>
  <c r="AW108" i="5"/>
  <c r="AW109" i="5"/>
  <c r="AW110" i="5"/>
  <c r="AW111" i="5"/>
  <c r="AW112" i="5"/>
  <c r="AW113" i="5"/>
  <c r="AW114" i="5"/>
  <c r="AW115" i="5"/>
  <c r="AW116" i="5"/>
  <c r="AW117" i="5"/>
  <c r="AW118" i="5"/>
  <c r="AW119" i="5"/>
  <c r="AW120" i="5"/>
  <c r="AW121" i="5"/>
  <c r="AW122" i="5"/>
  <c r="AW123" i="5"/>
  <c r="AW124" i="5"/>
  <c r="AW125" i="5"/>
  <c r="AW126" i="5"/>
  <c r="AW127" i="5"/>
  <c r="AW128" i="5"/>
  <c r="AW129" i="5"/>
  <c r="AW130" i="5"/>
  <c r="AW131" i="5"/>
  <c r="AW132" i="5"/>
  <c r="AW133" i="5"/>
  <c r="AW134" i="5"/>
  <c r="AW135" i="5"/>
  <c r="AW136" i="5"/>
  <c r="AW137" i="5"/>
  <c r="AW138" i="5"/>
  <c r="AW139" i="5"/>
  <c r="AW140" i="5"/>
  <c r="AW141" i="5"/>
  <c r="AW142" i="5"/>
  <c r="AW143" i="5"/>
  <c r="AW144" i="5"/>
  <c r="AW145" i="5"/>
  <c r="AW146" i="5"/>
  <c r="AW147" i="5"/>
  <c r="AW148" i="5"/>
  <c r="AW149" i="5"/>
  <c r="AW150" i="5"/>
  <c r="AW151" i="5"/>
  <c r="AW152" i="5"/>
  <c r="AW153" i="5"/>
  <c r="AW154" i="5"/>
  <c r="AW155" i="5"/>
  <c r="AW156" i="5"/>
  <c r="AW157" i="5"/>
  <c r="AW158" i="5"/>
  <c r="AW159" i="5"/>
  <c r="AW160" i="5"/>
  <c r="AW161" i="5"/>
  <c r="AW162" i="5"/>
  <c r="AW163" i="5"/>
  <c r="AW164" i="5"/>
  <c r="AW165" i="5"/>
  <c r="AW166" i="5"/>
  <c r="AW167" i="5"/>
  <c r="AW168" i="5"/>
  <c r="AW169" i="5"/>
  <c r="AW170" i="5"/>
  <c r="AW171" i="5"/>
  <c r="AW172" i="5"/>
  <c r="AW173" i="5"/>
  <c r="AW174" i="5"/>
  <c r="AW175" i="5"/>
  <c r="AW176" i="5"/>
  <c r="AW177" i="5"/>
  <c r="AW178" i="5"/>
  <c r="AW179" i="5"/>
  <c r="AW180" i="5"/>
  <c r="AW181" i="5"/>
  <c r="AW182" i="5"/>
  <c r="AW183" i="5"/>
  <c r="AW184" i="5"/>
  <c r="AW185" i="5"/>
  <c r="AW186" i="5"/>
  <c r="AW187" i="5"/>
  <c r="AW188" i="5"/>
  <c r="AW189" i="5"/>
  <c r="AW190" i="5"/>
  <c r="AW191" i="5"/>
  <c r="AW192" i="5"/>
  <c r="AW193" i="5"/>
  <c r="AW194" i="5"/>
  <c r="AW195" i="5"/>
  <c r="AW196" i="5"/>
  <c r="AW197" i="5"/>
  <c r="AW198" i="5"/>
  <c r="AW199" i="5"/>
  <c r="AW200" i="5"/>
  <c r="AW201" i="5"/>
  <c r="AW202" i="5"/>
  <c r="AW203" i="5"/>
  <c r="AW204" i="5"/>
  <c r="AW205" i="5"/>
  <c r="AW206" i="5"/>
  <c r="AW207" i="5"/>
  <c r="AW208" i="5"/>
  <c r="AW209" i="5"/>
  <c r="AW210" i="5"/>
  <c r="AW211" i="5"/>
  <c r="AW212" i="5"/>
  <c r="AW213" i="5"/>
  <c r="AW214" i="5"/>
  <c r="AW215" i="5"/>
  <c r="AW216" i="5"/>
  <c r="AW217" i="5"/>
  <c r="AW218" i="5"/>
  <c r="AW219" i="5"/>
  <c r="AW220" i="5"/>
  <c r="AW221" i="5"/>
  <c r="AW222" i="5"/>
  <c r="AW223" i="5"/>
  <c r="AW224" i="5"/>
  <c r="AW225" i="5"/>
  <c r="AW226" i="5"/>
  <c r="AW227" i="5"/>
  <c r="AW228" i="5"/>
  <c r="AW229" i="5"/>
  <c r="AW230" i="5"/>
  <c r="AW231" i="5"/>
  <c r="AW232" i="5"/>
  <c r="AW233" i="5"/>
  <c r="AW234" i="5"/>
  <c r="AW235" i="5"/>
  <c r="AW236" i="5"/>
  <c r="AW237" i="5"/>
  <c r="AW238" i="5"/>
  <c r="AW239" i="5"/>
  <c r="AW240" i="5"/>
  <c r="AW241" i="5"/>
  <c r="AW242" i="5"/>
  <c r="AW243" i="5"/>
  <c r="AW244" i="5"/>
  <c r="AW245" i="5"/>
  <c r="AW246" i="5"/>
  <c r="AW247" i="5"/>
  <c r="AW248" i="5"/>
  <c r="AW249" i="5"/>
  <c r="AW250" i="5"/>
  <c r="AW251" i="5"/>
  <c r="AW252" i="5"/>
  <c r="AW253" i="5"/>
  <c r="AW254" i="5"/>
  <c r="AW255" i="5"/>
  <c r="AV5" i="5"/>
  <c r="AV6" i="5"/>
  <c r="AV7" i="5"/>
  <c r="AV8" i="5"/>
  <c r="AV9" i="5"/>
  <c r="AV10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AV29" i="5"/>
  <c r="AV30" i="5"/>
  <c r="AV31" i="5"/>
  <c r="AV32" i="5"/>
  <c r="AV33" i="5"/>
  <c r="AV34" i="5"/>
  <c r="AV35" i="5"/>
  <c r="AV36" i="5"/>
  <c r="AV37" i="5"/>
  <c r="AV38" i="5"/>
  <c r="AV39" i="5"/>
  <c r="AV40" i="5"/>
  <c r="AV41" i="5"/>
  <c r="AV42" i="5"/>
  <c r="AV43" i="5"/>
  <c r="AV44" i="5"/>
  <c r="AV45" i="5"/>
  <c r="AV46" i="5"/>
  <c r="AV47" i="5"/>
  <c r="AV48" i="5"/>
  <c r="AV49" i="5"/>
  <c r="AV50" i="5"/>
  <c r="AV51" i="5"/>
  <c r="AV52" i="5"/>
  <c r="AV53" i="5"/>
  <c r="AV54" i="5"/>
  <c r="AV55" i="5"/>
  <c r="AV56" i="5"/>
  <c r="AV57" i="5"/>
  <c r="AV58" i="5"/>
  <c r="AV59" i="5"/>
  <c r="AV60" i="5"/>
  <c r="AV61" i="5"/>
  <c r="AV62" i="5"/>
  <c r="AV63" i="5"/>
  <c r="AV64" i="5"/>
  <c r="AV65" i="5"/>
  <c r="AV66" i="5"/>
  <c r="AV67" i="5"/>
  <c r="AV68" i="5"/>
  <c r="AV69" i="5"/>
  <c r="AV70" i="5"/>
  <c r="AV71" i="5"/>
  <c r="AV72" i="5"/>
  <c r="AV73" i="5"/>
  <c r="AV74" i="5"/>
  <c r="AV75" i="5"/>
  <c r="AV76" i="5"/>
  <c r="AV77" i="5"/>
  <c r="AV78" i="5"/>
  <c r="AV79" i="5"/>
  <c r="AV80" i="5"/>
  <c r="AV81" i="5"/>
  <c r="AV82" i="5"/>
  <c r="AV83" i="5"/>
  <c r="AV84" i="5"/>
  <c r="AV85" i="5"/>
  <c r="AV86" i="5"/>
  <c r="AV87" i="5"/>
  <c r="AV88" i="5"/>
  <c r="AV89" i="5"/>
  <c r="AV90" i="5"/>
  <c r="AV91" i="5"/>
  <c r="AV92" i="5"/>
  <c r="AV93" i="5"/>
  <c r="AV94" i="5"/>
  <c r="AV95" i="5"/>
  <c r="AV96" i="5"/>
  <c r="AV97" i="5"/>
  <c r="AV98" i="5"/>
  <c r="AV99" i="5"/>
  <c r="AV100" i="5"/>
  <c r="AV101" i="5"/>
  <c r="AV102" i="5"/>
  <c r="AV103" i="5"/>
  <c r="AV104" i="5"/>
  <c r="AV105" i="5"/>
  <c r="AV106" i="5"/>
  <c r="AV107" i="5"/>
  <c r="AV108" i="5"/>
  <c r="AV109" i="5"/>
  <c r="AV110" i="5"/>
  <c r="AV111" i="5"/>
  <c r="AV112" i="5"/>
  <c r="AV113" i="5"/>
  <c r="AV114" i="5"/>
  <c r="AV115" i="5"/>
  <c r="AV116" i="5"/>
  <c r="AV117" i="5"/>
  <c r="AV118" i="5"/>
  <c r="AV119" i="5"/>
  <c r="AV120" i="5"/>
  <c r="AV121" i="5"/>
  <c r="AV122" i="5"/>
  <c r="AV123" i="5"/>
  <c r="AV124" i="5"/>
  <c r="AV125" i="5"/>
  <c r="AV126" i="5"/>
  <c r="AV127" i="5"/>
  <c r="AV128" i="5"/>
  <c r="AV129" i="5"/>
  <c r="AV130" i="5"/>
  <c r="AV131" i="5"/>
  <c r="AV132" i="5"/>
  <c r="AV133" i="5"/>
  <c r="AV134" i="5"/>
  <c r="AV135" i="5"/>
  <c r="AV136" i="5"/>
  <c r="AV137" i="5"/>
  <c r="AV138" i="5"/>
  <c r="AV139" i="5"/>
  <c r="AV140" i="5"/>
  <c r="AV141" i="5"/>
  <c r="AV142" i="5"/>
  <c r="AV143" i="5"/>
  <c r="AV144" i="5"/>
  <c r="AV145" i="5"/>
  <c r="AV146" i="5"/>
  <c r="AV147" i="5"/>
  <c r="AV148" i="5"/>
  <c r="AV149" i="5"/>
  <c r="AV150" i="5"/>
  <c r="AV151" i="5"/>
  <c r="AV152" i="5"/>
  <c r="AV153" i="5"/>
  <c r="AV154" i="5"/>
  <c r="AV155" i="5"/>
  <c r="AV156" i="5"/>
  <c r="AV157" i="5"/>
  <c r="AV158" i="5"/>
  <c r="AV159" i="5"/>
  <c r="AV160" i="5"/>
  <c r="AV161" i="5"/>
  <c r="AV162" i="5"/>
  <c r="AV163" i="5"/>
  <c r="AV164" i="5"/>
  <c r="AV165" i="5"/>
  <c r="AV166" i="5"/>
  <c r="AV167" i="5"/>
  <c r="AV168" i="5"/>
  <c r="AV169" i="5"/>
  <c r="AV170" i="5"/>
  <c r="AV171" i="5"/>
  <c r="AV172" i="5"/>
  <c r="AV173" i="5"/>
  <c r="AV174" i="5"/>
  <c r="AV175" i="5"/>
  <c r="AV176" i="5"/>
  <c r="AV177" i="5"/>
  <c r="AV178" i="5"/>
  <c r="AV179" i="5"/>
  <c r="AV180" i="5"/>
  <c r="AV181" i="5"/>
  <c r="AV182" i="5"/>
  <c r="AV183" i="5"/>
  <c r="AV184" i="5"/>
  <c r="AV185" i="5"/>
  <c r="AV186" i="5"/>
  <c r="AV187" i="5"/>
  <c r="AV188" i="5"/>
  <c r="AV189" i="5"/>
  <c r="AV190" i="5"/>
  <c r="AV191" i="5"/>
  <c r="AV192" i="5"/>
  <c r="AV193" i="5"/>
  <c r="AV194" i="5"/>
  <c r="AV195" i="5"/>
  <c r="AV196" i="5"/>
  <c r="AV197" i="5"/>
  <c r="AV198" i="5"/>
  <c r="AV199" i="5"/>
  <c r="AV200" i="5"/>
  <c r="AV201" i="5"/>
  <c r="AV202" i="5"/>
  <c r="AV203" i="5"/>
  <c r="AV204" i="5"/>
  <c r="AV205" i="5"/>
  <c r="AV206" i="5"/>
  <c r="AV207" i="5"/>
  <c r="AV208" i="5"/>
  <c r="AV209" i="5"/>
  <c r="AV210" i="5"/>
  <c r="AV211" i="5"/>
  <c r="AV212" i="5"/>
  <c r="AV213" i="5"/>
  <c r="AV214" i="5"/>
  <c r="AV215" i="5"/>
  <c r="AV216" i="5"/>
  <c r="AV217" i="5"/>
  <c r="AV218" i="5"/>
  <c r="AV219" i="5"/>
  <c r="AV220" i="5"/>
  <c r="AV221" i="5"/>
  <c r="AV222" i="5"/>
  <c r="AV223" i="5"/>
  <c r="AV224" i="5"/>
  <c r="AV225" i="5"/>
  <c r="AV226" i="5"/>
  <c r="AV227" i="5"/>
  <c r="AV228" i="5"/>
  <c r="AV229" i="5"/>
  <c r="AV230" i="5"/>
  <c r="AV231" i="5"/>
  <c r="AV232" i="5"/>
  <c r="AV233" i="5"/>
  <c r="AV234" i="5"/>
  <c r="AV235" i="5"/>
  <c r="AV236" i="5"/>
  <c r="AV237" i="5"/>
  <c r="AV238" i="5"/>
  <c r="AV239" i="5"/>
  <c r="AV240" i="5"/>
  <c r="AV241" i="5"/>
  <c r="AV242" i="5"/>
  <c r="AV243" i="5"/>
  <c r="AV244" i="5"/>
  <c r="AV245" i="5"/>
  <c r="AV246" i="5"/>
  <c r="AV247" i="5"/>
  <c r="AV248" i="5"/>
  <c r="AV249" i="5"/>
  <c r="AV250" i="5"/>
  <c r="AV251" i="5"/>
  <c r="AV252" i="5"/>
  <c r="AV253" i="5"/>
  <c r="AV254" i="5"/>
  <c r="AV255" i="5"/>
  <c r="AW4" i="5"/>
  <c r="AV4" i="5"/>
  <c r="AU4" i="5"/>
  <c r="AT4" i="5"/>
  <c r="BF3" i="5"/>
  <c r="BE3" i="5"/>
  <c r="BD3" i="5"/>
  <c r="BC3" i="5"/>
  <c r="AS4" i="5"/>
  <c r="AS5" i="5"/>
  <c r="AS6" i="5"/>
  <c r="AS7" i="5"/>
  <c r="AS8" i="5"/>
  <c r="AS9" i="5"/>
  <c r="AS10" i="5"/>
  <c r="AS11" i="5"/>
  <c r="AS12" i="5"/>
  <c r="AS13" i="5"/>
  <c r="AS14" i="5"/>
  <c r="AS15" i="5"/>
  <c r="AS16" i="5"/>
  <c r="AS17" i="5"/>
  <c r="AS18" i="5"/>
  <c r="AS19" i="5"/>
  <c r="AS20" i="5"/>
  <c r="AS21" i="5"/>
  <c r="AS22" i="5"/>
  <c r="AS23" i="5"/>
  <c r="AS24" i="5"/>
  <c r="AS25" i="5"/>
  <c r="AS26" i="5"/>
  <c r="AS27" i="5"/>
  <c r="AS28" i="5"/>
  <c r="AS29" i="5"/>
  <c r="AS30" i="5"/>
  <c r="AS31" i="5"/>
  <c r="AS32" i="5"/>
  <c r="AS33" i="5"/>
  <c r="AS34" i="5"/>
  <c r="AS35" i="5"/>
  <c r="AS36" i="5"/>
  <c r="AS37" i="5"/>
  <c r="AS38" i="5"/>
  <c r="AS39" i="5"/>
  <c r="AS40" i="5"/>
  <c r="AS41" i="5"/>
  <c r="AS42" i="5"/>
  <c r="AS43" i="5"/>
  <c r="AS44" i="5"/>
  <c r="AS45" i="5"/>
  <c r="AS46" i="5"/>
  <c r="AS47" i="5"/>
  <c r="AS48" i="5"/>
  <c r="AS49" i="5"/>
  <c r="AS50" i="5"/>
  <c r="AS51" i="5"/>
  <c r="AS52" i="5"/>
  <c r="AS53" i="5"/>
  <c r="AS54" i="5"/>
  <c r="AS55" i="5"/>
  <c r="AS56" i="5"/>
  <c r="AS57" i="5"/>
  <c r="AS58" i="5"/>
  <c r="AS59" i="5"/>
  <c r="AS60" i="5"/>
  <c r="AS61" i="5"/>
  <c r="AS62" i="5"/>
  <c r="AS63" i="5"/>
  <c r="AS64" i="5"/>
  <c r="AS65" i="5"/>
  <c r="AS66" i="5"/>
  <c r="AS67" i="5"/>
  <c r="AS68" i="5"/>
  <c r="AS69" i="5"/>
  <c r="AS70" i="5"/>
  <c r="AS71" i="5"/>
  <c r="AS72" i="5"/>
  <c r="AS73" i="5"/>
  <c r="AS74" i="5"/>
  <c r="AS75" i="5"/>
  <c r="AS76" i="5"/>
  <c r="AS77" i="5"/>
  <c r="AS78" i="5"/>
  <c r="AS79" i="5"/>
  <c r="AS80" i="5"/>
  <c r="AS81" i="5"/>
  <c r="AS82" i="5"/>
  <c r="AS83" i="5"/>
  <c r="AS84" i="5"/>
  <c r="AS85" i="5"/>
  <c r="AS86" i="5"/>
  <c r="AS87" i="5"/>
  <c r="AS88" i="5"/>
  <c r="AS89" i="5"/>
  <c r="AS90" i="5"/>
  <c r="AS91" i="5"/>
  <c r="AS92" i="5"/>
  <c r="AS93" i="5"/>
  <c r="AS94" i="5"/>
  <c r="AS95" i="5"/>
  <c r="AS96" i="5"/>
  <c r="AS97" i="5"/>
  <c r="AS98" i="5"/>
  <c r="AS99" i="5"/>
  <c r="AS100" i="5"/>
  <c r="AS101" i="5"/>
  <c r="AS102" i="5"/>
  <c r="AS103" i="5"/>
  <c r="AS104" i="5"/>
  <c r="AS105" i="5"/>
  <c r="AS106" i="5"/>
  <c r="AS107" i="5"/>
  <c r="AS108" i="5"/>
  <c r="AS109" i="5"/>
  <c r="AS110" i="5"/>
  <c r="AS111" i="5"/>
  <c r="AS112" i="5"/>
  <c r="AS113" i="5"/>
  <c r="AS114" i="5"/>
  <c r="AS115" i="5"/>
  <c r="AS116" i="5"/>
  <c r="AS117" i="5"/>
  <c r="AS118" i="5"/>
  <c r="AS119" i="5"/>
  <c r="AS120" i="5"/>
  <c r="AS121" i="5"/>
  <c r="AS122" i="5"/>
  <c r="AS123" i="5"/>
  <c r="AS124" i="5"/>
  <c r="AS125" i="5"/>
  <c r="AS126" i="5"/>
  <c r="AS127" i="5"/>
  <c r="AS128" i="5"/>
  <c r="AS129" i="5"/>
  <c r="AS130" i="5"/>
  <c r="AS131" i="5"/>
  <c r="AS132" i="5"/>
  <c r="AS133" i="5"/>
  <c r="AS134" i="5"/>
  <c r="AS135" i="5"/>
  <c r="AS136" i="5"/>
  <c r="AS137" i="5"/>
  <c r="AS138" i="5"/>
  <c r="AS139" i="5"/>
  <c r="AS140" i="5"/>
  <c r="AS141" i="5"/>
  <c r="AS142" i="5"/>
  <c r="AS143" i="5"/>
  <c r="AS144" i="5"/>
  <c r="AS145" i="5"/>
  <c r="AS146" i="5"/>
  <c r="AS147" i="5"/>
  <c r="AS148" i="5"/>
  <c r="AS149" i="5"/>
  <c r="AS150" i="5"/>
  <c r="AS151" i="5"/>
  <c r="AS152" i="5"/>
  <c r="AS153" i="5"/>
  <c r="AS154" i="5"/>
  <c r="AS155" i="5"/>
  <c r="AS156" i="5"/>
  <c r="AS157" i="5"/>
  <c r="AS158" i="5"/>
  <c r="AS159" i="5"/>
  <c r="AS160" i="5"/>
  <c r="AS161" i="5"/>
  <c r="AS162" i="5"/>
  <c r="AS163" i="5"/>
  <c r="AS164" i="5"/>
  <c r="AS165" i="5"/>
  <c r="AS166" i="5"/>
  <c r="AS167" i="5"/>
  <c r="AS168" i="5"/>
  <c r="AS169" i="5"/>
  <c r="AS170" i="5"/>
  <c r="AS171" i="5"/>
  <c r="AS172" i="5"/>
  <c r="AS173" i="5"/>
  <c r="AS174" i="5"/>
  <c r="AS175" i="5"/>
  <c r="AS176" i="5"/>
  <c r="AS177" i="5"/>
  <c r="AS178" i="5"/>
  <c r="AS179" i="5"/>
  <c r="AS180" i="5"/>
  <c r="AS181" i="5"/>
  <c r="AS182" i="5"/>
  <c r="AS183" i="5"/>
  <c r="AS184" i="5"/>
  <c r="AS185" i="5"/>
  <c r="AS186" i="5"/>
  <c r="AS187" i="5"/>
  <c r="AS188" i="5"/>
  <c r="AS189" i="5"/>
  <c r="AS190" i="5"/>
  <c r="AS191" i="5"/>
  <c r="AS192" i="5"/>
  <c r="AS193" i="5"/>
  <c r="AS194" i="5"/>
  <c r="AS195" i="5"/>
  <c r="AS196" i="5"/>
  <c r="AS197" i="5"/>
  <c r="AS198" i="5"/>
  <c r="AS199" i="5"/>
  <c r="AS200" i="5"/>
  <c r="AS201" i="5"/>
  <c r="AS202" i="5"/>
  <c r="AS203" i="5"/>
  <c r="AS204" i="5"/>
  <c r="AS205" i="5"/>
  <c r="AS206" i="5"/>
  <c r="AS207" i="5"/>
  <c r="AS208" i="5"/>
  <c r="AS209" i="5"/>
  <c r="AS210" i="5"/>
  <c r="AS211" i="5"/>
  <c r="AS212" i="5"/>
  <c r="AS213" i="5"/>
  <c r="AS214" i="5"/>
  <c r="AS215" i="5"/>
  <c r="AS216" i="5"/>
  <c r="AS217" i="5"/>
  <c r="AS218" i="5"/>
  <c r="AS219" i="5"/>
  <c r="AS220" i="5"/>
  <c r="AS221" i="5"/>
  <c r="AS222" i="5"/>
  <c r="AS223" i="5"/>
  <c r="AS224" i="5"/>
  <c r="AS225" i="5"/>
  <c r="AS226" i="5"/>
  <c r="AS227" i="5"/>
  <c r="AS228" i="5"/>
  <c r="AS229" i="5"/>
  <c r="AS230" i="5"/>
  <c r="AS231" i="5"/>
  <c r="AS232" i="5"/>
  <c r="AS233" i="5"/>
  <c r="AS234" i="5"/>
  <c r="AS235" i="5"/>
  <c r="AS236" i="5"/>
  <c r="AS237" i="5"/>
  <c r="AS238" i="5"/>
  <c r="AS239" i="5"/>
  <c r="AS240" i="5"/>
  <c r="AS241" i="5"/>
  <c r="AS242" i="5"/>
  <c r="AS243" i="5"/>
  <c r="AS244" i="5"/>
  <c r="AS245" i="5"/>
  <c r="AS246" i="5"/>
  <c r="AS247" i="5"/>
  <c r="AS248" i="5"/>
  <c r="AS249" i="5"/>
  <c r="AS250" i="5"/>
  <c r="AS251" i="5"/>
  <c r="AS252" i="5"/>
  <c r="AS253" i="5"/>
  <c r="AS254" i="5"/>
  <c r="AS255" i="5"/>
  <c r="AS3" i="5"/>
  <c r="AR4" i="5"/>
  <c r="AR5" i="5"/>
  <c r="AR6" i="5"/>
  <c r="AR7" i="5"/>
  <c r="AR8" i="5"/>
  <c r="AR9" i="5"/>
  <c r="AR10" i="5"/>
  <c r="AR11" i="5"/>
  <c r="AR12" i="5"/>
  <c r="AR13" i="5"/>
  <c r="AR14" i="5"/>
  <c r="AR15" i="5"/>
  <c r="AR16" i="5"/>
  <c r="AR17" i="5"/>
  <c r="AR18" i="5"/>
  <c r="AR19" i="5"/>
  <c r="AR20" i="5"/>
  <c r="AR21" i="5"/>
  <c r="AR22" i="5"/>
  <c r="AR23" i="5"/>
  <c r="AR24" i="5"/>
  <c r="AR25" i="5"/>
  <c r="AR26" i="5"/>
  <c r="AR27" i="5"/>
  <c r="AR28" i="5"/>
  <c r="AR29" i="5"/>
  <c r="AR30" i="5"/>
  <c r="AR31" i="5"/>
  <c r="AR32" i="5"/>
  <c r="AR33" i="5"/>
  <c r="AR34" i="5"/>
  <c r="AR35" i="5"/>
  <c r="AR36" i="5"/>
  <c r="AR37" i="5"/>
  <c r="AR38" i="5"/>
  <c r="AR39" i="5"/>
  <c r="AR40" i="5"/>
  <c r="AR41" i="5"/>
  <c r="AR42" i="5"/>
  <c r="AR43" i="5"/>
  <c r="AR44" i="5"/>
  <c r="AR45" i="5"/>
  <c r="AR46" i="5"/>
  <c r="AR47" i="5"/>
  <c r="AR48" i="5"/>
  <c r="AR49" i="5"/>
  <c r="AR50" i="5"/>
  <c r="AR51" i="5"/>
  <c r="AR52" i="5"/>
  <c r="AR53" i="5"/>
  <c r="AR54" i="5"/>
  <c r="AR55" i="5"/>
  <c r="AR56" i="5"/>
  <c r="AR57" i="5"/>
  <c r="AR58" i="5"/>
  <c r="AR59" i="5"/>
  <c r="AR60" i="5"/>
  <c r="AR61" i="5"/>
  <c r="AR62" i="5"/>
  <c r="AR63" i="5"/>
  <c r="AR64" i="5"/>
  <c r="AR65" i="5"/>
  <c r="AR66" i="5"/>
  <c r="AR67" i="5"/>
  <c r="AR68" i="5"/>
  <c r="AR69" i="5"/>
  <c r="AR70" i="5"/>
  <c r="AR71" i="5"/>
  <c r="AR72" i="5"/>
  <c r="AR73" i="5"/>
  <c r="AR74" i="5"/>
  <c r="AR75" i="5"/>
  <c r="AR76" i="5"/>
  <c r="AR77" i="5"/>
  <c r="AR78" i="5"/>
  <c r="AR79" i="5"/>
  <c r="AR80" i="5"/>
  <c r="AR81" i="5"/>
  <c r="AR82" i="5"/>
  <c r="AR83" i="5"/>
  <c r="AR84" i="5"/>
  <c r="AR85" i="5"/>
  <c r="AR86" i="5"/>
  <c r="AR87" i="5"/>
  <c r="AR88" i="5"/>
  <c r="AR89" i="5"/>
  <c r="AR90" i="5"/>
  <c r="AR91" i="5"/>
  <c r="AR92" i="5"/>
  <c r="AR93" i="5"/>
  <c r="AR94" i="5"/>
  <c r="AR95" i="5"/>
  <c r="AR96" i="5"/>
  <c r="AR97" i="5"/>
  <c r="AR98" i="5"/>
  <c r="AR99" i="5"/>
  <c r="AR100" i="5"/>
  <c r="AR101" i="5"/>
  <c r="AR102" i="5"/>
  <c r="AR103" i="5"/>
  <c r="AR104" i="5"/>
  <c r="AR105" i="5"/>
  <c r="AR106" i="5"/>
  <c r="AR107" i="5"/>
  <c r="AR108" i="5"/>
  <c r="AR109" i="5"/>
  <c r="AR110" i="5"/>
  <c r="AR111" i="5"/>
  <c r="AR112" i="5"/>
  <c r="AR113" i="5"/>
  <c r="AR114" i="5"/>
  <c r="AR115" i="5"/>
  <c r="AR116" i="5"/>
  <c r="AR117" i="5"/>
  <c r="AR118" i="5"/>
  <c r="AR119" i="5"/>
  <c r="AR120" i="5"/>
  <c r="AR121" i="5"/>
  <c r="AR122" i="5"/>
  <c r="AR123" i="5"/>
  <c r="AR124" i="5"/>
  <c r="AR125" i="5"/>
  <c r="AR126" i="5"/>
  <c r="AR127" i="5"/>
  <c r="AR128" i="5"/>
  <c r="AR129" i="5"/>
  <c r="AR130" i="5"/>
  <c r="AR131" i="5"/>
  <c r="AR132" i="5"/>
  <c r="AR133" i="5"/>
  <c r="AR134" i="5"/>
  <c r="AR135" i="5"/>
  <c r="AR136" i="5"/>
  <c r="AR137" i="5"/>
  <c r="AR138" i="5"/>
  <c r="AR139" i="5"/>
  <c r="AR140" i="5"/>
  <c r="AR141" i="5"/>
  <c r="AR142" i="5"/>
  <c r="AR143" i="5"/>
  <c r="AR144" i="5"/>
  <c r="AR145" i="5"/>
  <c r="AR146" i="5"/>
  <c r="AR147" i="5"/>
  <c r="AR148" i="5"/>
  <c r="AR149" i="5"/>
  <c r="AR150" i="5"/>
  <c r="AR151" i="5"/>
  <c r="AR152" i="5"/>
  <c r="AR153" i="5"/>
  <c r="AR154" i="5"/>
  <c r="AR155" i="5"/>
  <c r="AR156" i="5"/>
  <c r="AR157" i="5"/>
  <c r="AR158" i="5"/>
  <c r="AR159" i="5"/>
  <c r="AR160" i="5"/>
  <c r="AR161" i="5"/>
  <c r="AR162" i="5"/>
  <c r="AR163" i="5"/>
  <c r="AR164" i="5"/>
  <c r="AR165" i="5"/>
  <c r="AR166" i="5"/>
  <c r="AR167" i="5"/>
  <c r="AR168" i="5"/>
  <c r="AR169" i="5"/>
  <c r="AR170" i="5"/>
  <c r="AR171" i="5"/>
  <c r="AR172" i="5"/>
  <c r="AR173" i="5"/>
  <c r="AR174" i="5"/>
  <c r="AR175" i="5"/>
  <c r="AR176" i="5"/>
  <c r="AR177" i="5"/>
  <c r="AR178" i="5"/>
  <c r="AR179" i="5"/>
  <c r="AR180" i="5"/>
  <c r="AR181" i="5"/>
  <c r="AR182" i="5"/>
  <c r="AR183" i="5"/>
  <c r="AR184" i="5"/>
  <c r="AR185" i="5"/>
  <c r="AR186" i="5"/>
  <c r="AR187" i="5"/>
  <c r="AR188" i="5"/>
  <c r="AR189" i="5"/>
  <c r="AR190" i="5"/>
  <c r="AR191" i="5"/>
  <c r="AR192" i="5"/>
  <c r="AR193" i="5"/>
  <c r="AR194" i="5"/>
  <c r="AR195" i="5"/>
  <c r="AR196" i="5"/>
  <c r="AR197" i="5"/>
  <c r="AR198" i="5"/>
  <c r="AR199" i="5"/>
  <c r="AR200" i="5"/>
  <c r="AR201" i="5"/>
  <c r="AR202" i="5"/>
  <c r="AR203" i="5"/>
  <c r="AR204" i="5"/>
  <c r="AR205" i="5"/>
  <c r="AR206" i="5"/>
  <c r="AR207" i="5"/>
  <c r="AR208" i="5"/>
  <c r="AR209" i="5"/>
  <c r="AR210" i="5"/>
  <c r="AR211" i="5"/>
  <c r="AR212" i="5"/>
  <c r="AR213" i="5"/>
  <c r="AR214" i="5"/>
  <c r="AR215" i="5"/>
  <c r="AR216" i="5"/>
  <c r="AR217" i="5"/>
  <c r="AR218" i="5"/>
  <c r="AR219" i="5"/>
  <c r="AR220" i="5"/>
  <c r="AR221" i="5"/>
  <c r="AR222" i="5"/>
  <c r="AR223" i="5"/>
  <c r="AR224" i="5"/>
  <c r="AR225" i="5"/>
  <c r="AR226" i="5"/>
  <c r="AR227" i="5"/>
  <c r="AR228" i="5"/>
  <c r="AR229" i="5"/>
  <c r="AR230" i="5"/>
  <c r="AR231" i="5"/>
  <c r="AR232" i="5"/>
  <c r="AR233" i="5"/>
  <c r="AR234" i="5"/>
  <c r="AR235" i="5"/>
  <c r="AR236" i="5"/>
  <c r="AR237" i="5"/>
  <c r="AR238" i="5"/>
  <c r="AR239" i="5"/>
  <c r="AR240" i="5"/>
  <c r="AR241" i="5"/>
  <c r="AR242" i="5"/>
  <c r="AR243" i="5"/>
  <c r="AR244" i="5"/>
  <c r="AR245" i="5"/>
  <c r="AR246" i="5"/>
  <c r="AR247" i="5"/>
  <c r="AR248" i="5"/>
  <c r="AR249" i="5"/>
  <c r="AR250" i="5"/>
  <c r="AR251" i="5"/>
  <c r="AR252" i="5"/>
  <c r="AR253" i="5"/>
  <c r="AR254" i="5"/>
  <c r="AR255" i="5"/>
  <c r="AR3" i="5"/>
  <c r="AQ4" i="5"/>
  <c r="AQ5" i="5"/>
  <c r="AQ6" i="5"/>
  <c r="AQ7" i="5"/>
  <c r="AQ8" i="5"/>
  <c r="AQ9" i="5"/>
  <c r="AQ10" i="5"/>
  <c r="AQ11" i="5"/>
  <c r="AQ12" i="5"/>
  <c r="AQ13" i="5"/>
  <c r="AQ14" i="5"/>
  <c r="AQ15" i="5"/>
  <c r="AQ16" i="5"/>
  <c r="AQ17" i="5"/>
  <c r="AQ18" i="5"/>
  <c r="AQ19" i="5"/>
  <c r="AQ20" i="5"/>
  <c r="AQ21" i="5"/>
  <c r="AQ22" i="5"/>
  <c r="AQ23" i="5"/>
  <c r="AQ24" i="5"/>
  <c r="AQ25" i="5"/>
  <c r="AQ26" i="5"/>
  <c r="AQ27" i="5"/>
  <c r="AQ28" i="5"/>
  <c r="AQ29" i="5"/>
  <c r="AQ30" i="5"/>
  <c r="AQ31" i="5"/>
  <c r="AQ32" i="5"/>
  <c r="AQ33" i="5"/>
  <c r="AQ34" i="5"/>
  <c r="AQ35" i="5"/>
  <c r="AQ36" i="5"/>
  <c r="AQ37" i="5"/>
  <c r="AQ38" i="5"/>
  <c r="AQ39" i="5"/>
  <c r="AQ40" i="5"/>
  <c r="AQ41" i="5"/>
  <c r="AQ42" i="5"/>
  <c r="AQ43" i="5"/>
  <c r="AQ44" i="5"/>
  <c r="AQ45" i="5"/>
  <c r="AQ46" i="5"/>
  <c r="AQ47" i="5"/>
  <c r="AQ48" i="5"/>
  <c r="AQ49" i="5"/>
  <c r="AQ50" i="5"/>
  <c r="AQ51" i="5"/>
  <c r="AQ52" i="5"/>
  <c r="AQ53" i="5"/>
  <c r="AQ54" i="5"/>
  <c r="AQ55" i="5"/>
  <c r="AQ56" i="5"/>
  <c r="AQ57" i="5"/>
  <c r="AQ58" i="5"/>
  <c r="AQ59" i="5"/>
  <c r="AQ60" i="5"/>
  <c r="AQ61" i="5"/>
  <c r="AQ62" i="5"/>
  <c r="AQ63" i="5"/>
  <c r="AQ64" i="5"/>
  <c r="AQ65" i="5"/>
  <c r="AQ66" i="5"/>
  <c r="AQ67" i="5"/>
  <c r="AQ68" i="5"/>
  <c r="AQ69" i="5"/>
  <c r="AQ70" i="5"/>
  <c r="AQ71" i="5"/>
  <c r="AQ72" i="5"/>
  <c r="AQ73" i="5"/>
  <c r="AQ74" i="5"/>
  <c r="AQ75" i="5"/>
  <c r="AQ76" i="5"/>
  <c r="AQ77" i="5"/>
  <c r="AQ78" i="5"/>
  <c r="AQ79" i="5"/>
  <c r="AQ80" i="5"/>
  <c r="AQ81" i="5"/>
  <c r="AQ82" i="5"/>
  <c r="AQ83" i="5"/>
  <c r="AQ84" i="5"/>
  <c r="AQ85" i="5"/>
  <c r="AQ86" i="5"/>
  <c r="AQ87" i="5"/>
  <c r="AQ88" i="5"/>
  <c r="AQ89" i="5"/>
  <c r="AQ90" i="5"/>
  <c r="AQ91" i="5"/>
  <c r="AQ92" i="5"/>
  <c r="AQ93" i="5"/>
  <c r="AQ94" i="5"/>
  <c r="AQ95" i="5"/>
  <c r="AQ96" i="5"/>
  <c r="AQ97" i="5"/>
  <c r="AQ98" i="5"/>
  <c r="AQ99" i="5"/>
  <c r="AQ100" i="5"/>
  <c r="AQ101" i="5"/>
  <c r="AQ102" i="5"/>
  <c r="AQ103" i="5"/>
  <c r="AQ104" i="5"/>
  <c r="AQ105" i="5"/>
  <c r="AQ106" i="5"/>
  <c r="AQ107" i="5"/>
  <c r="AQ108" i="5"/>
  <c r="AQ109" i="5"/>
  <c r="AQ110" i="5"/>
  <c r="AQ111" i="5"/>
  <c r="AQ112" i="5"/>
  <c r="AQ113" i="5"/>
  <c r="AQ114" i="5"/>
  <c r="AQ115" i="5"/>
  <c r="AQ116" i="5"/>
  <c r="AQ117" i="5"/>
  <c r="AQ118" i="5"/>
  <c r="AQ119" i="5"/>
  <c r="AQ120" i="5"/>
  <c r="AQ121" i="5"/>
  <c r="AQ122" i="5"/>
  <c r="AQ123" i="5"/>
  <c r="AQ124" i="5"/>
  <c r="AQ125" i="5"/>
  <c r="AQ126" i="5"/>
  <c r="AQ127" i="5"/>
  <c r="AQ128" i="5"/>
  <c r="AQ129" i="5"/>
  <c r="AQ130" i="5"/>
  <c r="AQ131" i="5"/>
  <c r="AQ132" i="5"/>
  <c r="AQ133" i="5"/>
  <c r="AQ134" i="5"/>
  <c r="AQ135" i="5"/>
  <c r="AQ136" i="5"/>
  <c r="AQ137" i="5"/>
  <c r="AQ138" i="5"/>
  <c r="AQ139" i="5"/>
  <c r="AQ140" i="5"/>
  <c r="AQ141" i="5"/>
  <c r="AQ142" i="5"/>
  <c r="AQ143" i="5"/>
  <c r="AQ144" i="5"/>
  <c r="AQ145" i="5"/>
  <c r="AQ146" i="5"/>
  <c r="AQ147" i="5"/>
  <c r="AQ148" i="5"/>
  <c r="AQ149" i="5"/>
  <c r="AQ150" i="5"/>
  <c r="AQ151" i="5"/>
  <c r="AQ152" i="5"/>
  <c r="AQ153" i="5"/>
  <c r="AQ154" i="5"/>
  <c r="AQ155" i="5"/>
  <c r="AQ156" i="5"/>
  <c r="AQ157" i="5"/>
  <c r="AQ158" i="5"/>
  <c r="AQ159" i="5"/>
  <c r="AQ160" i="5"/>
  <c r="AQ161" i="5"/>
  <c r="AQ162" i="5"/>
  <c r="AQ163" i="5"/>
  <c r="AQ164" i="5"/>
  <c r="AQ165" i="5"/>
  <c r="AQ166" i="5"/>
  <c r="AQ167" i="5"/>
  <c r="AQ168" i="5"/>
  <c r="AQ169" i="5"/>
  <c r="AQ170" i="5"/>
  <c r="AQ171" i="5"/>
  <c r="AQ172" i="5"/>
  <c r="AQ173" i="5"/>
  <c r="AQ174" i="5"/>
  <c r="AQ175" i="5"/>
  <c r="AQ176" i="5"/>
  <c r="AQ177" i="5"/>
  <c r="AQ178" i="5"/>
  <c r="AQ179" i="5"/>
  <c r="AQ180" i="5"/>
  <c r="AQ181" i="5"/>
  <c r="AQ182" i="5"/>
  <c r="AQ183" i="5"/>
  <c r="AQ184" i="5"/>
  <c r="AQ185" i="5"/>
  <c r="AQ186" i="5"/>
  <c r="AQ187" i="5"/>
  <c r="AQ188" i="5"/>
  <c r="AQ189" i="5"/>
  <c r="AQ190" i="5"/>
  <c r="AQ191" i="5"/>
  <c r="AQ192" i="5"/>
  <c r="AQ193" i="5"/>
  <c r="AQ194" i="5"/>
  <c r="AQ195" i="5"/>
  <c r="AQ196" i="5"/>
  <c r="AQ197" i="5"/>
  <c r="AQ198" i="5"/>
  <c r="AQ199" i="5"/>
  <c r="AQ200" i="5"/>
  <c r="AQ201" i="5"/>
  <c r="AQ202" i="5"/>
  <c r="AQ203" i="5"/>
  <c r="AQ204" i="5"/>
  <c r="AQ205" i="5"/>
  <c r="AQ206" i="5"/>
  <c r="AQ207" i="5"/>
  <c r="AQ208" i="5"/>
  <c r="AQ209" i="5"/>
  <c r="AQ210" i="5"/>
  <c r="AQ211" i="5"/>
  <c r="AQ212" i="5"/>
  <c r="AQ213" i="5"/>
  <c r="AQ214" i="5"/>
  <c r="AQ215" i="5"/>
  <c r="AQ216" i="5"/>
  <c r="AQ217" i="5"/>
  <c r="AQ218" i="5"/>
  <c r="AQ219" i="5"/>
  <c r="AQ220" i="5"/>
  <c r="AQ221" i="5"/>
  <c r="AQ222" i="5"/>
  <c r="AQ223" i="5"/>
  <c r="AQ224" i="5"/>
  <c r="AQ225" i="5"/>
  <c r="AQ226" i="5"/>
  <c r="AQ227" i="5"/>
  <c r="AQ228" i="5"/>
  <c r="AQ229" i="5"/>
  <c r="AQ230" i="5"/>
  <c r="AQ231" i="5"/>
  <c r="AQ232" i="5"/>
  <c r="AQ233" i="5"/>
  <c r="AQ234" i="5"/>
  <c r="AQ235" i="5"/>
  <c r="AQ236" i="5"/>
  <c r="AQ237" i="5"/>
  <c r="AQ238" i="5"/>
  <c r="AQ239" i="5"/>
  <c r="AQ240" i="5"/>
  <c r="AQ241" i="5"/>
  <c r="AQ242" i="5"/>
  <c r="AQ243" i="5"/>
  <c r="AQ244" i="5"/>
  <c r="AQ245" i="5"/>
  <c r="AQ246" i="5"/>
  <c r="AQ247" i="5"/>
  <c r="AQ248" i="5"/>
  <c r="AQ249" i="5"/>
  <c r="AQ250" i="5"/>
  <c r="AQ251" i="5"/>
  <c r="AQ252" i="5"/>
  <c r="AQ253" i="5"/>
  <c r="AQ254" i="5"/>
  <c r="AQ255" i="5"/>
  <c r="AQ3" i="5"/>
  <c r="AP3" i="5"/>
  <c r="AO4" i="5"/>
  <c r="AO5" i="5" s="1"/>
  <c r="AO6" i="5" s="1"/>
  <c r="AO7" i="5" s="1"/>
  <c r="AO8" i="5" s="1"/>
  <c r="AO9" i="5" s="1"/>
  <c r="AO10" i="5" s="1"/>
  <c r="AO11" i="5" s="1"/>
  <c r="AO12" i="5" s="1"/>
  <c r="AO13" i="5" s="1"/>
  <c r="AO14" i="5" s="1"/>
  <c r="AO15" i="5" s="1"/>
  <c r="AO16" i="5" s="1"/>
  <c r="AO17" i="5" s="1"/>
  <c r="AO18" i="5" s="1"/>
  <c r="AO19" i="5" s="1"/>
  <c r="AO20" i="5" s="1"/>
  <c r="AO21" i="5" s="1"/>
  <c r="AO22" i="5" s="1"/>
  <c r="AO23" i="5" s="1"/>
  <c r="AO24" i="5" s="1"/>
  <c r="AO25" i="5" s="1"/>
  <c r="AO26" i="5" s="1"/>
  <c r="AO27" i="5" s="1"/>
  <c r="AO28" i="5" s="1"/>
  <c r="AO29" i="5" s="1"/>
  <c r="AO30" i="5" s="1"/>
  <c r="AO31" i="5" s="1"/>
  <c r="AO32" i="5" s="1"/>
  <c r="AO33" i="5" s="1"/>
  <c r="AO34" i="5" s="1"/>
  <c r="AO35" i="5" s="1"/>
  <c r="AO36" i="5" s="1"/>
  <c r="AO37" i="5" s="1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AO90" i="5" s="1"/>
  <c r="AO91" i="5" s="1"/>
  <c r="AO92" i="5" s="1"/>
  <c r="AO93" i="5" s="1"/>
  <c r="AO94" i="5" s="1"/>
  <c r="AO95" i="5" s="1"/>
  <c r="AO96" i="5" s="1"/>
  <c r="AO97" i="5" s="1"/>
  <c r="AO98" i="5" s="1"/>
  <c r="AO99" i="5" s="1"/>
  <c r="AO100" i="5" s="1"/>
  <c r="AO101" i="5" s="1"/>
  <c r="AO102" i="5" s="1"/>
  <c r="AO103" i="5" s="1"/>
  <c r="AO104" i="5" s="1"/>
  <c r="AO105" i="5" s="1"/>
  <c r="AO106" i="5" s="1"/>
  <c r="AO107" i="5" s="1"/>
  <c r="AO108" i="5" s="1"/>
  <c r="AO109" i="5" s="1"/>
  <c r="AO110" i="5" s="1"/>
  <c r="AO111" i="5" s="1"/>
  <c r="AO112" i="5" s="1"/>
  <c r="AO113" i="5" s="1"/>
  <c r="AO114" i="5" s="1"/>
  <c r="AO115" i="5" s="1"/>
  <c r="AO116" i="5" s="1"/>
  <c r="AO117" i="5" s="1"/>
  <c r="AO118" i="5" s="1"/>
  <c r="AO119" i="5" s="1"/>
  <c r="AO120" i="5" s="1"/>
  <c r="AO121" i="5" s="1"/>
  <c r="AO122" i="5" s="1"/>
  <c r="AO123" i="5" s="1"/>
  <c r="AO124" i="5" s="1"/>
  <c r="AO125" i="5" s="1"/>
  <c r="AO126" i="5" s="1"/>
  <c r="AO127" i="5" s="1"/>
  <c r="AO128" i="5" s="1"/>
  <c r="AO129" i="5" s="1"/>
  <c r="AO130" i="5" s="1"/>
  <c r="AO131" i="5" s="1"/>
  <c r="AO132" i="5" s="1"/>
  <c r="AO133" i="5" s="1"/>
  <c r="AO134" i="5" s="1"/>
  <c r="AO135" i="5" s="1"/>
  <c r="AO136" i="5" s="1"/>
  <c r="AO137" i="5" s="1"/>
  <c r="AO138" i="5" s="1"/>
  <c r="AO139" i="5" s="1"/>
  <c r="AO140" i="5" s="1"/>
  <c r="AO141" i="5" s="1"/>
  <c r="AO142" i="5" s="1"/>
  <c r="AO143" i="5" s="1"/>
  <c r="AO144" i="5" s="1"/>
  <c r="AO145" i="5" s="1"/>
  <c r="AO146" i="5" s="1"/>
  <c r="AO147" i="5" s="1"/>
  <c r="AO148" i="5" s="1"/>
  <c r="AO149" i="5" s="1"/>
  <c r="AO150" i="5" s="1"/>
  <c r="AO151" i="5" s="1"/>
  <c r="AO152" i="5" s="1"/>
  <c r="AO153" i="5" s="1"/>
  <c r="AO154" i="5" s="1"/>
  <c r="AO155" i="5" s="1"/>
  <c r="AO156" i="5" s="1"/>
  <c r="AO157" i="5" s="1"/>
  <c r="AO158" i="5" s="1"/>
  <c r="AO159" i="5" s="1"/>
  <c r="AO160" i="5" s="1"/>
  <c r="AO161" i="5" s="1"/>
  <c r="AO162" i="5" s="1"/>
  <c r="AO163" i="5" s="1"/>
  <c r="AO164" i="5" s="1"/>
  <c r="AO165" i="5" s="1"/>
  <c r="AO166" i="5" s="1"/>
  <c r="AO167" i="5" s="1"/>
  <c r="AO168" i="5" s="1"/>
  <c r="AO169" i="5" s="1"/>
  <c r="AO170" i="5" s="1"/>
  <c r="AO171" i="5" s="1"/>
  <c r="AO172" i="5" s="1"/>
  <c r="AO173" i="5" s="1"/>
  <c r="AO174" i="5" s="1"/>
  <c r="AO175" i="5" s="1"/>
  <c r="AO176" i="5" s="1"/>
  <c r="AO177" i="5" s="1"/>
  <c r="AO178" i="5" s="1"/>
  <c r="AO179" i="5" s="1"/>
  <c r="AO180" i="5" s="1"/>
  <c r="AO181" i="5" s="1"/>
  <c r="AO182" i="5" s="1"/>
  <c r="AO183" i="5" s="1"/>
  <c r="AO184" i="5" s="1"/>
  <c r="AO185" i="5" s="1"/>
  <c r="AO186" i="5" s="1"/>
  <c r="AO187" i="5" s="1"/>
  <c r="AO188" i="5" s="1"/>
  <c r="AO189" i="5" s="1"/>
  <c r="AO190" i="5" s="1"/>
  <c r="AO191" i="5" s="1"/>
  <c r="AO192" i="5" s="1"/>
  <c r="AO193" i="5" s="1"/>
  <c r="AO194" i="5" s="1"/>
  <c r="AO195" i="5" s="1"/>
  <c r="AO196" i="5" s="1"/>
  <c r="AO197" i="5" s="1"/>
  <c r="AO198" i="5" s="1"/>
  <c r="AO199" i="5" s="1"/>
  <c r="AO200" i="5" s="1"/>
  <c r="AO201" i="5" s="1"/>
  <c r="AO202" i="5" s="1"/>
  <c r="AO203" i="5" s="1"/>
  <c r="AO204" i="5" s="1"/>
  <c r="AO205" i="5" s="1"/>
  <c r="AO206" i="5" s="1"/>
  <c r="AO207" i="5" s="1"/>
  <c r="AO208" i="5" s="1"/>
  <c r="AO209" i="5" s="1"/>
  <c r="AO210" i="5" s="1"/>
  <c r="AO211" i="5" s="1"/>
  <c r="AO212" i="5" s="1"/>
  <c r="AO213" i="5" s="1"/>
  <c r="AO214" i="5" s="1"/>
  <c r="AO215" i="5" s="1"/>
  <c r="AO216" i="5" s="1"/>
  <c r="AO217" i="5" s="1"/>
  <c r="AO218" i="5" s="1"/>
  <c r="AO219" i="5" s="1"/>
  <c r="AO220" i="5" s="1"/>
  <c r="AO221" i="5" s="1"/>
  <c r="AO222" i="5" s="1"/>
  <c r="AO223" i="5" s="1"/>
  <c r="AO224" i="5" s="1"/>
  <c r="AO225" i="5" s="1"/>
  <c r="AO226" i="5" s="1"/>
  <c r="AO227" i="5" s="1"/>
  <c r="AO228" i="5" s="1"/>
  <c r="AO229" i="5" s="1"/>
  <c r="AO230" i="5" s="1"/>
  <c r="AO231" i="5" s="1"/>
  <c r="AO232" i="5" s="1"/>
  <c r="AO233" i="5" s="1"/>
  <c r="AO234" i="5" s="1"/>
  <c r="AO235" i="5" s="1"/>
  <c r="AO236" i="5" s="1"/>
  <c r="AO237" i="5" s="1"/>
  <c r="AO238" i="5" s="1"/>
  <c r="AO239" i="5" s="1"/>
  <c r="AO240" i="5" s="1"/>
  <c r="AO241" i="5" s="1"/>
  <c r="AO242" i="5" s="1"/>
  <c r="AO243" i="5" s="1"/>
  <c r="AO244" i="5" s="1"/>
  <c r="AO245" i="5" s="1"/>
  <c r="AO246" i="5" s="1"/>
  <c r="AO247" i="5" s="1"/>
  <c r="AO248" i="5" s="1"/>
  <c r="AO249" i="5" s="1"/>
  <c r="AO250" i="5" s="1"/>
  <c r="AO251" i="5" s="1"/>
  <c r="AO252" i="5" s="1"/>
  <c r="AO253" i="5" s="1"/>
  <c r="AO254" i="5" s="1"/>
  <c r="AO255" i="5" s="1"/>
  <c r="AN4" i="5"/>
  <c r="AN5" i="5" s="1"/>
  <c r="AN6" i="5" s="1"/>
  <c r="AN7" i="5" s="1"/>
  <c r="AN8" i="5" s="1"/>
  <c r="AN9" i="5" s="1"/>
  <c r="AN10" i="5" s="1"/>
  <c r="AN11" i="5" s="1"/>
  <c r="AN12" i="5" s="1"/>
  <c r="AN13" i="5" s="1"/>
  <c r="AN14" i="5" s="1"/>
  <c r="AN15" i="5" s="1"/>
  <c r="AN16" i="5" s="1"/>
  <c r="AN17" i="5" s="1"/>
  <c r="AN18" i="5" s="1"/>
  <c r="AN19" i="5" s="1"/>
  <c r="AN20" i="5" s="1"/>
  <c r="AN21" i="5" s="1"/>
  <c r="AN22" i="5" s="1"/>
  <c r="AN23" i="5" s="1"/>
  <c r="AN24" i="5" s="1"/>
  <c r="AN25" i="5" s="1"/>
  <c r="AN26" i="5" s="1"/>
  <c r="AN27" i="5" s="1"/>
  <c r="AN28" i="5" s="1"/>
  <c r="AN29" i="5" s="1"/>
  <c r="AN30" i="5" s="1"/>
  <c r="AN31" i="5" s="1"/>
  <c r="AN32" i="5" s="1"/>
  <c r="AN33" i="5" s="1"/>
  <c r="AN34" i="5" s="1"/>
  <c r="AN35" i="5" s="1"/>
  <c r="AN36" i="5" s="1"/>
  <c r="AN37" i="5" s="1"/>
  <c r="AN38" i="5" s="1"/>
  <c r="AN39" i="5" s="1"/>
  <c r="AN40" i="5" s="1"/>
  <c r="AN41" i="5" s="1"/>
  <c r="AN42" i="5" s="1"/>
  <c r="AN43" i="5" s="1"/>
  <c r="AN44" i="5" s="1"/>
  <c r="AN45" i="5" s="1"/>
  <c r="AN46" i="5" s="1"/>
  <c r="AN47" i="5" s="1"/>
  <c r="AN48" i="5" s="1"/>
  <c r="AN49" i="5" s="1"/>
  <c r="AN50" i="5" s="1"/>
  <c r="AN51" i="5" s="1"/>
  <c r="AN52" i="5" s="1"/>
  <c r="AN53" i="5" s="1"/>
  <c r="AN54" i="5" s="1"/>
  <c r="AN55" i="5" s="1"/>
  <c r="AN56" i="5" s="1"/>
  <c r="AN57" i="5" s="1"/>
  <c r="AN58" i="5" s="1"/>
  <c r="AN59" i="5" s="1"/>
  <c r="AN60" i="5" s="1"/>
  <c r="AN61" i="5" s="1"/>
  <c r="AN62" i="5" s="1"/>
  <c r="AN63" i="5" s="1"/>
  <c r="AN64" i="5" s="1"/>
  <c r="AN65" i="5" s="1"/>
  <c r="AN66" i="5" s="1"/>
  <c r="AN67" i="5" s="1"/>
  <c r="AN68" i="5" s="1"/>
  <c r="AN69" i="5" s="1"/>
  <c r="AN70" i="5" s="1"/>
  <c r="AN71" i="5" s="1"/>
  <c r="AN72" i="5" s="1"/>
  <c r="AN73" i="5" s="1"/>
  <c r="AN74" i="5" s="1"/>
  <c r="AN75" i="5" s="1"/>
  <c r="AN76" i="5" s="1"/>
  <c r="AN77" i="5" s="1"/>
  <c r="AN78" i="5" s="1"/>
  <c r="AN79" i="5" s="1"/>
  <c r="AN80" i="5" s="1"/>
  <c r="AN81" i="5" s="1"/>
  <c r="AN82" i="5" s="1"/>
  <c r="AN83" i="5" s="1"/>
  <c r="AN84" i="5" s="1"/>
  <c r="AN85" i="5" s="1"/>
  <c r="AN86" i="5" s="1"/>
  <c r="AN87" i="5" s="1"/>
  <c r="AN88" i="5" s="1"/>
  <c r="AN89" i="5" s="1"/>
  <c r="AN90" i="5" s="1"/>
  <c r="AN91" i="5" s="1"/>
  <c r="AN92" i="5" s="1"/>
  <c r="AN93" i="5" s="1"/>
  <c r="AN94" i="5" s="1"/>
  <c r="AN95" i="5" s="1"/>
  <c r="AN96" i="5" s="1"/>
  <c r="AN97" i="5" s="1"/>
  <c r="AN98" i="5" s="1"/>
  <c r="AN99" i="5" s="1"/>
  <c r="AN100" i="5" s="1"/>
  <c r="AN101" i="5" s="1"/>
  <c r="AN102" i="5" s="1"/>
  <c r="AN103" i="5" s="1"/>
  <c r="AN104" i="5" s="1"/>
  <c r="AN105" i="5" s="1"/>
  <c r="AN106" i="5" s="1"/>
  <c r="AN107" i="5" s="1"/>
  <c r="AN108" i="5" s="1"/>
  <c r="AN109" i="5" s="1"/>
  <c r="AN110" i="5" s="1"/>
  <c r="AN111" i="5" s="1"/>
  <c r="AN112" i="5" s="1"/>
  <c r="AN113" i="5" s="1"/>
  <c r="AN114" i="5" s="1"/>
  <c r="AN115" i="5" s="1"/>
  <c r="AN116" i="5" s="1"/>
  <c r="AN117" i="5" s="1"/>
  <c r="AN118" i="5" s="1"/>
  <c r="AN119" i="5" s="1"/>
  <c r="AN120" i="5" s="1"/>
  <c r="AN121" i="5" s="1"/>
  <c r="AN122" i="5" s="1"/>
  <c r="AN123" i="5" s="1"/>
  <c r="AN124" i="5" s="1"/>
  <c r="AN125" i="5" s="1"/>
  <c r="AN126" i="5" s="1"/>
  <c r="AN127" i="5" s="1"/>
  <c r="AN128" i="5" s="1"/>
  <c r="AN129" i="5" s="1"/>
  <c r="AN130" i="5" s="1"/>
  <c r="AN131" i="5" s="1"/>
  <c r="AN132" i="5" s="1"/>
  <c r="AN133" i="5" s="1"/>
  <c r="AN134" i="5" s="1"/>
  <c r="AN135" i="5" s="1"/>
  <c r="AN136" i="5" s="1"/>
  <c r="AN137" i="5" s="1"/>
  <c r="AN138" i="5" s="1"/>
  <c r="AN139" i="5" s="1"/>
  <c r="AN140" i="5" s="1"/>
  <c r="AN141" i="5" s="1"/>
  <c r="AN142" i="5" s="1"/>
  <c r="AN143" i="5" s="1"/>
  <c r="AN144" i="5" s="1"/>
  <c r="AN145" i="5" s="1"/>
  <c r="AN146" i="5" s="1"/>
  <c r="AN147" i="5" s="1"/>
  <c r="AN148" i="5" s="1"/>
  <c r="AN149" i="5" s="1"/>
  <c r="AN150" i="5" s="1"/>
  <c r="AN151" i="5" s="1"/>
  <c r="AN152" i="5" s="1"/>
  <c r="AN153" i="5" s="1"/>
  <c r="AN154" i="5" s="1"/>
  <c r="AN155" i="5" s="1"/>
  <c r="AN156" i="5" s="1"/>
  <c r="AN157" i="5" s="1"/>
  <c r="AN158" i="5" s="1"/>
  <c r="AN159" i="5" s="1"/>
  <c r="AN160" i="5" s="1"/>
  <c r="AN161" i="5" s="1"/>
  <c r="AN162" i="5" s="1"/>
  <c r="AN163" i="5" s="1"/>
  <c r="AN164" i="5" s="1"/>
  <c r="AN165" i="5" s="1"/>
  <c r="AN166" i="5" s="1"/>
  <c r="AN167" i="5" s="1"/>
  <c r="AN168" i="5" s="1"/>
  <c r="AN169" i="5" s="1"/>
  <c r="AN170" i="5" s="1"/>
  <c r="AN171" i="5" s="1"/>
  <c r="AN172" i="5" s="1"/>
  <c r="AN173" i="5" s="1"/>
  <c r="AN174" i="5" s="1"/>
  <c r="AN175" i="5" s="1"/>
  <c r="AN176" i="5" s="1"/>
  <c r="AN177" i="5" s="1"/>
  <c r="AN178" i="5" s="1"/>
  <c r="AN179" i="5" s="1"/>
  <c r="AN180" i="5" s="1"/>
  <c r="AN181" i="5" s="1"/>
  <c r="AN182" i="5" s="1"/>
  <c r="AN183" i="5" s="1"/>
  <c r="AN184" i="5" s="1"/>
  <c r="AN185" i="5" s="1"/>
  <c r="AN186" i="5" s="1"/>
  <c r="AN187" i="5" s="1"/>
  <c r="AN188" i="5" s="1"/>
  <c r="AN189" i="5" s="1"/>
  <c r="AN190" i="5" s="1"/>
  <c r="AN191" i="5" s="1"/>
  <c r="AN192" i="5" s="1"/>
  <c r="AN193" i="5" s="1"/>
  <c r="AN194" i="5" s="1"/>
  <c r="AN195" i="5" s="1"/>
  <c r="AN196" i="5" s="1"/>
  <c r="AN197" i="5" s="1"/>
  <c r="AN198" i="5" s="1"/>
  <c r="AN199" i="5" s="1"/>
  <c r="AN200" i="5" s="1"/>
  <c r="AN201" i="5" s="1"/>
  <c r="AN202" i="5" s="1"/>
  <c r="AN203" i="5" s="1"/>
  <c r="AN204" i="5" s="1"/>
  <c r="AN205" i="5" s="1"/>
  <c r="AN206" i="5" s="1"/>
  <c r="AN207" i="5" s="1"/>
  <c r="AN208" i="5" s="1"/>
  <c r="AN209" i="5" s="1"/>
  <c r="AN210" i="5" s="1"/>
  <c r="AN211" i="5" s="1"/>
  <c r="AN212" i="5" s="1"/>
  <c r="AN213" i="5" s="1"/>
  <c r="AN214" i="5" s="1"/>
  <c r="AN215" i="5" s="1"/>
  <c r="AN216" i="5" s="1"/>
  <c r="AN217" i="5" s="1"/>
  <c r="AN218" i="5" s="1"/>
  <c r="AN219" i="5" s="1"/>
  <c r="AN220" i="5" s="1"/>
  <c r="AN221" i="5" s="1"/>
  <c r="AN222" i="5" s="1"/>
  <c r="AN223" i="5" s="1"/>
  <c r="AN224" i="5" s="1"/>
  <c r="AN225" i="5" s="1"/>
  <c r="AN226" i="5" s="1"/>
  <c r="AN227" i="5" s="1"/>
  <c r="AN228" i="5" s="1"/>
  <c r="AN229" i="5" s="1"/>
  <c r="AN230" i="5" s="1"/>
  <c r="AN231" i="5" s="1"/>
  <c r="AN232" i="5" s="1"/>
  <c r="AN233" i="5" s="1"/>
  <c r="AN234" i="5" s="1"/>
  <c r="AN235" i="5" s="1"/>
  <c r="AN236" i="5" s="1"/>
  <c r="AN237" i="5" s="1"/>
  <c r="AN238" i="5" s="1"/>
  <c r="AN239" i="5" s="1"/>
  <c r="AN240" i="5" s="1"/>
  <c r="AN241" i="5" s="1"/>
  <c r="AN242" i="5" s="1"/>
  <c r="AN243" i="5" s="1"/>
  <c r="AN244" i="5" s="1"/>
  <c r="AN245" i="5" s="1"/>
  <c r="AN246" i="5" s="1"/>
  <c r="AN247" i="5" s="1"/>
  <c r="AN248" i="5" s="1"/>
  <c r="AN249" i="5" s="1"/>
  <c r="AN250" i="5" s="1"/>
  <c r="AN251" i="5" s="1"/>
  <c r="AN252" i="5" s="1"/>
  <c r="AN253" i="5" s="1"/>
  <c r="AN254" i="5" s="1"/>
  <c r="AN255" i="5" s="1"/>
  <c r="AM4" i="5"/>
  <c r="AM5" i="5" s="1"/>
  <c r="AM6" i="5" s="1"/>
  <c r="AM7" i="5" s="1"/>
  <c r="AM8" i="5" s="1"/>
  <c r="AM9" i="5" s="1"/>
  <c r="AM10" i="5" s="1"/>
  <c r="AM11" i="5" s="1"/>
  <c r="AM12" i="5" s="1"/>
  <c r="AM13" i="5" s="1"/>
  <c r="AM14" i="5" s="1"/>
  <c r="AM15" i="5" s="1"/>
  <c r="AM16" i="5" s="1"/>
  <c r="AM17" i="5" s="1"/>
  <c r="AM18" i="5" s="1"/>
  <c r="AM19" i="5" s="1"/>
  <c r="AM20" i="5" s="1"/>
  <c r="AM21" i="5" s="1"/>
  <c r="AM22" i="5" s="1"/>
  <c r="AM23" i="5" s="1"/>
  <c r="AM24" i="5" s="1"/>
  <c r="AM25" i="5" s="1"/>
  <c r="AM26" i="5" s="1"/>
  <c r="AM27" i="5" s="1"/>
  <c r="AM28" i="5" s="1"/>
  <c r="AM29" i="5" s="1"/>
  <c r="AM30" i="5" s="1"/>
  <c r="AM31" i="5" s="1"/>
  <c r="AM32" i="5" s="1"/>
  <c r="AM33" i="5" s="1"/>
  <c r="AM34" i="5" s="1"/>
  <c r="AM35" i="5" s="1"/>
  <c r="AM36" i="5" s="1"/>
  <c r="AM37" i="5" s="1"/>
  <c r="AM38" i="5" s="1"/>
  <c r="AM39" i="5" s="1"/>
  <c r="AM40" i="5" s="1"/>
  <c r="AM41" i="5" s="1"/>
  <c r="AM42" i="5" s="1"/>
  <c r="AM43" i="5" s="1"/>
  <c r="AM44" i="5" s="1"/>
  <c r="AM45" i="5" s="1"/>
  <c r="AM46" i="5" s="1"/>
  <c r="AM47" i="5" s="1"/>
  <c r="AM48" i="5" s="1"/>
  <c r="AM49" i="5" s="1"/>
  <c r="AM50" i="5" s="1"/>
  <c r="AM51" i="5" s="1"/>
  <c r="AM52" i="5" s="1"/>
  <c r="AM53" i="5" s="1"/>
  <c r="AM54" i="5" s="1"/>
  <c r="AM55" i="5" s="1"/>
  <c r="AM56" i="5" s="1"/>
  <c r="AM57" i="5" s="1"/>
  <c r="AM58" i="5" s="1"/>
  <c r="AM59" i="5" s="1"/>
  <c r="AM60" i="5" s="1"/>
  <c r="AM61" i="5" s="1"/>
  <c r="AM62" i="5" s="1"/>
  <c r="AM63" i="5" s="1"/>
  <c r="AM64" i="5" s="1"/>
  <c r="AM65" i="5" s="1"/>
  <c r="AM66" i="5" s="1"/>
  <c r="AM67" i="5" s="1"/>
  <c r="AM68" i="5" s="1"/>
  <c r="AM69" i="5" s="1"/>
  <c r="AM70" i="5" s="1"/>
  <c r="AM71" i="5" s="1"/>
  <c r="AM72" i="5" s="1"/>
  <c r="AM73" i="5" s="1"/>
  <c r="AM74" i="5" s="1"/>
  <c r="AM75" i="5" s="1"/>
  <c r="AM76" i="5" s="1"/>
  <c r="AM77" i="5" s="1"/>
  <c r="AM78" i="5" s="1"/>
  <c r="AM79" i="5" s="1"/>
  <c r="AM80" i="5" s="1"/>
  <c r="AM81" i="5" s="1"/>
  <c r="AM82" i="5" s="1"/>
  <c r="AM83" i="5" s="1"/>
  <c r="AM84" i="5" s="1"/>
  <c r="AM85" i="5" s="1"/>
  <c r="AM86" i="5" s="1"/>
  <c r="AM87" i="5" s="1"/>
  <c r="AM88" i="5" s="1"/>
  <c r="AM89" i="5" s="1"/>
  <c r="AM90" i="5" s="1"/>
  <c r="AM91" i="5" s="1"/>
  <c r="AM92" i="5" s="1"/>
  <c r="AM93" i="5" s="1"/>
  <c r="AM94" i="5" s="1"/>
  <c r="AM95" i="5" s="1"/>
  <c r="AM96" i="5" s="1"/>
  <c r="AM97" i="5" s="1"/>
  <c r="AM98" i="5" s="1"/>
  <c r="AM99" i="5" s="1"/>
  <c r="AM100" i="5" s="1"/>
  <c r="AM101" i="5" s="1"/>
  <c r="AM102" i="5" s="1"/>
  <c r="AM103" i="5" s="1"/>
  <c r="AM104" i="5" s="1"/>
  <c r="AM105" i="5" s="1"/>
  <c r="AM106" i="5" s="1"/>
  <c r="AM107" i="5" s="1"/>
  <c r="AM108" i="5" s="1"/>
  <c r="AM109" i="5" s="1"/>
  <c r="AM110" i="5" s="1"/>
  <c r="AM111" i="5" s="1"/>
  <c r="AM112" i="5" s="1"/>
  <c r="AM113" i="5" s="1"/>
  <c r="AM114" i="5" s="1"/>
  <c r="AM115" i="5" s="1"/>
  <c r="AM116" i="5" s="1"/>
  <c r="AM117" i="5" s="1"/>
  <c r="AM118" i="5" s="1"/>
  <c r="AM119" i="5" s="1"/>
  <c r="AM120" i="5" s="1"/>
  <c r="AM121" i="5" s="1"/>
  <c r="AM122" i="5" s="1"/>
  <c r="AM123" i="5" s="1"/>
  <c r="AM124" i="5" s="1"/>
  <c r="AM125" i="5" s="1"/>
  <c r="AM126" i="5" s="1"/>
  <c r="AM127" i="5" s="1"/>
  <c r="AM128" i="5" s="1"/>
  <c r="AM129" i="5" s="1"/>
  <c r="AM130" i="5" s="1"/>
  <c r="AM131" i="5" s="1"/>
  <c r="AM132" i="5" s="1"/>
  <c r="AM133" i="5" s="1"/>
  <c r="AM134" i="5" s="1"/>
  <c r="AM135" i="5" s="1"/>
  <c r="AM136" i="5" s="1"/>
  <c r="AM137" i="5" s="1"/>
  <c r="AM138" i="5" s="1"/>
  <c r="AM139" i="5" s="1"/>
  <c r="AM140" i="5" s="1"/>
  <c r="AM141" i="5" s="1"/>
  <c r="AM142" i="5" s="1"/>
  <c r="AM143" i="5" s="1"/>
  <c r="AM144" i="5" s="1"/>
  <c r="AM145" i="5" s="1"/>
  <c r="AM146" i="5" s="1"/>
  <c r="AM147" i="5" s="1"/>
  <c r="AM148" i="5" s="1"/>
  <c r="AM149" i="5" s="1"/>
  <c r="AM150" i="5" s="1"/>
  <c r="AM151" i="5" s="1"/>
  <c r="AM152" i="5" s="1"/>
  <c r="AM153" i="5" s="1"/>
  <c r="AM154" i="5" s="1"/>
  <c r="AM155" i="5" s="1"/>
  <c r="AM156" i="5" s="1"/>
  <c r="AM157" i="5" s="1"/>
  <c r="AM158" i="5" s="1"/>
  <c r="AM159" i="5" s="1"/>
  <c r="AM160" i="5" s="1"/>
  <c r="AM161" i="5" s="1"/>
  <c r="AM162" i="5" s="1"/>
  <c r="AM163" i="5" s="1"/>
  <c r="AM164" i="5" s="1"/>
  <c r="AM165" i="5" s="1"/>
  <c r="AM166" i="5" s="1"/>
  <c r="AM167" i="5" s="1"/>
  <c r="AM168" i="5" s="1"/>
  <c r="AM169" i="5" s="1"/>
  <c r="AM170" i="5" s="1"/>
  <c r="AM171" i="5" s="1"/>
  <c r="AM172" i="5" s="1"/>
  <c r="AM173" i="5" s="1"/>
  <c r="AM174" i="5" s="1"/>
  <c r="AM175" i="5" s="1"/>
  <c r="AM176" i="5" s="1"/>
  <c r="AM177" i="5" s="1"/>
  <c r="AM178" i="5" s="1"/>
  <c r="AM179" i="5" s="1"/>
  <c r="AM180" i="5" s="1"/>
  <c r="AM181" i="5" s="1"/>
  <c r="AM182" i="5" s="1"/>
  <c r="AM183" i="5" s="1"/>
  <c r="AM184" i="5" s="1"/>
  <c r="AM185" i="5" s="1"/>
  <c r="AM186" i="5" s="1"/>
  <c r="AM187" i="5" s="1"/>
  <c r="AM188" i="5" s="1"/>
  <c r="AM189" i="5" s="1"/>
  <c r="AM190" i="5" s="1"/>
  <c r="AM191" i="5" s="1"/>
  <c r="AM192" i="5" s="1"/>
  <c r="AM193" i="5" s="1"/>
  <c r="AM194" i="5" s="1"/>
  <c r="AM195" i="5" s="1"/>
  <c r="AM196" i="5" s="1"/>
  <c r="AM197" i="5" s="1"/>
  <c r="AM198" i="5" s="1"/>
  <c r="AM199" i="5" s="1"/>
  <c r="AM200" i="5" s="1"/>
  <c r="AM201" i="5" s="1"/>
  <c r="AM202" i="5" s="1"/>
  <c r="AM203" i="5" s="1"/>
  <c r="AM204" i="5" s="1"/>
  <c r="AM205" i="5" s="1"/>
  <c r="AM206" i="5" s="1"/>
  <c r="AM207" i="5" s="1"/>
  <c r="AM208" i="5" s="1"/>
  <c r="AM209" i="5" s="1"/>
  <c r="AM210" i="5" s="1"/>
  <c r="AM211" i="5" s="1"/>
  <c r="AM212" i="5" s="1"/>
  <c r="AM213" i="5" s="1"/>
  <c r="AM214" i="5" s="1"/>
  <c r="AM215" i="5" s="1"/>
  <c r="AM216" i="5" s="1"/>
  <c r="AM217" i="5" s="1"/>
  <c r="AM218" i="5" s="1"/>
  <c r="AM219" i="5" s="1"/>
  <c r="AM220" i="5" s="1"/>
  <c r="AM221" i="5" s="1"/>
  <c r="AM222" i="5" s="1"/>
  <c r="AM223" i="5" s="1"/>
  <c r="AM224" i="5" s="1"/>
  <c r="AM225" i="5" s="1"/>
  <c r="AM226" i="5" s="1"/>
  <c r="AM227" i="5" s="1"/>
  <c r="AM228" i="5" s="1"/>
  <c r="AM229" i="5" s="1"/>
  <c r="AM230" i="5" s="1"/>
  <c r="AM231" i="5" s="1"/>
  <c r="AM232" i="5" s="1"/>
  <c r="AM233" i="5" s="1"/>
  <c r="AM234" i="5" s="1"/>
  <c r="AM235" i="5" s="1"/>
  <c r="AM236" i="5" s="1"/>
  <c r="AM237" i="5" s="1"/>
  <c r="AM238" i="5" s="1"/>
  <c r="AM239" i="5" s="1"/>
  <c r="AM240" i="5" s="1"/>
  <c r="AM241" i="5" s="1"/>
  <c r="AM242" i="5" s="1"/>
  <c r="AM243" i="5" s="1"/>
  <c r="AM244" i="5" s="1"/>
  <c r="AM245" i="5" s="1"/>
  <c r="AM246" i="5" s="1"/>
  <c r="AM247" i="5" s="1"/>
  <c r="AM248" i="5" s="1"/>
  <c r="AM249" i="5" s="1"/>
  <c r="AM250" i="5" s="1"/>
  <c r="AM251" i="5" s="1"/>
  <c r="AM252" i="5" s="1"/>
  <c r="AM253" i="5" s="1"/>
  <c r="AM254" i="5" s="1"/>
  <c r="AM255" i="5" s="1"/>
  <c r="AL4" i="5"/>
  <c r="AP4" i="5" s="1"/>
  <c r="AD257" i="5"/>
  <c r="AE257" i="5"/>
  <c r="AJ3" i="5"/>
  <c r="AI3" i="5"/>
  <c r="AH3" i="5"/>
  <c r="AG3" i="5"/>
  <c r="AB3" i="5"/>
  <c r="AB257" i="5" s="1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E63" i="5"/>
  <c r="AE64" i="5"/>
  <c r="AE65" i="5"/>
  <c r="AE66" i="5"/>
  <c r="AE67" i="5"/>
  <c r="AE68" i="5"/>
  <c r="AE69" i="5"/>
  <c r="AE70" i="5"/>
  <c r="AE71" i="5"/>
  <c r="AE72" i="5"/>
  <c r="AE73" i="5"/>
  <c r="AE74" i="5"/>
  <c r="AE75" i="5"/>
  <c r="AE76" i="5"/>
  <c r="AE77" i="5"/>
  <c r="AE78" i="5"/>
  <c r="AE79" i="5"/>
  <c r="AE80" i="5"/>
  <c r="AE81" i="5"/>
  <c r="AE82" i="5"/>
  <c r="AE83" i="5"/>
  <c r="AE84" i="5"/>
  <c r="AE85" i="5"/>
  <c r="AE86" i="5"/>
  <c r="AE87" i="5"/>
  <c r="AE88" i="5"/>
  <c r="AE89" i="5"/>
  <c r="AE90" i="5"/>
  <c r="AE91" i="5"/>
  <c r="AE92" i="5"/>
  <c r="AE93" i="5"/>
  <c r="AE94" i="5"/>
  <c r="AE95" i="5"/>
  <c r="AE96" i="5"/>
  <c r="AE97" i="5"/>
  <c r="AE98" i="5"/>
  <c r="AE99" i="5"/>
  <c r="AE100" i="5"/>
  <c r="AE101" i="5"/>
  <c r="AE102" i="5"/>
  <c r="AE103" i="5"/>
  <c r="AE104" i="5"/>
  <c r="AE105" i="5"/>
  <c r="AE106" i="5"/>
  <c r="AE107" i="5"/>
  <c r="AE108" i="5"/>
  <c r="AE109" i="5"/>
  <c r="AE110" i="5"/>
  <c r="AE111" i="5"/>
  <c r="AE112" i="5"/>
  <c r="AE113" i="5"/>
  <c r="AE114" i="5"/>
  <c r="AE115" i="5"/>
  <c r="AE116" i="5"/>
  <c r="AE117" i="5"/>
  <c r="AE118" i="5"/>
  <c r="AE119" i="5"/>
  <c r="AE120" i="5"/>
  <c r="AE121" i="5"/>
  <c r="AE122" i="5"/>
  <c r="AE123" i="5"/>
  <c r="AE124" i="5"/>
  <c r="AE125" i="5"/>
  <c r="AE126" i="5"/>
  <c r="AE127" i="5"/>
  <c r="AE128" i="5"/>
  <c r="AE129" i="5"/>
  <c r="AE130" i="5"/>
  <c r="AE131" i="5"/>
  <c r="AE132" i="5"/>
  <c r="AE133" i="5"/>
  <c r="AE134" i="5"/>
  <c r="AE135" i="5"/>
  <c r="AE136" i="5"/>
  <c r="AE137" i="5"/>
  <c r="AE138" i="5"/>
  <c r="AE139" i="5"/>
  <c r="AE140" i="5"/>
  <c r="AE141" i="5"/>
  <c r="AE142" i="5"/>
  <c r="AE143" i="5"/>
  <c r="AE144" i="5"/>
  <c r="AE145" i="5"/>
  <c r="AE146" i="5"/>
  <c r="AE147" i="5"/>
  <c r="AE148" i="5"/>
  <c r="AE149" i="5"/>
  <c r="AE150" i="5"/>
  <c r="AE151" i="5"/>
  <c r="AE152" i="5"/>
  <c r="AE153" i="5"/>
  <c r="AE154" i="5"/>
  <c r="AE155" i="5"/>
  <c r="AE156" i="5"/>
  <c r="AE157" i="5"/>
  <c r="AE158" i="5"/>
  <c r="AE159" i="5"/>
  <c r="AE160" i="5"/>
  <c r="AE161" i="5"/>
  <c r="AE162" i="5"/>
  <c r="AE163" i="5"/>
  <c r="AE164" i="5"/>
  <c r="AE165" i="5"/>
  <c r="AE166" i="5"/>
  <c r="AE167" i="5"/>
  <c r="AE168" i="5"/>
  <c r="AE169" i="5"/>
  <c r="AE170" i="5"/>
  <c r="AE171" i="5"/>
  <c r="AE172" i="5"/>
  <c r="AE173" i="5"/>
  <c r="AE174" i="5"/>
  <c r="AE175" i="5"/>
  <c r="AE176" i="5"/>
  <c r="AE177" i="5"/>
  <c r="AE178" i="5"/>
  <c r="AE179" i="5"/>
  <c r="AE180" i="5"/>
  <c r="AE181" i="5"/>
  <c r="AE182" i="5"/>
  <c r="AE183" i="5"/>
  <c r="AE184" i="5"/>
  <c r="AE185" i="5"/>
  <c r="AE186" i="5"/>
  <c r="AE187" i="5"/>
  <c r="AE188" i="5"/>
  <c r="AE189" i="5"/>
  <c r="AE190" i="5"/>
  <c r="AE191" i="5"/>
  <c r="AE192" i="5"/>
  <c r="AE193" i="5"/>
  <c r="AE194" i="5"/>
  <c r="AE195" i="5"/>
  <c r="AE196" i="5"/>
  <c r="AE197" i="5"/>
  <c r="AE198" i="5"/>
  <c r="AE199" i="5"/>
  <c r="AE200" i="5"/>
  <c r="AE201" i="5"/>
  <c r="AE202" i="5"/>
  <c r="AE203" i="5"/>
  <c r="AE204" i="5"/>
  <c r="AE205" i="5"/>
  <c r="AE206" i="5"/>
  <c r="AE207" i="5"/>
  <c r="AE208" i="5"/>
  <c r="AE209" i="5"/>
  <c r="AE210" i="5"/>
  <c r="AE211" i="5"/>
  <c r="AE212" i="5"/>
  <c r="AE213" i="5"/>
  <c r="AE214" i="5"/>
  <c r="AE215" i="5"/>
  <c r="AE216" i="5"/>
  <c r="AE217" i="5"/>
  <c r="AE218" i="5"/>
  <c r="AE219" i="5"/>
  <c r="AE220" i="5"/>
  <c r="AE221" i="5"/>
  <c r="AE222" i="5"/>
  <c r="AE223" i="5"/>
  <c r="AE224" i="5"/>
  <c r="AE225" i="5"/>
  <c r="AE226" i="5"/>
  <c r="AE227" i="5"/>
  <c r="AE228" i="5"/>
  <c r="AE229" i="5"/>
  <c r="AE230" i="5"/>
  <c r="AE231" i="5"/>
  <c r="AE232" i="5"/>
  <c r="AE233" i="5"/>
  <c r="AE234" i="5"/>
  <c r="AE235" i="5"/>
  <c r="AE236" i="5"/>
  <c r="AE237" i="5"/>
  <c r="AE238" i="5"/>
  <c r="AE239" i="5"/>
  <c r="AE240" i="5"/>
  <c r="AE241" i="5"/>
  <c r="AE242" i="5"/>
  <c r="AE243" i="5"/>
  <c r="AE244" i="5"/>
  <c r="AE245" i="5"/>
  <c r="AE246" i="5"/>
  <c r="AE247" i="5"/>
  <c r="AE248" i="5"/>
  <c r="AE249" i="5"/>
  <c r="AE250" i="5"/>
  <c r="AE251" i="5"/>
  <c r="AE252" i="5"/>
  <c r="AE253" i="5"/>
  <c r="AE254" i="5"/>
  <c r="AE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D155" i="5"/>
  <c r="AD156" i="5"/>
  <c r="AD157" i="5"/>
  <c r="AD158" i="5"/>
  <c r="AD159" i="5"/>
  <c r="AD160" i="5"/>
  <c r="AD161" i="5"/>
  <c r="AD162" i="5"/>
  <c r="AD163" i="5"/>
  <c r="AD164" i="5"/>
  <c r="AD165" i="5"/>
  <c r="AD166" i="5"/>
  <c r="AD167" i="5"/>
  <c r="AD168" i="5"/>
  <c r="AD169" i="5"/>
  <c r="AD170" i="5"/>
  <c r="AD171" i="5"/>
  <c r="AD172" i="5"/>
  <c r="AD173" i="5"/>
  <c r="AD174" i="5"/>
  <c r="AD175" i="5"/>
  <c r="AD176" i="5"/>
  <c r="AD177" i="5"/>
  <c r="AD178" i="5"/>
  <c r="AD179" i="5"/>
  <c r="AD180" i="5"/>
  <c r="AD181" i="5"/>
  <c r="AD182" i="5"/>
  <c r="AD183" i="5"/>
  <c r="AD184" i="5"/>
  <c r="AD185" i="5"/>
  <c r="AD186" i="5"/>
  <c r="AD187" i="5"/>
  <c r="AD188" i="5"/>
  <c r="AD189" i="5"/>
  <c r="AD190" i="5"/>
  <c r="AD191" i="5"/>
  <c r="AD192" i="5"/>
  <c r="AD193" i="5"/>
  <c r="AD194" i="5"/>
  <c r="AD195" i="5"/>
  <c r="AD196" i="5"/>
  <c r="AD197" i="5"/>
  <c r="AD198" i="5"/>
  <c r="AD199" i="5"/>
  <c r="AD200" i="5"/>
  <c r="AD201" i="5"/>
  <c r="AD202" i="5"/>
  <c r="AD203" i="5"/>
  <c r="AD204" i="5"/>
  <c r="AD205" i="5"/>
  <c r="AD206" i="5"/>
  <c r="AD207" i="5"/>
  <c r="AD208" i="5"/>
  <c r="AD209" i="5"/>
  <c r="AD210" i="5"/>
  <c r="AD211" i="5"/>
  <c r="AD212" i="5"/>
  <c r="AD213" i="5"/>
  <c r="AD214" i="5"/>
  <c r="AD215" i="5"/>
  <c r="AD216" i="5"/>
  <c r="AD217" i="5"/>
  <c r="AD218" i="5"/>
  <c r="AD219" i="5"/>
  <c r="AD220" i="5"/>
  <c r="AD221" i="5"/>
  <c r="AD222" i="5"/>
  <c r="AD223" i="5"/>
  <c r="AD224" i="5"/>
  <c r="AD225" i="5"/>
  <c r="AD226" i="5"/>
  <c r="AD227" i="5"/>
  <c r="AD228" i="5"/>
  <c r="AD229" i="5"/>
  <c r="AD230" i="5"/>
  <c r="AD231" i="5"/>
  <c r="AD232" i="5"/>
  <c r="AD233" i="5"/>
  <c r="AD234" i="5"/>
  <c r="AD235" i="5"/>
  <c r="AD236" i="5"/>
  <c r="AD237" i="5"/>
  <c r="AD238" i="5"/>
  <c r="AD239" i="5"/>
  <c r="AD240" i="5"/>
  <c r="AD241" i="5"/>
  <c r="AD242" i="5"/>
  <c r="AD243" i="5"/>
  <c r="AD244" i="5"/>
  <c r="AD245" i="5"/>
  <c r="AD246" i="5"/>
  <c r="AD247" i="5"/>
  <c r="AD248" i="5"/>
  <c r="AD249" i="5"/>
  <c r="AD250" i="5"/>
  <c r="AD251" i="5"/>
  <c r="AD252" i="5"/>
  <c r="AD253" i="5"/>
  <c r="AD254" i="5"/>
  <c r="AD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C63" i="5"/>
  <c r="AC64" i="5"/>
  <c r="AC65" i="5"/>
  <c r="AC66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94" i="5"/>
  <c r="AC95" i="5"/>
  <c r="AC96" i="5"/>
  <c r="AC97" i="5"/>
  <c r="AC98" i="5"/>
  <c r="AC99" i="5"/>
  <c r="AC100" i="5"/>
  <c r="AC101" i="5"/>
  <c r="AC102" i="5"/>
  <c r="AC103" i="5"/>
  <c r="AC104" i="5"/>
  <c r="AC105" i="5"/>
  <c r="AC106" i="5"/>
  <c r="AC107" i="5"/>
  <c r="AC108" i="5"/>
  <c r="AC109" i="5"/>
  <c r="AC110" i="5"/>
  <c r="AC111" i="5"/>
  <c r="AC112" i="5"/>
  <c r="AC113" i="5"/>
  <c r="AC114" i="5"/>
  <c r="AC115" i="5"/>
  <c r="AC116" i="5"/>
  <c r="AC117" i="5"/>
  <c r="AC118" i="5"/>
  <c r="AC119" i="5"/>
  <c r="AC120" i="5"/>
  <c r="AC121" i="5"/>
  <c r="AC122" i="5"/>
  <c r="AC123" i="5"/>
  <c r="AC124" i="5"/>
  <c r="AC125" i="5"/>
  <c r="AC126" i="5"/>
  <c r="AC127" i="5"/>
  <c r="AC128" i="5"/>
  <c r="AC129" i="5"/>
  <c r="AC130" i="5"/>
  <c r="AC131" i="5"/>
  <c r="AC132" i="5"/>
  <c r="AC133" i="5"/>
  <c r="AC134" i="5"/>
  <c r="AC135" i="5"/>
  <c r="AC136" i="5"/>
  <c r="AC137" i="5"/>
  <c r="AC138" i="5"/>
  <c r="AC139" i="5"/>
  <c r="AC140" i="5"/>
  <c r="AC141" i="5"/>
  <c r="AC142" i="5"/>
  <c r="AC143" i="5"/>
  <c r="AC144" i="5"/>
  <c r="AC145" i="5"/>
  <c r="AC146" i="5"/>
  <c r="AC147" i="5"/>
  <c r="AC148" i="5"/>
  <c r="AC149" i="5"/>
  <c r="AC150" i="5"/>
  <c r="AC151" i="5"/>
  <c r="AC152" i="5"/>
  <c r="AC153" i="5"/>
  <c r="AC154" i="5"/>
  <c r="AC155" i="5"/>
  <c r="AC156" i="5"/>
  <c r="AC157" i="5"/>
  <c r="AC158" i="5"/>
  <c r="AC159" i="5"/>
  <c r="AC160" i="5"/>
  <c r="AC161" i="5"/>
  <c r="AC162" i="5"/>
  <c r="AC163" i="5"/>
  <c r="AC164" i="5"/>
  <c r="AC165" i="5"/>
  <c r="AC166" i="5"/>
  <c r="AC167" i="5"/>
  <c r="AC168" i="5"/>
  <c r="AC169" i="5"/>
  <c r="AC170" i="5"/>
  <c r="AC171" i="5"/>
  <c r="AC172" i="5"/>
  <c r="AC173" i="5"/>
  <c r="AC174" i="5"/>
  <c r="AC175" i="5"/>
  <c r="AC176" i="5"/>
  <c r="AC177" i="5"/>
  <c r="AC178" i="5"/>
  <c r="AC179" i="5"/>
  <c r="AC180" i="5"/>
  <c r="AC181" i="5"/>
  <c r="AC182" i="5"/>
  <c r="AC183" i="5"/>
  <c r="AC184" i="5"/>
  <c r="AC185" i="5"/>
  <c r="AC186" i="5"/>
  <c r="AC187" i="5"/>
  <c r="AC188" i="5"/>
  <c r="AC189" i="5"/>
  <c r="AC190" i="5"/>
  <c r="AC191" i="5"/>
  <c r="AC192" i="5"/>
  <c r="AC193" i="5"/>
  <c r="AC194" i="5"/>
  <c r="AC195" i="5"/>
  <c r="AC196" i="5"/>
  <c r="AC197" i="5"/>
  <c r="AC198" i="5"/>
  <c r="AC199" i="5"/>
  <c r="AC200" i="5"/>
  <c r="AC201" i="5"/>
  <c r="AC202" i="5"/>
  <c r="AC203" i="5"/>
  <c r="AC204" i="5"/>
  <c r="AC205" i="5"/>
  <c r="AC206" i="5"/>
  <c r="AC207" i="5"/>
  <c r="AC208" i="5"/>
  <c r="AC209" i="5"/>
  <c r="AC210" i="5"/>
  <c r="AC211" i="5"/>
  <c r="AC212" i="5"/>
  <c r="AC213" i="5"/>
  <c r="AC214" i="5"/>
  <c r="AC215" i="5"/>
  <c r="AC216" i="5"/>
  <c r="AC217" i="5"/>
  <c r="AC218" i="5"/>
  <c r="AC219" i="5"/>
  <c r="AC220" i="5"/>
  <c r="AC221" i="5"/>
  <c r="AC222" i="5"/>
  <c r="AC223" i="5"/>
  <c r="AC224" i="5"/>
  <c r="AC225" i="5"/>
  <c r="AC226" i="5"/>
  <c r="AC227" i="5"/>
  <c r="AC228" i="5"/>
  <c r="AC229" i="5"/>
  <c r="AC230" i="5"/>
  <c r="AC231" i="5"/>
  <c r="AC232" i="5"/>
  <c r="AC233" i="5"/>
  <c r="AC234" i="5"/>
  <c r="AC235" i="5"/>
  <c r="AC236" i="5"/>
  <c r="AC237" i="5"/>
  <c r="AC238" i="5"/>
  <c r="AC239" i="5"/>
  <c r="AC240" i="5"/>
  <c r="AC241" i="5"/>
  <c r="AC242" i="5"/>
  <c r="AC243" i="5"/>
  <c r="AC244" i="5"/>
  <c r="AC245" i="5"/>
  <c r="AC246" i="5"/>
  <c r="AC247" i="5"/>
  <c r="AC248" i="5"/>
  <c r="AC249" i="5"/>
  <c r="AC250" i="5"/>
  <c r="AC251" i="5"/>
  <c r="AC252" i="5"/>
  <c r="AC253" i="5"/>
  <c r="AC254" i="5"/>
  <c r="AC255" i="5"/>
  <c r="AC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Z4" i="5"/>
  <c r="Y4" i="5"/>
  <c r="Y5" i="5" s="1"/>
  <c r="Y6" i="5" s="1"/>
  <c r="AI6" i="5" s="1"/>
  <c r="X4" i="5"/>
  <c r="W4" i="5"/>
  <c r="AG4" i="5" s="1"/>
  <c r="U5" i="5"/>
  <c r="U6" i="5" s="1"/>
  <c r="U7" i="5" s="1"/>
  <c r="U8" i="5" s="1"/>
  <c r="U9" i="5" s="1"/>
  <c r="U10" i="5" s="1"/>
  <c r="U11" i="5" s="1"/>
  <c r="U12" i="5" s="1"/>
  <c r="U13" i="5" s="1"/>
  <c r="U14" i="5" s="1"/>
  <c r="U15" i="5" s="1"/>
  <c r="U16" i="5" s="1"/>
  <c r="U17" i="5" s="1"/>
  <c r="U18" i="5" s="1"/>
  <c r="U19" i="5" s="1"/>
  <c r="U20" i="5" s="1"/>
  <c r="U21" i="5" s="1"/>
  <c r="U22" i="5" s="1"/>
  <c r="U23" i="5" s="1"/>
  <c r="U24" i="5" s="1"/>
  <c r="U25" i="5" s="1"/>
  <c r="U26" i="5" s="1"/>
  <c r="U27" i="5" s="1"/>
  <c r="U28" i="5" s="1"/>
  <c r="U29" i="5" s="1"/>
  <c r="U30" i="5" s="1"/>
  <c r="U31" i="5" s="1"/>
  <c r="U32" i="5" s="1"/>
  <c r="U33" i="5" s="1"/>
  <c r="U34" i="5" s="1"/>
  <c r="U35" i="5" s="1"/>
  <c r="U36" i="5" s="1"/>
  <c r="U37" i="5" s="1"/>
  <c r="U38" i="5" s="1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U90" i="5" s="1"/>
  <c r="U91" i="5" s="1"/>
  <c r="U92" i="5" s="1"/>
  <c r="U93" i="5" s="1"/>
  <c r="U94" i="5" s="1"/>
  <c r="U95" i="5" s="1"/>
  <c r="U96" i="5" s="1"/>
  <c r="U97" i="5" s="1"/>
  <c r="U98" i="5" s="1"/>
  <c r="U99" i="5" s="1"/>
  <c r="U100" i="5" s="1"/>
  <c r="U101" i="5" s="1"/>
  <c r="U102" i="5" s="1"/>
  <c r="U103" i="5" s="1"/>
  <c r="U104" i="5" s="1"/>
  <c r="U105" i="5" s="1"/>
  <c r="U106" i="5" s="1"/>
  <c r="U107" i="5" s="1"/>
  <c r="U108" i="5" s="1"/>
  <c r="U109" i="5" s="1"/>
  <c r="U110" i="5" s="1"/>
  <c r="U111" i="5" s="1"/>
  <c r="U112" i="5" s="1"/>
  <c r="U113" i="5" s="1"/>
  <c r="U114" i="5" s="1"/>
  <c r="U115" i="5" s="1"/>
  <c r="U116" i="5" s="1"/>
  <c r="U117" i="5" s="1"/>
  <c r="U118" i="5" s="1"/>
  <c r="U119" i="5" s="1"/>
  <c r="U120" i="5" s="1"/>
  <c r="U121" i="5" s="1"/>
  <c r="U122" i="5" s="1"/>
  <c r="U123" i="5" s="1"/>
  <c r="U124" i="5" s="1"/>
  <c r="U125" i="5" s="1"/>
  <c r="U126" i="5" s="1"/>
  <c r="U127" i="5" s="1"/>
  <c r="U128" i="5" s="1"/>
  <c r="U129" i="5" s="1"/>
  <c r="U130" i="5" s="1"/>
  <c r="U131" i="5" s="1"/>
  <c r="U132" i="5" s="1"/>
  <c r="U133" i="5" s="1"/>
  <c r="U134" i="5" s="1"/>
  <c r="U135" i="5" s="1"/>
  <c r="U136" i="5" s="1"/>
  <c r="U137" i="5" s="1"/>
  <c r="U138" i="5" s="1"/>
  <c r="U139" i="5" s="1"/>
  <c r="U140" i="5" s="1"/>
  <c r="U141" i="5" s="1"/>
  <c r="U142" i="5" s="1"/>
  <c r="U143" i="5" s="1"/>
  <c r="U144" i="5" s="1"/>
  <c r="U145" i="5" s="1"/>
  <c r="U146" i="5" s="1"/>
  <c r="U147" i="5" s="1"/>
  <c r="U148" i="5" s="1"/>
  <c r="U149" i="5" s="1"/>
  <c r="U150" i="5" s="1"/>
  <c r="U151" i="5" s="1"/>
  <c r="U152" i="5" s="1"/>
  <c r="U153" i="5" s="1"/>
  <c r="U154" i="5" s="1"/>
  <c r="U155" i="5" s="1"/>
  <c r="U156" i="5" s="1"/>
  <c r="U157" i="5" s="1"/>
  <c r="U158" i="5" s="1"/>
  <c r="U159" i="5" s="1"/>
  <c r="U160" i="5" s="1"/>
  <c r="U161" i="5" s="1"/>
  <c r="U162" i="5" s="1"/>
  <c r="U163" i="5" s="1"/>
  <c r="U164" i="5" s="1"/>
  <c r="U165" i="5" s="1"/>
  <c r="U166" i="5" s="1"/>
  <c r="U167" i="5" s="1"/>
  <c r="U168" i="5" s="1"/>
  <c r="U169" i="5" s="1"/>
  <c r="U170" i="5" s="1"/>
  <c r="U171" i="5" s="1"/>
  <c r="U172" i="5" s="1"/>
  <c r="U173" i="5" s="1"/>
  <c r="U174" i="5" s="1"/>
  <c r="U175" i="5" s="1"/>
  <c r="U176" i="5" s="1"/>
  <c r="U177" i="5" s="1"/>
  <c r="U178" i="5" s="1"/>
  <c r="U179" i="5" s="1"/>
  <c r="U180" i="5" s="1"/>
  <c r="U181" i="5" s="1"/>
  <c r="U182" i="5" s="1"/>
  <c r="U183" i="5" s="1"/>
  <c r="U184" i="5" s="1"/>
  <c r="U185" i="5" s="1"/>
  <c r="U186" i="5" s="1"/>
  <c r="U187" i="5" s="1"/>
  <c r="U188" i="5" s="1"/>
  <c r="U189" i="5" s="1"/>
  <c r="U190" i="5" s="1"/>
  <c r="U191" i="5" s="1"/>
  <c r="U192" i="5" s="1"/>
  <c r="U193" i="5" s="1"/>
  <c r="U194" i="5" s="1"/>
  <c r="U195" i="5" s="1"/>
  <c r="U196" i="5" s="1"/>
  <c r="U197" i="5" s="1"/>
  <c r="U198" i="5" s="1"/>
  <c r="U199" i="5" s="1"/>
  <c r="U200" i="5" s="1"/>
  <c r="U201" i="5" s="1"/>
  <c r="U202" i="5" s="1"/>
  <c r="U203" i="5" s="1"/>
  <c r="U204" i="5" s="1"/>
  <c r="U205" i="5" s="1"/>
  <c r="U206" i="5" s="1"/>
  <c r="U207" i="5" s="1"/>
  <c r="U208" i="5" s="1"/>
  <c r="U209" i="5" s="1"/>
  <c r="U210" i="5" s="1"/>
  <c r="U211" i="5" s="1"/>
  <c r="U212" i="5" s="1"/>
  <c r="U213" i="5" s="1"/>
  <c r="U214" i="5" s="1"/>
  <c r="U215" i="5" s="1"/>
  <c r="U216" i="5" s="1"/>
  <c r="U217" i="5" s="1"/>
  <c r="U218" i="5" s="1"/>
  <c r="U219" i="5" s="1"/>
  <c r="U220" i="5" s="1"/>
  <c r="U221" i="5" s="1"/>
  <c r="U222" i="5" s="1"/>
  <c r="U223" i="5" s="1"/>
  <c r="U224" i="5" s="1"/>
  <c r="U225" i="5" s="1"/>
  <c r="U226" i="5" s="1"/>
  <c r="U227" i="5" s="1"/>
  <c r="U228" i="5" s="1"/>
  <c r="U229" i="5" s="1"/>
  <c r="U230" i="5" s="1"/>
  <c r="U231" i="5" s="1"/>
  <c r="U232" i="5" s="1"/>
  <c r="U233" i="5" s="1"/>
  <c r="U234" i="5" s="1"/>
  <c r="U235" i="5" s="1"/>
  <c r="U236" i="5" s="1"/>
  <c r="U237" i="5" s="1"/>
  <c r="U238" i="5" s="1"/>
  <c r="U239" i="5" s="1"/>
  <c r="U240" i="5" s="1"/>
  <c r="U241" i="5" s="1"/>
  <c r="U242" i="5" s="1"/>
  <c r="U243" i="5" s="1"/>
  <c r="U244" i="5" s="1"/>
  <c r="U245" i="5" s="1"/>
  <c r="U246" i="5" s="1"/>
  <c r="U247" i="5" s="1"/>
  <c r="U248" i="5" s="1"/>
  <c r="U249" i="5" s="1"/>
  <c r="U250" i="5" s="1"/>
  <c r="U251" i="5" s="1"/>
  <c r="U252" i="5" s="1"/>
  <c r="U253" i="5" s="1"/>
  <c r="U254" i="5" s="1"/>
  <c r="U255" i="5" s="1"/>
  <c r="U4" i="5"/>
  <c r="T5" i="5"/>
  <c r="T6" i="5" s="1"/>
  <c r="T7" i="5" s="1"/>
  <c r="T8" i="5" s="1"/>
  <c r="T9" i="5" s="1"/>
  <c r="T10" i="5" s="1"/>
  <c r="T11" i="5" s="1"/>
  <c r="T12" i="5" s="1"/>
  <c r="T13" i="5" s="1"/>
  <c r="T14" i="5" s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0" i="5" s="1"/>
  <c r="T31" i="5" s="1"/>
  <c r="T32" i="5" s="1"/>
  <c r="T33" i="5" s="1"/>
  <c r="T34" i="5" s="1"/>
  <c r="T35" i="5" s="1"/>
  <c r="T36" i="5" s="1"/>
  <c r="T37" i="5" s="1"/>
  <c r="T38" i="5" s="1"/>
  <c r="T39" i="5" s="1"/>
  <c r="T40" i="5" s="1"/>
  <c r="T41" i="5" s="1"/>
  <c r="T42" i="5" s="1"/>
  <c r="T43" i="5" s="1"/>
  <c r="T44" i="5" s="1"/>
  <c r="T45" i="5" s="1"/>
  <c r="T46" i="5" s="1"/>
  <c r="T47" i="5" s="1"/>
  <c r="T48" i="5" s="1"/>
  <c r="T49" i="5" s="1"/>
  <c r="T50" i="5" s="1"/>
  <c r="T51" i="5" s="1"/>
  <c r="T52" i="5" s="1"/>
  <c r="T53" i="5" s="1"/>
  <c r="T54" i="5" s="1"/>
  <c r="T55" i="5" s="1"/>
  <c r="T56" i="5" s="1"/>
  <c r="T57" i="5" s="1"/>
  <c r="T58" i="5" s="1"/>
  <c r="T59" i="5" s="1"/>
  <c r="T60" i="5" s="1"/>
  <c r="T61" i="5" s="1"/>
  <c r="T62" i="5" s="1"/>
  <c r="T63" i="5" s="1"/>
  <c r="T64" i="5" s="1"/>
  <c r="T65" i="5" s="1"/>
  <c r="T66" i="5" s="1"/>
  <c r="T67" i="5" s="1"/>
  <c r="T68" i="5" s="1"/>
  <c r="T69" i="5" s="1"/>
  <c r="T70" i="5" s="1"/>
  <c r="T71" i="5" s="1"/>
  <c r="T72" i="5" s="1"/>
  <c r="T73" i="5" s="1"/>
  <c r="T74" i="5" s="1"/>
  <c r="T75" i="5" s="1"/>
  <c r="T76" i="5" s="1"/>
  <c r="T77" i="5" s="1"/>
  <c r="T78" i="5" s="1"/>
  <c r="T79" i="5" s="1"/>
  <c r="T80" i="5" s="1"/>
  <c r="T81" i="5" s="1"/>
  <c r="T82" i="5" s="1"/>
  <c r="T83" i="5" s="1"/>
  <c r="T84" i="5" s="1"/>
  <c r="T85" i="5" s="1"/>
  <c r="T86" i="5" s="1"/>
  <c r="T87" i="5" s="1"/>
  <c r="T88" i="5" s="1"/>
  <c r="T89" i="5" s="1"/>
  <c r="T90" i="5" s="1"/>
  <c r="T91" i="5" s="1"/>
  <c r="T92" i="5" s="1"/>
  <c r="T93" i="5" s="1"/>
  <c r="T94" i="5" s="1"/>
  <c r="T95" i="5" s="1"/>
  <c r="T96" i="5" s="1"/>
  <c r="T97" i="5" s="1"/>
  <c r="T98" i="5" s="1"/>
  <c r="T99" i="5" s="1"/>
  <c r="T100" i="5" s="1"/>
  <c r="T101" i="5" s="1"/>
  <c r="T102" i="5" s="1"/>
  <c r="T103" i="5" s="1"/>
  <c r="T104" i="5" s="1"/>
  <c r="T105" i="5" s="1"/>
  <c r="T106" i="5" s="1"/>
  <c r="T107" i="5" s="1"/>
  <c r="T108" i="5" s="1"/>
  <c r="T109" i="5" s="1"/>
  <c r="T110" i="5" s="1"/>
  <c r="T111" i="5" s="1"/>
  <c r="T112" i="5" s="1"/>
  <c r="T113" i="5" s="1"/>
  <c r="T114" i="5" s="1"/>
  <c r="T115" i="5" s="1"/>
  <c r="T116" i="5" s="1"/>
  <c r="T117" i="5" s="1"/>
  <c r="T118" i="5" s="1"/>
  <c r="T119" i="5" s="1"/>
  <c r="T120" i="5" s="1"/>
  <c r="T121" i="5" s="1"/>
  <c r="T122" i="5" s="1"/>
  <c r="T123" i="5" s="1"/>
  <c r="T124" i="5" s="1"/>
  <c r="T125" i="5" s="1"/>
  <c r="T126" i="5" s="1"/>
  <c r="T127" i="5" s="1"/>
  <c r="T128" i="5" s="1"/>
  <c r="T129" i="5" s="1"/>
  <c r="T130" i="5" s="1"/>
  <c r="T131" i="5" s="1"/>
  <c r="T132" i="5" s="1"/>
  <c r="T133" i="5" s="1"/>
  <c r="T134" i="5" s="1"/>
  <c r="T135" i="5" s="1"/>
  <c r="T136" i="5" s="1"/>
  <c r="T137" i="5" s="1"/>
  <c r="T138" i="5" s="1"/>
  <c r="T139" i="5" s="1"/>
  <c r="T140" i="5" s="1"/>
  <c r="T141" i="5" s="1"/>
  <c r="T142" i="5" s="1"/>
  <c r="T143" i="5" s="1"/>
  <c r="T144" i="5" s="1"/>
  <c r="T145" i="5" s="1"/>
  <c r="T146" i="5" s="1"/>
  <c r="T147" i="5" s="1"/>
  <c r="T148" i="5" s="1"/>
  <c r="T149" i="5" s="1"/>
  <c r="T150" i="5" s="1"/>
  <c r="T151" i="5" s="1"/>
  <c r="T152" i="5" s="1"/>
  <c r="T153" i="5" s="1"/>
  <c r="T154" i="5" s="1"/>
  <c r="T155" i="5" s="1"/>
  <c r="T156" i="5" s="1"/>
  <c r="T157" i="5" s="1"/>
  <c r="T158" i="5" s="1"/>
  <c r="T159" i="5" s="1"/>
  <c r="T160" i="5" s="1"/>
  <c r="T161" i="5" s="1"/>
  <c r="T162" i="5" s="1"/>
  <c r="T163" i="5" s="1"/>
  <c r="T164" i="5" s="1"/>
  <c r="T165" i="5" s="1"/>
  <c r="T166" i="5" s="1"/>
  <c r="T167" i="5" s="1"/>
  <c r="T168" i="5" s="1"/>
  <c r="T169" i="5" s="1"/>
  <c r="T170" i="5" s="1"/>
  <c r="T171" i="5" s="1"/>
  <c r="T172" i="5" s="1"/>
  <c r="T173" i="5" s="1"/>
  <c r="T174" i="5" s="1"/>
  <c r="T175" i="5" s="1"/>
  <c r="T176" i="5" s="1"/>
  <c r="T177" i="5" s="1"/>
  <c r="T178" i="5" s="1"/>
  <c r="T179" i="5" s="1"/>
  <c r="T180" i="5" s="1"/>
  <c r="T181" i="5" s="1"/>
  <c r="T182" i="5" s="1"/>
  <c r="T183" i="5" s="1"/>
  <c r="T184" i="5" s="1"/>
  <c r="T185" i="5" s="1"/>
  <c r="T186" i="5" s="1"/>
  <c r="T187" i="5" s="1"/>
  <c r="T188" i="5" s="1"/>
  <c r="T189" i="5" s="1"/>
  <c r="T190" i="5" s="1"/>
  <c r="T191" i="5" s="1"/>
  <c r="T192" i="5" s="1"/>
  <c r="T193" i="5" s="1"/>
  <c r="T194" i="5" s="1"/>
  <c r="T195" i="5" s="1"/>
  <c r="T196" i="5" s="1"/>
  <c r="T197" i="5" s="1"/>
  <c r="T198" i="5" s="1"/>
  <c r="T199" i="5" s="1"/>
  <c r="T200" i="5" s="1"/>
  <c r="T201" i="5" s="1"/>
  <c r="T202" i="5" s="1"/>
  <c r="T203" i="5" s="1"/>
  <c r="T204" i="5" s="1"/>
  <c r="T205" i="5" s="1"/>
  <c r="T206" i="5" s="1"/>
  <c r="T207" i="5" s="1"/>
  <c r="T208" i="5" s="1"/>
  <c r="T209" i="5" s="1"/>
  <c r="T210" i="5" s="1"/>
  <c r="T211" i="5" s="1"/>
  <c r="T212" i="5" s="1"/>
  <c r="T213" i="5" s="1"/>
  <c r="T214" i="5" s="1"/>
  <c r="T215" i="5" s="1"/>
  <c r="T216" i="5" s="1"/>
  <c r="T217" i="5" s="1"/>
  <c r="T218" i="5" s="1"/>
  <c r="T219" i="5" s="1"/>
  <c r="T220" i="5" s="1"/>
  <c r="T221" i="5" s="1"/>
  <c r="T222" i="5" s="1"/>
  <c r="T223" i="5" s="1"/>
  <c r="T224" i="5" s="1"/>
  <c r="T225" i="5" s="1"/>
  <c r="T226" i="5" s="1"/>
  <c r="T227" i="5" s="1"/>
  <c r="T228" i="5" s="1"/>
  <c r="T229" i="5" s="1"/>
  <c r="T230" i="5" s="1"/>
  <c r="T231" i="5" s="1"/>
  <c r="T232" i="5" s="1"/>
  <c r="T233" i="5" s="1"/>
  <c r="T234" i="5" s="1"/>
  <c r="T235" i="5" s="1"/>
  <c r="T236" i="5" s="1"/>
  <c r="T237" i="5" s="1"/>
  <c r="T238" i="5" s="1"/>
  <c r="T239" i="5" s="1"/>
  <c r="T240" i="5" s="1"/>
  <c r="T241" i="5" s="1"/>
  <c r="T242" i="5" s="1"/>
  <c r="T243" i="5" s="1"/>
  <c r="T244" i="5" s="1"/>
  <c r="T245" i="5" s="1"/>
  <c r="T246" i="5" s="1"/>
  <c r="T247" i="5" s="1"/>
  <c r="T248" i="5" s="1"/>
  <c r="T249" i="5" s="1"/>
  <c r="T250" i="5" s="1"/>
  <c r="T251" i="5" s="1"/>
  <c r="T252" i="5" s="1"/>
  <c r="T253" i="5" s="1"/>
  <c r="T254" i="5" s="1"/>
  <c r="T255" i="5" s="1"/>
  <c r="T4" i="5"/>
  <c r="R5" i="5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R86" i="5" s="1"/>
  <c r="R87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R99" i="5" s="1"/>
  <c r="R100" i="5" s="1"/>
  <c r="R101" i="5" s="1"/>
  <c r="R102" i="5" s="1"/>
  <c r="R103" i="5" s="1"/>
  <c r="R104" i="5" s="1"/>
  <c r="R105" i="5" s="1"/>
  <c r="R106" i="5" s="1"/>
  <c r="R107" i="5" s="1"/>
  <c r="R108" i="5" s="1"/>
  <c r="R109" i="5" s="1"/>
  <c r="R110" i="5" s="1"/>
  <c r="R111" i="5" s="1"/>
  <c r="R112" i="5" s="1"/>
  <c r="R113" i="5" s="1"/>
  <c r="R114" i="5" s="1"/>
  <c r="R115" i="5" s="1"/>
  <c r="R116" i="5" s="1"/>
  <c r="R117" i="5" s="1"/>
  <c r="R118" i="5" s="1"/>
  <c r="R119" i="5" s="1"/>
  <c r="R120" i="5" s="1"/>
  <c r="R121" i="5" s="1"/>
  <c r="R122" i="5" s="1"/>
  <c r="R123" i="5" s="1"/>
  <c r="R124" i="5" s="1"/>
  <c r="R125" i="5" s="1"/>
  <c r="R126" i="5" s="1"/>
  <c r="R127" i="5" s="1"/>
  <c r="R128" i="5" s="1"/>
  <c r="R129" i="5" s="1"/>
  <c r="R130" i="5" s="1"/>
  <c r="R131" i="5" s="1"/>
  <c r="R132" i="5" s="1"/>
  <c r="R133" i="5" s="1"/>
  <c r="R134" i="5" s="1"/>
  <c r="R135" i="5" s="1"/>
  <c r="R136" i="5" s="1"/>
  <c r="R137" i="5" s="1"/>
  <c r="R138" i="5" s="1"/>
  <c r="R139" i="5" s="1"/>
  <c r="R140" i="5" s="1"/>
  <c r="R141" i="5" s="1"/>
  <c r="R142" i="5" s="1"/>
  <c r="R143" i="5" s="1"/>
  <c r="R144" i="5" s="1"/>
  <c r="R145" i="5" s="1"/>
  <c r="R146" i="5" s="1"/>
  <c r="R147" i="5" s="1"/>
  <c r="R148" i="5" s="1"/>
  <c r="R149" i="5" s="1"/>
  <c r="R150" i="5" s="1"/>
  <c r="R151" i="5" s="1"/>
  <c r="R152" i="5" s="1"/>
  <c r="R153" i="5" s="1"/>
  <c r="R154" i="5" s="1"/>
  <c r="R155" i="5" s="1"/>
  <c r="R156" i="5" s="1"/>
  <c r="R157" i="5" s="1"/>
  <c r="R158" i="5" s="1"/>
  <c r="R159" i="5" s="1"/>
  <c r="R160" i="5" s="1"/>
  <c r="R161" i="5" s="1"/>
  <c r="R162" i="5" s="1"/>
  <c r="R163" i="5" s="1"/>
  <c r="R164" i="5" s="1"/>
  <c r="R165" i="5" s="1"/>
  <c r="R166" i="5" s="1"/>
  <c r="R167" i="5" s="1"/>
  <c r="R168" i="5" s="1"/>
  <c r="R169" i="5" s="1"/>
  <c r="R170" i="5" s="1"/>
  <c r="R171" i="5" s="1"/>
  <c r="R172" i="5" s="1"/>
  <c r="R173" i="5" s="1"/>
  <c r="R174" i="5" s="1"/>
  <c r="R175" i="5" s="1"/>
  <c r="R176" i="5" s="1"/>
  <c r="R177" i="5" s="1"/>
  <c r="R178" i="5" s="1"/>
  <c r="R179" i="5" s="1"/>
  <c r="R180" i="5" s="1"/>
  <c r="R181" i="5" s="1"/>
  <c r="R182" i="5" s="1"/>
  <c r="R183" i="5" s="1"/>
  <c r="R184" i="5" s="1"/>
  <c r="R185" i="5" s="1"/>
  <c r="R186" i="5" s="1"/>
  <c r="R187" i="5" s="1"/>
  <c r="R188" i="5" s="1"/>
  <c r="R189" i="5" s="1"/>
  <c r="R190" i="5" s="1"/>
  <c r="R191" i="5" s="1"/>
  <c r="R192" i="5" s="1"/>
  <c r="R193" i="5" s="1"/>
  <c r="R194" i="5" s="1"/>
  <c r="R195" i="5" s="1"/>
  <c r="R196" i="5" s="1"/>
  <c r="R197" i="5" s="1"/>
  <c r="R198" i="5" s="1"/>
  <c r="R199" i="5" s="1"/>
  <c r="R200" i="5" s="1"/>
  <c r="R201" i="5" s="1"/>
  <c r="R202" i="5" s="1"/>
  <c r="R203" i="5" s="1"/>
  <c r="R204" i="5" s="1"/>
  <c r="R205" i="5" s="1"/>
  <c r="R206" i="5" s="1"/>
  <c r="R207" i="5" s="1"/>
  <c r="R208" i="5" s="1"/>
  <c r="R209" i="5" s="1"/>
  <c r="R210" i="5" s="1"/>
  <c r="R211" i="5" s="1"/>
  <c r="R212" i="5" s="1"/>
  <c r="R213" i="5" s="1"/>
  <c r="R214" i="5" s="1"/>
  <c r="R215" i="5" s="1"/>
  <c r="R216" i="5" s="1"/>
  <c r="R217" i="5" s="1"/>
  <c r="R218" i="5" s="1"/>
  <c r="R219" i="5" s="1"/>
  <c r="R220" i="5" s="1"/>
  <c r="R221" i="5" s="1"/>
  <c r="R222" i="5" s="1"/>
  <c r="R223" i="5" s="1"/>
  <c r="R224" i="5" s="1"/>
  <c r="R225" i="5" s="1"/>
  <c r="R226" i="5" s="1"/>
  <c r="R227" i="5" s="1"/>
  <c r="R228" i="5" s="1"/>
  <c r="R229" i="5" s="1"/>
  <c r="R230" i="5" s="1"/>
  <c r="R231" i="5" s="1"/>
  <c r="R232" i="5" s="1"/>
  <c r="R233" i="5" s="1"/>
  <c r="R234" i="5" s="1"/>
  <c r="R235" i="5" s="1"/>
  <c r="R236" i="5" s="1"/>
  <c r="R237" i="5" s="1"/>
  <c r="R238" i="5" s="1"/>
  <c r="R239" i="5" s="1"/>
  <c r="R240" i="5" s="1"/>
  <c r="R241" i="5" s="1"/>
  <c r="R242" i="5" s="1"/>
  <c r="R243" i="5" s="1"/>
  <c r="R244" i="5" s="1"/>
  <c r="R245" i="5" s="1"/>
  <c r="R246" i="5" s="1"/>
  <c r="R247" i="5" s="1"/>
  <c r="R248" i="5" s="1"/>
  <c r="R249" i="5" s="1"/>
  <c r="R250" i="5" s="1"/>
  <c r="R251" i="5" s="1"/>
  <c r="R252" i="5" s="1"/>
  <c r="R253" i="5" s="1"/>
  <c r="R254" i="5" s="1"/>
  <c r="R255" i="5" s="1"/>
  <c r="R4" i="5"/>
  <c r="S5" i="5"/>
  <c r="S6" i="5"/>
  <c r="S7" i="5"/>
  <c r="S8" i="5"/>
  <c r="S9" i="5"/>
  <c r="S10" i="5"/>
  <c r="S11" i="5" s="1"/>
  <c r="S12" i="5" s="1"/>
  <c r="S13" i="5" s="1"/>
  <c r="S14" i="5" s="1"/>
  <c r="S15" i="5" s="1"/>
  <c r="S16" i="5" s="1"/>
  <c r="S17" i="5" s="1"/>
  <c r="S18" i="5" s="1"/>
  <c r="S19" i="5" s="1"/>
  <c r="S20" i="5" s="1"/>
  <c r="S21" i="5" s="1"/>
  <c r="S22" i="5" s="1"/>
  <c r="S23" i="5" s="1"/>
  <c r="S24" i="5" s="1"/>
  <c r="S25" i="5" s="1"/>
  <c r="S26" i="5" s="1"/>
  <c r="S27" i="5" s="1"/>
  <c r="S28" i="5" s="1"/>
  <c r="S29" i="5" s="1"/>
  <c r="S30" i="5" s="1"/>
  <c r="S31" i="5" s="1"/>
  <c r="S32" i="5" s="1"/>
  <c r="S33" i="5" s="1"/>
  <c r="S34" i="5" s="1"/>
  <c r="S35" i="5" s="1"/>
  <c r="S36" i="5" s="1"/>
  <c r="S37" i="5" s="1"/>
  <c r="S38" i="5" s="1"/>
  <c r="S39" i="5" s="1"/>
  <c r="S40" i="5" s="1"/>
  <c r="S41" i="5" s="1"/>
  <c r="S42" i="5" s="1"/>
  <c r="S43" i="5" s="1"/>
  <c r="S44" i="5" s="1"/>
  <c r="S45" i="5" s="1"/>
  <c r="S46" i="5" s="1"/>
  <c r="S47" i="5" s="1"/>
  <c r="S48" i="5" s="1"/>
  <c r="S49" i="5" s="1"/>
  <c r="S50" i="5" s="1"/>
  <c r="S51" i="5" s="1"/>
  <c r="S52" i="5" s="1"/>
  <c r="S53" i="5" s="1"/>
  <c r="S54" i="5" s="1"/>
  <c r="S55" i="5" s="1"/>
  <c r="S56" i="5" s="1"/>
  <c r="S57" i="5" s="1"/>
  <c r="S58" i="5" s="1"/>
  <c r="S59" i="5" s="1"/>
  <c r="S60" i="5" s="1"/>
  <c r="S61" i="5" s="1"/>
  <c r="S62" i="5" s="1"/>
  <c r="S63" i="5" s="1"/>
  <c r="S64" i="5" s="1"/>
  <c r="S65" i="5" s="1"/>
  <c r="S66" i="5" s="1"/>
  <c r="S67" i="5" s="1"/>
  <c r="S68" i="5" s="1"/>
  <c r="S69" i="5" s="1"/>
  <c r="S70" i="5" s="1"/>
  <c r="S71" i="5" s="1"/>
  <c r="S72" i="5" s="1"/>
  <c r="S73" i="5" s="1"/>
  <c r="S74" i="5" s="1"/>
  <c r="S75" i="5" s="1"/>
  <c r="S76" i="5" s="1"/>
  <c r="S77" i="5" s="1"/>
  <c r="S78" i="5" s="1"/>
  <c r="S79" i="5" s="1"/>
  <c r="S80" i="5" s="1"/>
  <c r="S81" i="5" s="1"/>
  <c r="S82" i="5" s="1"/>
  <c r="S83" i="5" s="1"/>
  <c r="S84" i="5" s="1"/>
  <c r="S85" i="5" s="1"/>
  <c r="S86" i="5" s="1"/>
  <c r="S87" i="5" s="1"/>
  <c r="S88" i="5" s="1"/>
  <c r="S89" i="5" s="1"/>
  <c r="S90" i="5" s="1"/>
  <c r="S91" i="5" s="1"/>
  <c r="S92" i="5" s="1"/>
  <c r="S93" i="5" s="1"/>
  <c r="S94" i="5" s="1"/>
  <c r="S95" i="5" s="1"/>
  <c r="S96" i="5" s="1"/>
  <c r="S97" i="5" s="1"/>
  <c r="S98" i="5" s="1"/>
  <c r="S99" i="5" s="1"/>
  <c r="S100" i="5" s="1"/>
  <c r="S101" i="5" s="1"/>
  <c r="S102" i="5" s="1"/>
  <c r="S103" i="5" s="1"/>
  <c r="S104" i="5" s="1"/>
  <c r="S105" i="5" s="1"/>
  <c r="S106" i="5" s="1"/>
  <c r="S107" i="5" s="1"/>
  <c r="S108" i="5" s="1"/>
  <c r="S109" i="5" s="1"/>
  <c r="S110" i="5" s="1"/>
  <c r="S111" i="5" s="1"/>
  <c r="S112" i="5" s="1"/>
  <c r="S113" i="5" s="1"/>
  <c r="S114" i="5" s="1"/>
  <c r="S115" i="5" s="1"/>
  <c r="S116" i="5" s="1"/>
  <c r="S117" i="5" s="1"/>
  <c r="S118" i="5" s="1"/>
  <c r="S119" i="5" s="1"/>
  <c r="S120" i="5" s="1"/>
  <c r="S121" i="5" s="1"/>
  <c r="S122" i="5" s="1"/>
  <c r="S123" i="5" s="1"/>
  <c r="S124" i="5" s="1"/>
  <c r="S125" i="5" s="1"/>
  <c r="S126" i="5" s="1"/>
  <c r="S127" i="5" s="1"/>
  <c r="S128" i="5" s="1"/>
  <c r="S129" i="5" s="1"/>
  <c r="S130" i="5" s="1"/>
  <c r="S131" i="5" s="1"/>
  <c r="S132" i="5" s="1"/>
  <c r="S133" i="5" s="1"/>
  <c r="S134" i="5" s="1"/>
  <c r="S135" i="5" s="1"/>
  <c r="S136" i="5" s="1"/>
  <c r="S137" i="5" s="1"/>
  <c r="S138" i="5" s="1"/>
  <c r="S139" i="5" s="1"/>
  <c r="S140" i="5" s="1"/>
  <c r="S141" i="5" s="1"/>
  <c r="S142" i="5" s="1"/>
  <c r="S143" i="5" s="1"/>
  <c r="S144" i="5" s="1"/>
  <c r="S145" i="5" s="1"/>
  <c r="S146" i="5" s="1"/>
  <c r="S147" i="5" s="1"/>
  <c r="S148" i="5" s="1"/>
  <c r="S149" i="5" s="1"/>
  <c r="S150" i="5" s="1"/>
  <c r="S151" i="5" s="1"/>
  <c r="S152" i="5" s="1"/>
  <c r="S153" i="5" s="1"/>
  <c r="S154" i="5" s="1"/>
  <c r="S155" i="5" s="1"/>
  <c r="S156" i="5" s="1"/>
  <c r="S157" i="5" s="1"/>
  <c r="S158" i="5" s="1"/>
  <c r="S159" i="5" s="1"/>
  <c r="S160" i="5" s="1"/>
  <c r="S161" i="5" s="1"/>
  <c r="S162" i="5" s="1"/>
  <c r="S163" i="5" s="1"/>
  <c r="S164" i="5" s="1"/>
  <c r="S165" i="5" s="1"/>
  <c r="S166" i="5" s="1"/>
  <c r="S167" i="5" s="1"/>
  <c r="S168" i="5" s="1"/>
  <c r="S169" i="5" s="1"/>
  <c r="S170" i="5" s="1"/>
  <c r="S171" i="5" s="1"/>
  <c r="S172" i="5" s="1"/>
  <c r="S173" i="5" s="1"/>
  <c r="S174" i="5" s="1"/>
  <c r="S175" i="5" s="1"/>
  <c r="S176" i="5" s="1"/>
  <c r="S177" i="5" s="1"/>
  <c r="S178" i="5" s="1"/>
  <c r="S179" i="5" s="1"/>
  <c r="S180" i="5" s="1"/>
  <c r="S181" i="5" s="1"/>
  <c r="S182" i="5" s="1"/>
  <c r="S183" i="5" s="1"/>
  <c r="S184" i="5" s="1"/>
  <c r="S185" i="5" s="1"/>
  <c r="S186" i="5" s="1"/>
  <c r="S187" i="5" s="1"/>
  <c r="S188" i="5" s="1"/>
  <c r="S189" i="5" s="1"/>
  <c r="S190" i="5" s="1"/>
  <c r="S191" i="5" s="1"/>
  <c r="S192" i="5" s="1"/>
  <c r="S193" i="5" s="1"/>
  <c r="S194" i="5" s="1"/>
  <c r="S195" i="5" s="1"/>
  <c r="S196" i="5" s="1"/>
  <c r="S197" i="5" s="1"/>
  <c r="S198" i="5" s="1"/>
  <c r="S199" i="5" s="1"/>
  <c r="S200" i="5" s="1"/>
  <c r="S201" i="5" s="1"/>
  <c r="S202" i="5" s="1"/>
  <c r="S203" i="5" s="1"/>
  <c r="S204" i="5" s="1"/>
  <c r="S205" i="5" s="1"/>
  <c r="S206" i="5" s="1"/>
  <c r="S207" i="5" s="1"/>
  <c r="S208" i="5" s="1"/>
  <c r="S209" i="5" s="1"/>
  <c r="S210" i="5" s="1"/>
  <c r="S211" i="5" s="1"/>
  <c r="S212" i="5" s="1"/>
  <c r="S213" i="5" s="1"/>
  <c r="S214" i="5" s="1"/>
  <c r="S215" i="5" s="1"/>
  <c r="S216" i="5" s="1"/>
  <c r="S217" i="5" s="1"/>
  <c r="S218" i="5" s="1"/>
  <c r="S219" i="5" s="1"/>
  <c r="S220" i="5" s="1"/>
  <c r="S221" i="5" s="1"/>
  <c r="S222" i="5" s="1"/>
  <c r="S223" i="5" s="1"/>
  <c r="S224" i="5" s="1"/>
  <c r="S225" i="5" s="1"/>
  <c r="S226" i="5" s="1"/>
  <c r="S227" i="5" s="1"/>
  <c r="S228" i="5" s="1"/>
  <c r="S229" i="5" s="1"/>
  <c r="S230" i="5" s="1"/>
  <c r="S231" i="5" s="1"/>
  <c r="S232" i="5" s="1"/>
  <c r="S233" i="5" s="1"/>
  <c r="S234" i="5" s="1"/>
  <c r="S235" i="5" s="1"/>
  <c r="S236" i="5" s="1"/>
  <c r="S237" i="5" s="1"/>
  <c r="S238" i="5" s="1"/>
  <c r="S239" i="5" s="1"/>
  <c r="S240" i="5" s="1"/>
  <c r="S241" i="5" s="1"/>
  <c r="S242" i="5" s="1"/>
  <c r="S243" i="5" s="1"/>
  <c r="S244" i="5" s="1"/>
  <c r="S245" i="5" s="1"/>
  <c r="S246" i="5" s="1"/>
  <c r="S247" i="5" s="1"/>
  <c r="S248" i="5" s="1"/>
  <c r="S249" i="5" s="1"/>
  <c r="S250" i="5" s="1"/>
  <c r="S251" i="5" s="1"/>
  <c r="S252" i="5" s="1"/>
  <c r="S253" i="5" s="1"/>
  <c r="S254" i="5" s="1"/>
  <c r="S255" i="5" s="1"/>
  <c r="S4" i="5"/>
  <c r="W5" i="5" l="1"/>
  <c r="AW257" i="5"/>
  <c r="F3" i="8"/>
  <c r="AU3" i="8" s="1"/>
  <c r="T24" i="8"/>
  <c r="CW24" i="8" s="1"/>
  <c r="T232" i="8"/>
  <c r="T195" i="8"/>
  <c r="T154" i="8"/>
  <c r="T123" i="8"/>
  <c r="T77" i="8"/>
  <c r="T38" i="8"/>
  <c r="T4" i="8"/>
  <c r="T231" i="8"/>
  <c r="T190" i="8"/>
  <c r="T151" i="8"/>
  <c r="T122" i="8"/>
  <c r="T76" i="8"/>
  <c r="T37" i="8"/>
  <c r="T2" i="8"/>
  <c r="T230" i="8"/>
  <c r="T187" i="8"/>
  <c r="T150" i="8"/>
  <c r="T109" i="8"/>
  <c r="T75" i="8"/>
  <c r="T29" i="8"/>
  <c r="T254" i="8"/>
  <c r="T217" i="8"/>
  <c r="T185" i="8"/>
  <c r="T148" i="8"/>
  <c r="T106" i="8"/>
  <c r="T61" i="8"/>
  <c r="T27" i="8"/>
  <c r="T258" i="8"/>
  <c r="T218" i="8"/>
  <c r="T186" i="8"/>
  <c r="T149" i="8"/>
  <c r="T108" i="8"/>
  <c r="T74" i="8"/>
  <c r="T28" i="8"/>
  <c r="T253" i="8"/>
  <c r="T216" i="8"/>
  <c r="T173" i="8"/>
  <c r="T147" i="8"/>
  <c r="T103" i="8"/>
  <c r="T60" i="8"/>
  <c r="T26" i="8"/>
  <c r="T252" i="8"/>
  <c r="T214" i="8"/>
  <c r="T172" i="8"/>
  <c r="T142" i="8"/>
  <c r="T102" i="8"/>
  <c r="T58" i="8"/>
  <c r="T13" i="8"/>
  <c r="T250" i="8"/>
  <c r="T211" i="8"/>
  <c r="T171" i="8"/>
  <c r="T134" i="8"/>
  <c r="T101" i="8"/>
  <c r="T55" i="8"/>
  <c r="T12" i="8"/>
  <c r="T238" i="8"/>
  <c r="T210" i="8"/>
  <c r="T170" i="8"/>
  <c r="T133" i="8"/>
  <c r="T100" i="8"/>
  <c r="T54" i="8"/>
  <c r="T10" i="8"/>
  <c r="T235" i="8"/>
  <c r="T206" i="8"/>
  <c r="T169" i="8"/>
  <c r="T132" i="8"/>
  <c r="T87" i="8"/>
  <c r="T53" i="8"/>
  <c r="T7" i="8"/>
  <c r="DN9" i="8"/>
  <c r="DO8" i="8"/>
  <c r="DP8" i="8" s="1"/>
  <c r="T234" i="8"/>
  <c r="T197" i="8"/>
  <c r="T168" i="8"/>
  <c r="T125" i="8"/>
  <c r="T86" i="8"/>
  <c r="T52" i="8"/>
  <c r="T6" i="8"/>
  <c r="BL8" i="8"/>
  <c r="BM8" i="8" s="1"/>
  <c r="BK9" i="8"/>
  <c r="T233" i="8"/>
  <c r="T196" i="8"/>
  <c r="T166" i="8"/>
  <c r="T124" i="8"/>
  <c r="T85" i="8"/>
  <c r="T39" i="8"/>
  <c r="T5" i="8"/>
  <c r="T247" i="8"/>
  <c r="T229" i="8"/>
  <c r="T205" i="8"/>
  <c r="T184" i="8"/>
  <c r="T163" i="8"/>
  <c r="T139" i="8"/>
  <c r="T121" i="8"/>
  <c r="T94" i="8"/>
  <c r="T73" i="8"/>
  <c r="T46" i="8"/>
  <c r="T25" i="8"/>
  <c r="T246" i="8"/>
  <c r="T228" i="8"/>
  <c r="T204" i="8"/>
  <c r="T183" i="8"/>
  <c r="T162" i="8"/>
  <c r="T138" i="8"/>
  <c r="T120" i="8"/>
  <c r="T91" i="8"/>
  <c r="T72" i="8"/>
  <c r="T43" i="8"/>
  <c r="T8" i="8"/>
  <c r="T20" i="8"/>
  <c r="T32" i="8"/>
  <c r="T44" i="8"/>
  <c r="T56" i="8"/>
  <c r="T68" i="8"/>
  <c r="T80" i="8"/>
  <c r="T92" i="8"/>
  <c r="T104" i="8"/>
  <c r="T116" i="8"/>
  <c r="T128" i="8"/>
  <c r="T140" i="8"/>
  <c r="T152" i="8"/>
  <c r="T164" i="8"/>
  <c r="T176" i="8"/>
  <c r="T188" i="8"/>
  <c r="T200" i="8"/>
  <c r="T212" i="8"/>
  <c r="T224" i="8"/>
  <c r="T236" i="8"/>
  <c r="T248" i="8"/>
  <c r="T9" i="8"/>
  <c r="T21" i="8"/>
  <c r="T33" i="8"/>
  <c r="T45" i="8"/>
  <c r="T57" i="8"/>
  <c r="T69" i="8"/>
  <c r="T81" i="8"/>
  <c r="T93" i="8"/>
  <c r="T105" i="8"/>
  <c r="T117" i="8"/>
  <c r="T129" i="8"/>
  <c r="T141" i="8"/>
  <c r="T153" i="8"/>
  <c r="T165" i="8"/>
  <c r="T177" i="8"/>
  <c r="T189" i="8"/>
  <c r="T201" i="8"/>
  <c r="T213" i="8"/>
  <c r="T225" i="8"/>
  <c r="T237" i="8"/>
  <c r="T249" i="8"/>
  <c r="T11" i="8"/>
  <c r="T23" i="8"/>
  <c r="T35" i="8"/>
  <c r="T47" i="8"/>
  <c r="T59" i="8"/>
  <c r="T71" i="8"/>
  <c r="T83" i="8"/>
  <c r="T95" i="8"/>
  <c r="T107" i="8"/>
  <c r="T119" i="8"/>
  <c r="T131" i="8"/>
  <c r="T143" i="8"/>
  <c r="T155" i="8"/>
  <c r="T167" i="8"/>
  <c r="T179" i="8"/>
  <c r="T191" i="8"/>
  <c r="T203" i="8"/>
  <c r="T215" i="8"/>
  <c r="T227" i="8"/>
  <c r="T239" i="8"/>
  <c r="T251" i="8"/>
  <c r="T15" i="8"/>
  <c r="T30" i="8"/>
  <c r="T48" i="8"/>
  <c r="T63" i="8"/>
  <c r="T78" i="8"/>
  <c r="T96" i="8"/>
  <c r="T111" i="8"/>
  <c r="T126" i="8"/>
  <c r="T144" i="8"/>
  <c r="T159" i="8"/>
  <c r="T174" i="8"/>
  <c r="T192" i="8"/>
  <c r="T207" i="8"/>
  <c r="T222" i="8"/>
  <c r="T240" i="8"/>
  <c r="T255" i="8"/>
  <c r="T34" i="8"/>
  <c r="T65" i="8"/>
  <c r="T98" i="8"/>
  <c r="T130" i="8"/>
  <c r="T161" i="8"/>
  <c r="T194" i="8"/>
  <c r="T226" i="8"/>
  <c r="T257" i="8"/>
  <c r="T18" i="8"/>
  <c r="T51" i="8"/>
  <c r="T84" i="8"/>
  <c r="T114" i="8"/>
  <c r="T16" i="8"/>
  <c r="T31" i="8"/>
  <c r="T49" i="8"/>
  <c r="T64" i="8"/>
  <c r="T79" i="8"/>
  <c r="T97" i="8"/>
  <c r="T112" i="8"/>
  <c r="T127" i="8"/>
  <c r="T145" i="8"/>
  <c r="T160" i="8"/>
  <c r="T175" i="8"/>
  <c r="T193" i="8"/>
  <c r="T208" i="8"/>
  <c r="T223" i="8"/>
  <c r="T241" i="8"/>
  <c r="T256" i="8"/>
  <c r="T17" i="8"/>
  <c r="T50" i="8"/>
  <c r="T82" i="8"/>
  <c r="T113" i="8"/>
  <c r="T146" i="8"/>
  <c r="T178" i="8"/>
  <c r="T209" i="8"/>
  <c r="T242" i="8"/>
  <c r="T3" i="8"/>
  <c r="T36" i="8"/>
  <c r="T66" i="8"/>
  <c r="T99" i="8"/>
  <c r="T245" i="8"/>
  <c r="T221" i="8"/>
  <c r="T202" i="8"/>
  <c r="T182" i="8"/>
  <c r="T158" i="8"/>
  <c r="T137" i="8"/>
  <c r="T118" i="8"/>
  <c r="T90" i="8"/>
  <c r="T70" i="8"/>
  <c r="T42" i="8"/>
  <c r="T22" i="8"/>
  <c r="T244" i="8"/>
  <c r="T220" i="8"/>
  <c r="T199" i="8"/>
  <c r="T181" i="8"/>
  <c r="T157" i="8"/>
  <c r="T136" i="8"/>
  <c r="T115" i="8"/>
  <c r="T89" i="8"/>
  <c r="T67" i="8"/>
  <c r="T41" i="8"/>
  <c r="T19" i="8"/>
  <c r="T243" i="8"/>
  <c r="T219" i="8"/>
  <c r="T198" i="8"/>
  <c r="T180" i="8"/>
  <c r="T156" i="8"/>
  <c r="T135" i="8"/>
  <c r="T110" i="8"/>
  <c r="T88" i="8"/>
  <c r="T62" i="8"/>
  <c r="T40" i="8"/>
  <c r="T14" i="8"/>
  <c r="AI5" i="5"/>
  <c r="AH4" i="5"/>
  <c r="X5" i="5"/>
  <c r="AJ4" i="5"/>
  <c r="Z5" i="5"/>
  <c r="Y7" i="5"/>
  <c r="AZ4" i="5"/>
  <c r="AZ5" i="5" s="1"/>
  <c r="AY4" i="5"/>
  <c r="AY5" i="5" s="1"/>
  <c r="AY6" i="5" s="1"/>
  <c r="BC6" i="5" s="1"/>
  <c r="AI4" i="5"/>
  <c r="BB4" i="5"/>
  <c r="BF4" i="5" s="1"/>
  <c r="BJ4" i="5" s="1"/>
  <c r="BA4" i="5"/>
  <c r="BE4" i="5" s="1"/>
  <c r="BI4" i="5" s="1"/>
  <c r="AV257" i="5"/>
  <c r="AU257" i="5"/>
  <c r="AT257" i="5"/>
  <c r="F116" i="8"/>
  <c r="F152" i="8"/>
  <c r="F140" i="8"/>
  <c r="F248" i="8"/>
  <c r="F104" i="8"/>
  <c r="F236" i="8"/>
  <c r="F92" i="8"/>
  <c r="F224" i="8"/>
  <c r="F80" i="8"/>
  <c r="F128" i="8"/>
  <c r="F212" i="8"/>
  <c r="F68" i="8"/>
  <c r="F200" i="8"/>
  <c r="F56" i="8"/>
  <c r="F188" i="8"/>
  <c r="F44" i="8"/>
  <c r="F176" i="8"/>
  <c r="F32" i="8"/>
  <c r="F164" i="8"/>
  <c r="F20" i="8"/>
  <c r="F254" i="8"/>
  <c r="F242" i="8"/>
  <c r="F230" i="8"/>
  <c r="F218" i="8"/>
  <c r="F206" i="8"/>
  <c r="F194" i="8"/>
  <c r="F182" i="8"/>
  <c r="F170" i="8"/>
  <c r="F158" i="8"/>
  <c r="F146" i="8"/>
  <c r="F134" i="8"/>
  <c r="F122" i="8"/>
  <c r="F110" i="8"/>
  <c r="F98" i="8"/>
  <c r="F86" i="8"/>
  <c r="F74" i="8"/>
  <c r="F62" i="8"/>
  <c r="F50" i="8"/>
  <c r="F38" i="8"/>
  <c r="F26" i="8"/>
  <c r="F14" i="8"/>
  <c r="F253" i="8"/>
  <c r="F241" i="8"/>
  <c r="F229" i="8"/>
  <c r="F217" i="8"/>
  <c r="F205" i="8"/>
  <c r="F193" i="8"/>
  <c r="F181" i="8"/>
  <c r="F169" i="8"/>
  <c r="F157" i="8"/>
  <c r="F145" i="8"/>
  <c r="F133" i="8"/>
  <c r="F121" i="8"/>
  <c r="F109" i="8"/>
  <c r="F97" i="8"/>
  <c r="F85" i="8"/>
  <c r="F73" i="8"/>
  <c r="F61" i="8"/>
  <c r="F49" i="8"/>
  <c r="F37" i="8"/>
  <c r="F25" i="8"/>
  <c r="F13" i="8"/>
  <c r="F252" i="8"/>
  <c r="F240" i="8"/>
  <c r="F228" i="8"/>
  <c r="F216" i="8"/>
  <c r="F204" i="8"/>
  <c r="F192" i="8"/>
  <c r="F180" i="8"/>
  <c r="F168" i="8"/>
  <c r="F156" i="8"/>
  <c r="F144" i="8"/>
  <c r="F132" i="8"/>
  <c r="F120" i="8"/>
  <c r="F108" i="8"/>
  <c r="F96" i="8"/>
  <c r="F84" i="8"/>
  <c r="F72" i="8"/>
  <c r="F60" i="8"/>
  <c r="F48" i="8"/>
  <c r="F36" i="8"/>
  <c r="F24" i="8"/>
  <c r="F12" i="8"/>
  <c r="F251" i="8"/>
  <c r="F239" i="8"/>
  <c r="F227" i="8"/>
  <c r="F215" i="8"/>
  <c r="F203" i="8"/>
  <c r="F191" i="8"/>
  <c r="F179" i="8"/>
  <c r="F167" i="8"/>
  <c r="F155" i="8"/>
  <c r="F143" i="8"/>
  <c r="F131" i="8"/>
  <c r="F119" i="8"/>
  <c r="F107" i="8"/>
  <c r="F95" i="8"/>
  <c r="F83" i="8"/>
  <c r="F71" i="8"/>
  <c r="F59" i="8"/>
  <c r="F47" i="8"/>
  <c r="F35" i="8"/>
  <c r="F23" i="8"/>
  <c r="F11" i="8"/>
  <c r="F250" i="8"/>
  <c r="F238" i="8"/>
  <c r="F226" i="8"/>
  <c r="F214" i="8"/>
  <c r="F202" i="8"/>
  <c r="F190" i="8"/>
  <c r="F178" i="8"/>
  <c r="F166" i="8"/>
  <c r="F154" i="8"/>
  <c r="F142" i="8"/>
  <c r="F130" i="8"/>
  <c r="F118" i="8"/>
  <c r="F106" i="8"/>
  <c r="F94" i="8"/>
  <c r="F82" i="8"/>
  <c r="F70" i="8"/>
  <c r="F58" i="8"/>
  <c r="F46" i="8"/>
  <c r="F34" i="8"/>
  <c r="F22" i="8"/>
  <c r="F10" i="8"/>
  <c r="F249" i="8"/>
  <c r="F237" i="8"/>
  <c r="F225" i="8"/>
  <c r="F213" i="8"/>
  <c r="F201" i="8"/>
  <c r="F189" i="8"/>
  <c r="F177" i="8"/>
  <c r="F165" i="8"/>
  <c r="F153" i="8"/>
  <c r="F141" i="8"/>
  <c r="F129" i="8"/>
  <c r="F117" i="8"/>
  <c r="F105" i="8"/>
  <c r="F93" i="8"/>
  <c r="F81" i="8"/>
  <c r="F69" i="8"/>
  <c r="F57" i="8"/>
  <c r="F45" i="8"/>
  <c r="F33" i="8"/>
  <c r="F21" i="8"/>
  <c r="F9" i="8"/>
  <c r="F8" i="8"/>
  <c r="F2" i="8"/>
  <c r="F247" i="8"/>
  <c r="F235" i="8"/>
  <c r="F223" i="8"/>
  <c r="F211" i="8"/>
  <c r="F199" i="8"/>
  <c r="F187" i="8"/>
  <c r="F175" i="8"/>
  <c r="F163" i="8"/>
  <c r="F151" i="8"/>
  <c r="F139" i="8"/>
  <c r="F127" i="8"/>
  <c r="F115" i="8"/>
  <c r="F103" i="8"/>
  <c r="F91" i="8"/>
  <c r="F79" i="8"/>
  <c r="F67" i="8"/>
  <c r="F55" i="8"/>
  <c r="F43" i="8"/>
  <c r="F31" i="8"/>
  <c r="F19" i="8"/>
  <c r="F7" i="8"/>
  <c r="F258" i="8"/>
  <c r="F246" i="8"/>
  <c r="F234" i="8"/>
  <c r="F222" i="8"/>
  <c r="F210" i="8"/>
  <c r="F198" i="8"/>
  <c r="F186" i="8"/>
  <c r="F174" i="8"/>
  <c r="F162" i="8"/>
  <c r="F150" i="8"/>
  <c r="F138" i="8"/>
  <c r="F126" i="8"/>
  <c r="F114" i="8"/>
  <c r="F102" i="8"/>
  <c r="F90" i="8"/>
  <c r="F78" i="8"/>
  <c r="F66" i="8"/>
  <c r="F54" i="8"/>
  <c r="F42" i="8"/>
  <c r="F30" i="8"/>
  <c r="F18" i="8"/>
  <c r="F6" i="8"/>
  <c r="F257" i="8"/>
  <c r="F245" i="8"/>
  <c r="F233" i="8"/>
  <c r="F221" i="8"/>
  <c r="F209" i="8"/>
  <c r="F197" i="8"/>
  <c r="F185" i="8"/>
  <c r="F173" i="8"/>
  <c r="F161" i="8"/>
  <c r="F149" i="8"/>
  <c r="F137" i="8"/>
  <c r="F125" i="8"/>
  <c r="F113" i="8"/>
  <c r="F101" i="8"/>
  <c r="F89" i="8"/>
  <c r="F77" i="8"/>
  <c r="F65" i="8"/>
  <c r="F53" i="8"/>
  <c r="F41" i="8"/>
  <c r="F29" i="8"/>
  <c r="F17" i="8"/>
  <c r="F5" i="8"/>
  <c r="F256" i="8"/>
  <c r="F244" i="8"/>
  <c r="F232" i="8"/>
  <c r="F220" i="8"/>
  <c r="F208" i="8"/>
  <c r="F196" i="8"/>
  <c r="F184" i="8"/>
  <c r="F172" i="8"/>
  <c r="F160" i="8"/>
  <c r="F148" i="8"/>
  <c r="F136" i="8"/>
  <c r="F124" i="8"/>
  <c r="F112" i="8"/>
  <c r="F100" i="8"/>
  <c r="F88" i="8"/>
  <c r="F76" i="8"/>
  <c r="F64" i="8"/>
  <c r="F52" i="8"/>
  <c r="F40" i="8"/>
  <c r="F28" i="8"/>
  <c r="F16" i="8"/>
  <c r="F4" i="8"/>
  <c r="F255" i="8"/>
  <c r="F243" i="8"/>
  <c r="F231" i="8"/>
  <c r="F219" i="8"/>
  <c r="F207" i="8"/>
  <c r="F195" i="8"/>
  <c r="F183" i="8"/>
  <c r="F171" i="8"/>
  <c r="F159" i="8"/>
  <c r="F147" i="8"/>
  <c r="F135" i="8"/>
  <c r="F123" i="8"/>
  <c r="F111" i="8"/>
  <c r="F99" i="8"/>
  <c r="F87" i="8"/>
  <c r="F75" i="8"/>
  <c r="F63" i="8"/>
  <c r="F51" i="8"/>
  <c r="F39" i="8"/>
  <c r="F27" i="8"/>
  <c r="F15" i="8"/>
  <c r="AL5" i="5"/>
  <c r="BA5" i="5" l="1"/>
  <c r="BA6" i="5" s="1"/>
  <c r="BB5" i="5"/>
  <c r="BB6" i="5" s="1"/>
  <c r="BC4" i="5"/>
  <c r="BG4" i="5" s="1"/>
  <c r="BC5" i="5"/>
  <c r="AG5" i="5"/>
  <c r="W6" i="5"/>
  <c r="AD3" i="8"/>
  <c r="CH24" i="8"/>
  <c r="CW19" i="8"/>
  <c r="CH19" i="8"/>
  <c r="CW133" i="8"/>
  <c r="CH133" i="8"/>
  <c r="CW216" i="8"/>
  <c r="CH216" i="8"/>
  <c r="CW148" i="8"/>
  <c r="CH148" i="8"/>
  <c r="CW76" i="8"/>
  <c r="CH76" i="8"/>
  <c r="CW14" i="8"/>
  <c r="CH14" i="8"/>
  <c r="CW41" i="8"/>
  <c r="CH41" i="8"/>
  <c r="CW70" i="8"/>
  <c r="CH70" i="8"/>
  <c r="CW3" i="8"/>
  <c r="CH3" i="8"/>
  <c r="CW208" i="8"/>
  <c r="CH208" i="8"/>
  <c r="CW16" i="8"/>
  <c r="CH16" i="8"/>
  <c r="CW34" i="8"/>
  <c r="CH34" i="8"/>
  <c r="CW78" i="8"/>
  <c r="CH78" i="8"/>
  <c r="CW167" i="8"/>
  <c r="CH167" i="8"/>
  <c r="CW23" i="8"/>
  <c r="CH23" i="8"/>
  <c r="CW129" i="8"/>
  <c r="CH129" i="8"/>
  <c r="CW236" i="8"/>
  <c r="CH236" i="8"/>
  <c r="CW92" i="8"/>
  <c r="CH92" i="8"/>
  <c r="CW138" i="8"/>
  <c r="CH138" i="8"/>
  <c r="CW163" i="8"/>
  <c r="CH163" i="8"/>
  <c r="BL9" i="8"/>
  <c r="BM9" i="8" s="1"/>
  <c r="BK10" i="8"/>
  <c r="DN10" i="8"/>
  <c r="DO9" i="8"/>
  <c r="DP9" i="8" s="1"/>
  <c r="CW170" i="8"/>
  <c r="CH170" i="8"/>
  <c r="CW102" i="8"/>
  <c r="CH102" i="8"/>
  <c r="CW253" i="8"/>
  <c r="CH253" i="8"/>
  <c r="CW185" i="8"/>
  <c r="CH185" i="8"/>
  <c r="CW122" i="8"/>
  <c r="CH122" i="8"/>
  <c r="CW42" i="8"/>
  <c r="CH42" i="8"/>
  <c r="CW36" i="8"/>
  <c r="CH36" i="8"/>
  <c r="CW223" i="8"/>
  <c r="CH223" i="8"/>
  <c r="CW31" i="8"/>
  <c r="CH31" i="8"/>
  <c r="CH65" i="8"/>
  <c r="CW65" i="8"/>
  <c r="CW96" i="8"/>
  <c r="CH96" i="8"/>
  <c r="CW179" i="8"/>
  <c r="CH179" i="8"/>
  <c r="CW35" i="8"/>
  <c r="CH35" i="8"/>
  <c r="CW141" i="8"/>
  <c r="CH141" i="8"/>
  <c r="CW248" i="8"/>
  <c r="CH248" i="8"/>
  <c r="CW104" i="8"/>
  <c r="CH104" i="8"/>
  <c r="CW120" i="8"/>
  <c r="CH120" i="8"/>
  <c r="CW139" i="8"/>
  <c r="CH139" i="8"/>
  <c r="CH233" i="8"/>
  <c r="CW233" i="8"/>
  <c r="CW58" i="8"/>
  <c r="CH58" i="8"/>
  <c r="CW40" i="8"/>
  <c r="CH40" i="8"/>
  <c r="CW67" i="8"/>
  <c r="CH67" i="8"/>
  <c r="CW90" i="8"/>
  <c r="CH90" i="8"/>
  <c r="CW242" i="8"/>
  <c r="CH242" i="8"/>
  <c r="CH193" i="8"/>
  <c r="CW193" i="8"/>
  <c r="CW114" i="8"/>
  <c r="CH114" i="8"/>
  <c r="CW63" i="8"/>
  <c r="CH63" i="8"/>
  <c r="CW155" i="8"/>
  <c r="CH155" i="8"/>
  <c r="CW11" i="8"/>
  <c r="CH11" i="8"/>
  <c r="CW117" i="8"/>
  <c r="CH117" i="8"/>
  <c r="CW224" i="8"/>
  <c r="CH224" i="8"/>
  <c r="CW80" i="8"/>
  <c r="CH80" i="8"/>
  <c r="CW162" i="8"/>
  <c r="CH162" i="8"/>
  <c r="CW184" i="8"/>
  <c r="CH184" i="8"/>
  <c r="CW7" i="8"/>
  <c r="CH7" i="8"/>
  <c r="CW210" i="8"/>
  <c r="CH210" i="8"/>
  <c r="CW142" i="8"/>
  <c r="CH142" i="8"/>
  <c r="CW28" i="8"/>
  <c r="CH28" i="8"/>
  <c r="CW217" i="8"/>
  <c r="CH217" i="8"/>
  <c r="CW151" i="8"/>
  <c r="CH151" i="8"/>
  <c r="CW240" i="8"/>
  <c r="CH240" i="8"/>
  <c r="CW190" i="8"/>
  <c r="CH190" i="8"/>
  <c r="CW160" i="8"/>
  <c r="CH160" i="8"/>
  <c r="CW93" i="8"/>
  <c r="CH93" i="8"/>
  <c r="CW12" i="8"/>
  <c r="CH12" i="8"/>
  <c r="CW146" i="8"/>
  <c r="CH146" i="8"/>
  <c r="CW225" i="8"/>
  <c r="CH225" i="8"/>
  <c r="CW132" i="8"/>
  <c r="CH132" i="8"/>
  <c r="CH157" i="8"/>
  <c r="CW157" i="8"/>
  <c r="CH113" i="8"/>
  <c r="CW113" i="8"/>
  <c r="CW127" i="8"/>
  <c r="CH127" i="8"/>
  <c r="CW192" i="8"/>
  <c r="CH192" i="8"/>
  <c r="CW251" i="8"/>
  <c r="CH251" i="8"/>
  <c r="CW107" i="8"/>
  <c r="CH107" i="8"/>
  <c r="CW213" i="8"/>
  <c r="CH213" i="8"/>
  <c r="CW69" i="8"/>
  <c r="CH69" i="8"/>
  <c r="CW176" i="8"/>
  <c r="CH176" i="8"/>
  <c r="CW32" i="8"/>
  <c r="CH32" i="8"/>
  <c r="CW246" i="8"/>
  <c r="CH246" i="8"/>
  <c r="CW5" i="8"/>
  <c r="CH5" i="8"/>
  <c r="CW125" i="8"/>
  <c r="CH125" i="8"/>
  <c r="CW169" i="8"/>
  <c r="CH169" i="8"/>
  <c r="CW101" i="8"/>
  <c r="CH101" i="8"/>
  <c r="CW186" i="8"/>
  <c r="CH186" i="8"/>
  <c r="CH109" i="8"/>
  <c r="CW109" i="8"/>
  <c r="CW38" i="8"/>
  <c r="CH38" i="8"/>
  <c r="CW89" i="8"/>
  <c r="CH89" i="8"/>
  <c r="CW175" i="8"/>
  <c r="CH175" i="8"/>
  <c r="CH105" i="8"/>
  <c r="CW105" i="8"/>
  <c r="CH205" i="8"/>
  <c r="CW205" i="8"/>
  <c r="CW172" i="8"/>
  <c r="CH172" i="8"/>
  <c r="CW115" i="8"/>
  <c r="CH115" i="8"/>
  <c r="CW222" i="8"/>
  <c r="CH222" i="8"/>
  <c r="CW204" i="8"/>
  <c r="CH204" i="8"/>
  <c r="CW29" i="8"/>
  <c r="CH29" i="8"/>
  <c r="CW110" i="8"/>
  <c r="CH110" i="8"/>
  <c r="CW18" i="8"/>
  <c r="CH18" i="8"/>
  <c r="CW188" i="8"/>
  <c r="CH188" i="8"/>
  <c r="CW86" i="8"/>
  <c r="CH86" i="8"/>
  <c r="CW75" i="8"/>
  <c r="CH75" i="8"/>
  <c r="CW156" i="8"/>
  <c r="CH156" i="8"/>
  <c r="CH181" i="8"/>
  <c r="CW181" i="8"/>
  <c r="CW202" i="8"/>
  <c r="CH202" i="8"/>
  <c r="CW82" i="8"/>
  <c r="CH82" i="8"/>
  <c r="CW112" i="8"/>
  <c r="CH112" i="8"/>
  <c r="CW226" i="8"/>
  <c r="CH226" i="8"/>
  <c r="CW174" i="8"/>
  <c r="CH174" i="8"/>
  <c r="CW239" i="8"/>
  <c r="CH239" i="8"/>
  <c r="CW95" i="8"/>
  <c r="CH95" i="8"/>
  <c r="CW201" i="8"/>
  <c r="CH201" i="8"/>
  <c r="CH57" i="8"/>
  <c r="CW57" i="8"/>
  <c r="CW164" i="8"/>
  <c r="CH164" i="8"/>
  <c r="CW20" i="8"/>
  <c r="CH20" i="8"/>
  <c r="CW25" i="8"/>
  <c r="CH25" i="8"/>
  <c r="CW39" i="8"/>
  <c r="CH39" i="8"/>
  <c r="CW168" i="8"/>
  <c r="CH168" i="8"/>
  <c r="CW206" i="8"/>
  <c r="CH206" i="8"/>
  <c r="CW134" i="8"/>
  <c r="CH134" i="8"/>
  <c r="CW26" i="8"/>
  <c r="CH26" i="8"/>
  <c r="CW218" i="8"/>
  <c r="CH218" i="8"/>
  <c r="CW150" i="8"/>
  <c r="CH150" i="8"/>
  <c r="CW77" i="8"/>
  <c r="CH77" i="8"/>
  <c r="CH209" i="8"/>
  <c r="CW209" i="8"/>
  <c r="CH249" i="8"/>
  <c r="CW249" i="8"/>
  <c r="CW183" i="8"/>
  <c r="CH183" i="8"/>
  <c r="CW74" i="8"/>
  <c r="CH74" i="8"/>
  <c r="CW178" i="8"/>
  <c r="CH178" i="8"/>
  <c r="CW237" i="8"/>
  <c r="CH237" i="8"/>
  <c r="CW229" i="8"/>
  <c r="CH229" i="8"/>
  <c r="CW108" i="8"/>
  <c r="CH108" i="8"/>
  <c r="CW158" i="8"/>
  <c r="CH158" i="8"/>
  <c r="CW207" i="8"/>
  <c r="CH207" i="8"/>
  <c r="CW44" i="8"/>
  <c r="CH44" i="8"/>
  <c r="CH149" i="8"/>
  <c r="CW149" i="8"/>
  <c r="CW180" i="8"/>
  <c r="CH180" i="8"/>
  <c r="CW199" i="8"/>
  <c r="CH199" i="8"/>
  <c r="CW221" i="8"/>
  <c r="CH221" i="8"/>
  <c r="CW50" i="8"/>
  <c r="CH50" i="8"/>
  <c r="CW97" i="8"/>
  <c r="CH97" i="8"/>
  <c r="CW194" i="8"/>
  <c r="CH194" i="8"/>
  <c r="CW159" i="8"/>
  <c r="CH159" i="8"/>
  <c r="CW227" i="8"/>
  <c r="CH227" i="8"/>
  <c r="CW83" i="8"/>
  <c r="CH83" i="8"/>
  <c r="CW189" i="8"/>
  <c r="CH189" i="8"/>
  <c r="CW45" i="8"/>
  <c r="CH45" i="8"/>
  <c r="CW152" i="8"/>
  <c r="CH152" i="8"/>
  <c r="CW8" i="8"/>
  <c r="CH8" i="8"/>
  <c r="CW46" i="8"/>
  <c r="CH46" i="8"/>
  <c r="CH85" i="8"/>
  <c r="CW85" i="8"/>
  <c r="CW197" i="8"/>
  <c r="CH197" i="8"/>
  <c r="CW235" i="8"/>
  <c r="CH235" i="8"/>
  <c r="CW171" i="8"/>
  <c r="CH171" i="8"/>
  <c r="CW60" i="8"/>
  <c r="CH60" i="8"/>
  <c r="CW187" i="8"/>
  <c r="CH187" i="8"/>
  <c r="CW123" i="8"/>
  <c r="CH123" i="8"/>
  <c r="CW62" i="8"/>
  <c r="CH62" i="8"/>
  <c r="CW48" i="8"/>
  <c r="CH48" i="8"/>
  <c r="CW68" i="8"/>
  <c r="CH68" i="8"/>
  <c r="CW137" i="8"/>
  <c r="CH137" i="8"/>
  <c r="CW30" i="8"/>
  <c r="CH30" i="8"/>
  <c r="CW200" i="8"/>
  <c r="CH200" i="8"/>
  <c r="CW52" i="8"/>
  <c r="CH52" i="8"/>
  <c r="CW214" i="8"/>
  <c r="CH214" i="8"/>
  <c r="CH145" i="8"/>
  <c r="CW145" i="8"/>
  <c r="CW119" i="8"/>
  <c r="CH119" i="8"/>
  <c r="CW247" i="8"/>
  <c r="CH247" i="8"/>
  <c r="CW252" i="8"/>
  <c r="CH252" i="8"/>
  <c r="CW182" i="8"/>
  <c r="CH182" i="8"/>
  <c r="CW198" i="8"/>
  <c r="CH198" i="8"/>
  <c r="CW220" i="8"/>
  <c r="CH220" i="8"/>
  <c r="CW245" i="8"/>
  <c r="CH245" i="8"/>
  <c r="CH17" i="8"/>
  <c r="CW17" i="8"/>
  <c r="CW79" i="8"/>
  <c r="CH79" i="8"/>
  <c r="CH161" i="8"/>
  <c r="CW161" i="8"/>
  <c r="CW144" i="8"/>
  <c r="CH144" i="8"/>
  <c r="CW215" i="8"/>
  <c r="CH215" i="8"/>
  <c r="CW71" i="8"/>
  <c r="CH71" i="8"/>
  <c r="CH177" i="8"/>
  <c r="CW177" i="8"/>
  <c r="CH33" i="8"/>
  <c r="CW33" i="8"/>
  <c r="CW140" i="8"/>
  <c r="CH140" i="8"/>
  <c r="CW43" i="8"/>
  <c r="CH43" i="8"/>
  <c r="CW73" i="8"/>
  <c r="CH73" i="8"/>
  <c r="CW124" i="8"/>
  <c r="CH124" i="8"/>
  <c r="CW234" i="8"/>
  <c r="CH234" i="8"/>
  <c r="CW10" i="8"/>
  <c r="CH10" i="8"/>
  <c r="CW211" i="8"/>
  <c r="CH211" i="8"/>
  <c r="CW103" i="8"/>
  <c r="CH103" i="8"/>
  <c r="CW27" i="8"/>
  <c r="CH27" i="8"/>
  <c r="CW230" i="8"/>
  <c r="CH230" i="8"/>
  <c r="CW154" i="8"/>
  <c r="CH154" i="8"/>
  <c r="CW84" i="8"/>
  <c r="CH84" i="8"/>
  <c r="CW212" i="8"/>
  <c r="CH212" i="8"/>
  <c r="CW6" i="8"/>
  <c r="CH6" i="8"/>
  <c r="CW238" i="8"/>
  <c r="CH238" i="8"/>
  <c r="CW51" i="8"/>
  <c r="CH51" i="8"/>
  <c r="CW56" i="8"/>
  <c r="CH56" i="8"/>
  <c r="CW87" i="8"/>
  <c r="CH87" i="8"/>
  <c r="CW136" i="8"/>
  <c r="CH136" i="8"/>
  <c r="CW15" i="8"/>
  <c r="CH15" i="8"/>
  <c r="CW228" i="8"/>
  <c r="CH228" i="8"/>
  <c r="CW55" i="8"/>
  <c r="CH55" i="8"/>
  <c r="CW135" i="8"/>
  <c r="CH135" i="8"/>
  <c r="CW219" i="8"/>
  <c r="CH219" i="8"/>
  <c r="CW244" i="8"/>
  <c r="CH244" i="8"/>
  <c r="CW99" i="8"/>
  <c r="CH99" i="8"/>
  <c r="CW64" i="8"/>
  <c r="CH64" i="8"/>
  <c r="CW130" i="8"/>
  <c r="CH130" i="8"/>
  <c r="CW126" i="8"/>
  <c r="CH126" i="8"/>
  <c r="CW203" i="8"/>
  <c r="CH203" i="8"/>
  <c r="CW59" i="8"/>
  <c r="CH59" i="8"/>
  <c r="CW165" i="8"/>
  <c r="CH165" i="8"/>
  <c r="CW21" i="8"/>
  <c r="CH21" i="8"/>
  <c r="CW128" i="8"/>
  <c r="CH128" i="8"/>
  <c r="CW72" i="8"/>
  <c r="CH72" i="8"/>
  <c r="CW94" i="8"/>
  <c r="CH94" i="8"/>
  <c r="CW166" i="8"/>
  <c r="CH166" i="8"/>
  <c r="CW54" i="8"/>
  <c r="CH54" i="8"/>
  <c r="CW250" i="8"/>
  <c r="CH250" i="8"/>
  <c r="CW147" i="8"/>
  <c r="CH147" i="8"/>
  <c r="CH61" i="8"/>
  <c r="CW61" i="8"/>
  <c r="CW2" i="8"/>
  <c r="CH2" i="8"/>
  <c r="CW195" i="8"/>
  <c r="CH195" i="8"/>
  <c r="CW118" i="8"/>
  <c r="CH118" i="8"/>
  <c r="CW143" i="8"/>
  <c r="CH143" i="8"/>
  <c r="CW53" i="8"/>
  <c r="CH53" i="8"/>
  <c r="CW88" i="8"/>
  <c r="CH88" i="8"/>
  <c r="CW131" i="8"/>
  <c r="CH131" i="8"/>
  <c r="CW231" i="8"/>
  <c r="CH231" i="8"/>
  <c r="CW81" i="8"/>
  <c r="CH81" i="8"/>
  <c r="CW4" i="8"/>
  <c r="CH4" i="8"/>
  <c r="CW243" i="8"/>
  <c r="CH243" i="8"/>
  <c r="CW22" i="8"/>
  <c r="CH22" i="8"/>
  <c r="CW66" i="8"/>
  <c r="CH66" i="8"/>
  <c r="CH241" i="8"/>
  <c r="CW241" i="8"/>
  <c r="CW49" i="8"/>
  <c r="CH49" i="8"/>
  <c r="CW98" i="8"/>
  <c r="CH98" i="8"/>
  <c r="CW111" i="8"/>
  <c r="CH111" i="8"/>
  <c r="CW191" i="8"/>
  <c r="CH191" i="8"/>
  <c r="CW47" i="8"/>
  <c r="CH47" i="8"/>
  <c r="CH153" i="8"/>
  <c r="CW153" i="8"/>
  <c r="CH9" i="8"/>
  <c r="CW9" i="8"/>
  <c r="CW116" i="8"/>
  <c r="CH116" i="8"/>
  <c r="CW91" i="8"/>
  <c r="CH91" i="8"/>
  <c r="CW121" i="8"/>
  <c r="CH121" i="8"/>
  <c r="CW196" i="8"/>
  <c r="CH196" i="8"/>
  <c r="CW100" i="8"/>
  <c r="CH100" i="8"/>
  <c r="CH13" i="8"/>
  <c r="CW13" i="8"/>
  <c r="CH173" i="8"/>
  <c r="CW173" i="8"/>
  <c r="CW106" i="8"/>
  <c r="CH106" i="8"/>
  <c r="CW37" i="8"/>
  <c r="CH37" i="8"/>
  <c r="CW232" i="8"/>
  <c r="CH232" i="8"/>
  <c r="AU183" i="8"/>
  <c r="AD183" i="8"/>
  <c r="AU208" i="8"/>
  <c r="AD208" i="8"/>
  <c r="AD233" i="8"/>
  <c r="AU233" i="8"/>
  <c r="AD139" i="8"/>
  <c r="AU139" i="8"/>
  <c r="AD153" i="8"/>
  <c r="AU153" i="8"/>
  <c r="AU190" i="8"/>
  <c r="AD190" i="8"/>
  <c r="AD227" i="8"/>
  <c r="AU227" i="8"/>
  <c r="AU13" i="8"/>
  <c r="AD13" i="8"/>
  <c r="AU50" i="8"/>
  <c r="AD50" i="8"/>
  <c r="AU152" i="8"/>
  <c r="AD152" i="8"/>
  <c r="AU195" i="8"/>
  <c r="AD195" i="8"/>
  <c r="AU220" i="8"/>
  <c r="AD220" i="8"/>
  <c r="AD245" i="8"/>
  <c r="AU245" i="8"/>
  <c r="AU151" i="8"/>
  <c r="AD151" i="8"/>
  <c r="AU165" i="8"/>
  <c r="AD165" i="8"/>
  <c r="AU202" i="8"/>
  <c r="AD202" i="8"/>
  <c r="AD239" i="8"/>
  <c r="AU239" i="8"/>
  <c r="AU25" i="8"/>
  <c r="AD25" i="8"/>
  <c r="AU62" i="8"/>
  <c r="AD62" i="8"/>
  <c r="AU200" i="8"/>
  <c r="AD200" i="8"/>
  <c r="AU207" i="8"/>
  <c r="AD207" i="8"/>
  <c r="AU232" i="8"/>
  <c r="AD232" i="8"/>
  <c r="AD113" i="8"/>
  <c r="AU113" i="8"/>
  <c r="AD138" i="8"/>
  <c r="AU138" i="8"/>
  <c r="AD163" i="8"/>
  <c r="AU163" i="8"/>
  <c r="AD177" i="8"/>
  <c r="AU177" i="8"/>
  <c r="AU70" i="8"/>
  <c r="AD70" i="8"/>
  <c r="AU107" i="8"/>
  <c r="AD107" i="8"/>
  <c r="AU251" i="8"/>
  <c r="AD251" i="8"/>
  <c r="AD144" i="8"/>
  <c r="AU144" i="8"/>
  <c r="AU181" i="8"/>
  <c r="AD181" i="8"/>
  <c r="AU74" i="8"/>
  <c r="AD74" i="8"/>
  <c r="AU218" i="8"/>
  <c r="AD218" i="8"/>
  <c r="AD68" i="8"/>
  <c r="AU68" i="8"/>
  <c r="AU75" i="8"/>
  <c r="AD75" i="8"/>
  <c r="AU219" i="8"/>
  <c r="AD219" i="8"/>
  <c r="AU100" i="8"/>
  <c r="AD100" i="8"/>
  <c r="AU244" i="8"/>
  <c r="AD244" i="8"/>
  <c r="AD125" i="8"/>
  <c r="AU125" i="8"/>
  <c r="AU6" i="8"/>
  <c r="AD6" i="8"/>
  <c r="AU150" i="8"/>
  <c r="AD150" i="8"/>
  <c r="AU31" i="8"/>
  <c r="AD31" i="8"/>
  <c r="AU175" i="8"/>
  <c r="AD175" i="8"/>
  <c r="AD45" i="8"/>
  <c r="AU45" i="8"/>
  <c r="AU189" i="8"/>
  <c r="AD189" i="8"/>
  <c r="AD82" i="8"/>
  <c r="AU82" i="8"/>
  <c r="AD226" i="8"/>
  <c r="AU226" i="8"/>
  <c r="AU119" i="8"/>
  <c r="AD119" i="8"/>
  <c r="AD12" i="8"/>
  <c r="AU12" i="8"/>
  <c r="AD156" i="8"/>
  <c r="AU156" i="8"/>
  <c r="AU49" i="8"/>
  <c r="AD49" i="8"/>
  <c r="AU193" i="8"/>
  <c r="AD193" i="8"/>
  <c r="AU86" i="8"/>
  <c r="AD86" i="8"/>
  <c r="AU230" i="8"/>
  <c r="AD230" i="8"/>
  <c r="AD212" i="8"/>
  <c r="AU212" i="8"/>
  <c r="AU87" i="8"/>
  <c r="AD87" i="8"/>
  <c r="AU112" i="8"/>
  <c r="AD112" i="8"/>
  <c r="AD137" i="8"/>
  <c r="AU137" i="8"/>
  <c r="AU162" i="8"/>
  <c r="AD162" i="8"/>
  <c r="AD43" i="8"/>
  <c r="AU43" i="8"/>
  <c r="AU57" i="8"/>
  <c r="AD57" i="8"/>
  <c r="AU94" i="8"/>
  <c r="AD94" i="8"/>
  <c r="AD131" i="8"/>
  <c r="AU131" i="8"/>
  <c r="AD168" i="8"/>
  <c r="AU168" i="8"/>
  <c r="AU205" i="8"/>
  <c r="AD205" i="8"/>
  <c r="AU242" i="8"/>
  <c r="AD242" i="8"/>
  <c r="AU99" i="8"/>
  <c r="AD99" i="8"/>
  <c r="AU124" i="8"/>
  <c r="AD124" i="8"/>
  <c r="AU149" i="8"/>
  <c r="AD149" i="8"/>
  <c r="AU174" i="8"/>
  <c r="AD174" i="8"/>
  <c r="AU199" i="8"/>
  <c r="AD199" i="8"/>
  <c r="AU213" i="8"/>
  <c r="AD213" i="8"/>
  <c r="AU250" i="8"/>
  <c r="AD250" i="8"/>
  <c r="AD36" i="8"/>
  <c r="AU36" i="8"/>
  <c r="AD180" i="8"/>
  <c r="AU180" i="8"/>
  <c r="AU217" i="8"/>
  <c r="AD217" i="8"/>
  <c r="AU111" i="8"/>
  <c r="AD111" i="8"/>
  <c r="AU136" i="8"/>
  <c r="AD136" i="8"/>
  <c r="AD161" i="8"/>
  <c r="AU161" i="8"/>
  <c r="AD186" i="8"/>
  <c r="AU186" i="8"/>
  <c r="AD211" i="8"/>
  <c r="AU211" i="8"/>
  <c r="AD225" i="8"/>
  <c r="AU225" i="8"/>
  <c r="AD11" i="8"/>
  <c r="AU11" i="8"/>
  <c r="AD48" i="8"/>
  <c r="AU48" i="8"/>
  <c r="AU85" i="8"/>
  <c r="AD85" i="8"/>
  <c r="AU122" i="8"/>
  <c r="AD122" i="8"/>
  <c r="AD224" i="8"/>
  <c r="AU224" i="8"/>
  <c r="AU123" i="8"/>
  <c r="AD123" i="8"/>
  <c r="AU148" i="8"/>
  <c r="AD148" i="8"/>
  <c r="AD173" i="8"/>
  <c r="AU173" i="8"/>
  <c r="AU198" i="8"/>
  <c r="AD198" i="8"/>
  <c r="AU223" i="8"/>
  <c r="AD223" i="8"/>
  <c r="AU237" i="8"/>
  <c r="AD237" i="8"/>
  <c r="AD23" i="8"/>
  <c r="AU23" i="8"/>
  <c r="AD60" i="8"/>
  <c r="AU60" i="8"/>
  <c r="AU97" i="8"/>
  <c r="AD97" i="8"/>
  <c r="AU134" i="8"/>
  <c r="AD134" i="8"/>
  <c r="AU92" i="8"/>
  <c r="AD92" i="8"/>
  <c r="AU135" i="8"/>
  <c r="AD135" i="8"/>
  <c r="AU160" i="8"/>
  <c r="AD160" i="8"/>
  <c r="AU185" i="8"/>
  <c r="AD185" i="8"/>
  <c r="AD210" i="8"/>
  <c r="AU210" i="8"/>
  <c r="AU235" i="8"/>
  <c r="AD235" i="8"/>
  <c r="AU249" i="8"/>
  <c r="AD249" i="8"/>
  <c r="AD35" i="8"/>
  <c r="AU35" i="8"/>
  <c r="AD72" i="8"/>
  <c r="AU72" i="8"/>
  <c r="AD216" i="8"/>
  <c r="AU216" i="8"/>
  <c r="AU253" i="8"/>
  <c r="AD253" i="8"/>
  <c r="AD32" i="8"/>
  <c r="AU32" i="8"/>
  <c r="AU147" i="8"/>
  <c r="AD147" i="8"/>
  <c r="AU172" i="8"/>
  <c r="AD172" i="8"/>
  <c r="AD197" i="8"/>
  <c r="AU197" i="8"/>
  <c r="AU222" i="8"/>
  <c r="AD222" i="8"/>
  <c r="AD247" i="8"/>
  <c r="AU247" i="8"/>
  <c r="AD117" i="8"/>
  <c r="AU117" i="8"/>
  <c r="AU154" i="8"/>
  <c r="AD154" i="8"/>
  <c r="AD191" i="8"/>
  <c r="AU191" i="8"/>
  <c r="AD228" i="8"/>
  <c r="AU228" i="8"/>
  <c r="AD14" i="8"/>
  <c r="AU14" i="8"/>
  <c r="AD176" i="8"/>
  <c r="AU176" i="8"/>
  <c r="AU40" i="8"/>
  <c r="AD40" i="8"/>
  <c r="AD65" i="8"/>
  <c r="AU65" i="8"/>
  <c r="AD209" i="8"/>
  <c r="AU209" i="8"/>
  <c r="AU234" i="8"/>
  <c r="AD234" i="8"/>
  <c r="AD115" i="8"/>
  <c r="AU115" i="8"/>
  <c r="AD129" i="8"/>
  <c r="AU129" i="8"/>
  <c r="AU166" i="8"/>
  <c r="AD166" i="8"/>
  <c r="AU203" i="8"/>
  <c r="AD203" i="8"/>
  <c r="AU133" i="8"/>
  <c r="AD133" i="8"/>
  <c r="AU170" i="8"/>
  <c r="AD170" i="8"/>
  <c r="AU248" i="8"/>
  <c r="AD248" i="8"/>
  <c r="AU39" i="8"/>
  <c r="AD39" i="8"/>
  <c r="AU64" i="8"/>
  <c r="AD64" i="8"/>
  <c r="AD89" i="8"/>
  <c r="AU89" i="8"/>
  <c r="AD114" i="8"/>
  <c r="AU114" i="8"/>
  <c r="AD9" i="8"/>
  <c r="AU9" i="8"/>
  <c r="AD46" i="8"/>
  <c r="AU46" i="8"/>
  <c r="AD83" i="8"/>
  <c r="AU83" i="8"/>
  <c r="AD120" i="8"/>
  <c r="AU120" i="8"/>
  <c r="AU157" i="8"/>
  <c r="AD157" i="8"/>
  <c r="AU194" i="8"/>
  <c r="AD194" i="8"/>
  <c r="AU56" i="8"/>
  <c r="AD56" i="8"/>
  <c r="AU51" i="8"/>
  <c r="AD51" i="8"/>
  <c r="AU76" i="8"/>
  <c r="AD76" i="8"/>
  <c r="AD101" i="8"/>
  <c r="AU101" i="8"/>
  <c r="AU126" i="8"/>
  <c r="AD126" i="8"/>
  <c r="AD7" i="8"/>
  <c r="AU7" i="8"/>
  <c r="AU21" i="8"/>
  <c r="AD21" i="8"/>
  <c r="AU58" i="8"/>
  <c r="AD58" i="8"/>
  <c r="AD95" i="8"/>
  <c r="AU95" i="8"/>
  <c r="AD132" i="8"/>
  <c r="AU132" i="8"/>
  <c r="AU169" i="8"/>
  <c r="AD169" i="8"/>
  <c r="AU206" i="8"/>
  <c r="AD206" i="8"/>
  <c r="AD116" i="8"/>
  <c r="AU116" i="8"/>
  <c r="AU63" i="8"/>
  <c r="AD63" i="8"/>
  <c r="AU88" i="8"/>
  <c r="AD88" i="8"/>
  <c r="AU19" i="8"/>
  <c r="AD19" i="8"/>
  <c r="AD33" i="8"/>
  <c r="AU33" i="8"/>
  <c r="AU214" i="8"/>
  <c r="AD214" i="8"/>
  <c r="AU37" i="8"/>
  <c r="AD37" i="8"/>
  <c r="AU231" i="8"/>
  <c r="AD231" i="8"/>
  <c r="AD18" i="8"/>
  <c r="AU18" i="8"/>
  <c r="AD187" i="8"/>
  <c r="AU187" i="8"/>
  <c r="AU201" i="8"/>
  <c r="AD201" i="8"/>
  <c r="AD238" i="8"/>
  <c r="AU238" i="8"/>
  <c r="AD24" i="8"/>
  <c r="AU24" i="8"/>
  <c r="AU61" i="8"/>
  <c r="AD61" i="8"/>
  <c r="AU98" i="8"/>
  <c r="AD98" i="8"/>
  <c r="AD128" i="8"/>
  <c r="AU128" i="8"/>
  <c r="AU243" i="8"/>
  <c r="AD243" i="8"/>
  <c r="AU5" i="8"/>
  <c r="AD5" i="8"/>
  <c r="AU30" i="8"/>
  <c r="AD30" i="8"/>
  <c r="AU55" i="8"/>
  <c r="AD55" i="8"/>
  <c r="AD69" i="8"/>
  <c r="AU69" i="8"/>
  <c r="AU106" i="8"/>
  <c r="AD106" i="8"/>
  <c r="AD143" i="8"/>
  <c r="AU143" i="8"/>
  <c r="AU73" i="8"/>
  <c r="AD73" i="8"/>
  <c r="AU110" i="8"/>
  <c r="AD110" i="8"/>
  <c r="AD80" i="8"/>
  <c r="AU80" i="8"/>
  <c r="AD17" i="8"/>
  <c r="AU17" i="8"/>
  <c r="AD42" i="8"/>
  <c r="AU42" i="8"/>
  <c r="AD67" i="8"/>
  <c r="AU67" i="8"/>
  <c r="AD81" i="8"/>
  <c r="AU81" i="8"/>
  <c r="AD118" i="8"/>
  <c r="AU118" i="8"/>
  <c r="AD155" i="8"/>
  <c r="AU155" i="8"/>
  <c r="AD192" i="8"/>
  <c r="AU192" i="8"/>
  <c r="AU229" i="8"/>
  <c r="AD229" i="8"/>
  <c r="AD20" i="8"/>
  <c r="AU20" i="8"/>
  <c r="AU4" i="8"/>
  <c r="AD4" i="8"/>
  <c r="AU29" i="8"/>
  <c r="AD29" i="8"/>
  <c r="AU54" i="8"/>
  <c r="AD54" i="8"/>
  <c r="AD79" i="8"/>
  <c r="AU79" i="8"/>
  <c r="AU93" i="8"/>
  <c r="AD93" i="8"/>
  <c r="AD130" i="8"/>
  <c r="AU130" i="8"/>
  <c r="AU167" i="8"/>
  <c r="AD167" i="8"/>
  <c r="AD204" i="8"/>
  <c r="AU204" i="8"/>
  <c r="AU241" i="8"/>
  <c r="AD241" i="8"/>
  <c r="AU164" i="8"/>
  <c r="AD164" i="8"/>
  <c r="AU16" i="8"/>
  <c r="AD16" i="8"/>
  <c r="AU41" i="8"/>
  <c r="AD41" i="8"/>
  <c r="AD66" i="8"/>
  <c r="AU66" i="8"/>
  <c r="AU91" i="8"/>
  <c r="AD91" i="8"/>
  <c r="AU105" i="8"/>
  <c r="AD105" i="8"/>
  <c r="AU142" i="8"/>
  <c r="AD142" i="8"/>
  <c r="AD179" i="8"/>
  <c r="AU179" i="8"/>
  <c r="AU109" i="8"/>
  <c r="AD109" i="8"/>
  <c r="AU146" i="8"/>
  <c r="AD146" i="8"/>
  <c r="AU236" i="8"/>
  <c r="AD236" i="8"/>
  <c r="AU28" i="8"/>
  <c r="AD28" i="8"/>
  <c r="AD53" i="8"/>
  <c r="AU53" i="8"/>
  <c r="AD78" i="8"/>
  <c r="AU78" i="8"/>
  <c r="AD103" i="8"/>
  <c r="AU103" i="8"/>
  <c r="AU10" i="8"/>
  <c r="AD10" i="8"/>
  <c r="AD47" i="8"/>
  <c r="AU47" i="8"/>
  <c r="AD84" i="8"/>
  <c r="AU84" i="8"/>
  <c r="AU121" i="8"/>
  <c r="AD121" i="8"/>
  <c r="AU158" i="8"/>
  <c r="AD158" i="8"/>
  <c r="AU104" i="8"/>
  <c r="AD104" i="8"/>
  <c r="AU15" i="8"/>
  <c r="AD15" i="8"/>
  <c r="AU159" i="8"/>
  <c r="AD159" i="8"/>
  <c r="AU184" i="8"/>
  <c r="AD184" i="8"/>
  <c r="AU90" i="8"/>
  <c r="AD90" i="8"/>
  <c r="AU2" i="8"/>
  <c r="AD2" i="8"/>
  <c r="AU22" i="8"/>
  <c r="AD22" i="8"/>
  <c r="AU59" i="8"/>
  <c r="AD59" i="8"/>
  <c r="AD96" i="8"/>
  <c r="AU96" i="8"/>
  <c r="AD240" i="8"/>
  <c r="AU240" i="8"/>
  <c r="AU26" i="8"/>
  <c r="AD26" i="8"/>
  <c r="AU44" i="8"/>
  <c r="AD44" i="8"/>
  <c r="AD27" i="8"/>
  <c r="AU27" i="8"/>
  <c r="AU171" i="8"/>
  <c r="AD171" i="8"/>
  <c r="AU52" i="8"/>
  <c r="AD52" i="8"/>
  <c r="AU196" i="8"/>
  <c r="AD196" i="8"/>
  <c r="AU77" i="8"/>
  <c r="AD77" i="8"/>
  <c r="AU221" i="8"/>
  <c r="AD221" i="8"/>
  <c r="AD102" i="8"/>
  <c r="AU102" i="8"/>
  <c r="AU246" i="8"/>
  <c r="AD246" i="8"/>
  <c r="AU127" i="8"/>
  <c r="AD127" i="8"/>
  <c r="AU8" i="8"/>
  <c r="AD8" i="8"/>
  <c r="AU141" i="8"/>
  <c r="AD141" i="8"/>
  <c r="AU34" i="8"/>
  <c r="AD34" i="8"/>
  <c r="AU178" i="8"/>
  <c r="AD178" i="8"/>
  <c r="AU71" i="8"/>
  <c r="AD71" i="8"/>
  <c r="AU215" i="8"/>
  <c r="AD215" i="8"/>
  <c r="AD108" i="8"/>
  <c r="AU108" i="8"/>
  <c r="AD252" i="8"/>
  <c r="AU252" i="8"/>
  <c r="AU145" i="8"/>
  <c r="AD145" i="8"/>
  <c r="AU38" i="8"/>
  <c r="AD38" i="8"/>
  <c r="AU182" i="8"/>
  <c r="AD182" i="8"/>
  <c r="AU188" i="8"/>
  <c r="AD188" i="8"/>
  <c r="AD140" i="8"/>
  <c r="AU140" i="8"/>
  <c r="BD5" i="5"/>
  <c r="AZ6" i="5"/>
  <c r="AZ7" i="5" s="1"/>
  <c r="AI7" i="5"/>
  <c r="Y8" i="5"/>
  <c r="AY8" i="5" s="1"/>
  <c r="X6" i="5"/>
  <c r="AH5" i="5"/>
  <c r="AJ5" i="5"/>
  <c r="Z6" i="5"/>
  <c r="AY7" i="5"/>
  <c r="BD4" i="5"/>
  <c r="BH4" i="5" s="1"/>
  <c r="BC7" i="5"/>
  <c r="AL6" i="5"/>
  <c r="AP5" i="5"/>
  <c r="BF5" i="5" l="1"/>
  <c r="BE5" i="5"/>
  <c r="W7" i="5"/>
  <c r="AG6" i="5"/>
  <c r="BD6" i="5"/>
  <c r="DN11" i="8"/>
  <c r="DO10" i="8"/>
  <c r="DP10" i="8" s="1"/>
  <c r="BL10" i="8"/>
  <c r="BM10" i="8" s="1"/>
  <c r="BK11" i="8"/>
  <c r="AC5" i="8"/>
  <c r="AC4" i="8"/>
  <c r="Y9" i="5"/>
  <c r="AY9" i="5" s="1"/>
  <c r="AI8" i="5"/>
  <c r="Z7" i="5"/>
  <c r="AJ6" i="5"/>
  <c r="AH6" i="5"/>
  <c r="X7" i="5"/>
  <c r="BA7" i="5"/>
  <c r="BE6" i="5"/>
  <c r="AZ8" i="5"/>
  <c r="BD7" i="5"/>
  <c r="BB7" i="5"/>
  <c r="BF6" i="5"/>
  <c r="BC8" i="5"/>
  <c r="AL7" i="5"/>
  <c r="AP6" i="5"/>
  <c r="AG7" i="5" l="1"/>
  <c r="W8" i="5"/>
  <c r="BL11" i="8"/>
  <c r="BM11" i="8" s="1"/>
  <c r="BK12" i="8"/>
  <c r="DN12" i="8"/>
  <c r="DO11" i="8"/>
  <c r="DP11" i="8" s="1"/>
  <c r="AI9" i="5"/>
  <c r="Y10" i="5"/>
  <c r="AY10" i="5" s="1"/>
  <c r="X8" i="5"/>
  <c r="AH7" i="5"/>
  <c r="AJ7" i="5"/>
  <c r="Z8" i="5"/>
  <c r="BC9" i="5"/>
  <c r="BA8" i="5"/>
  <c r="BE7" i="5"/>
  <c r="BB8" i="5"/>
  <c r="BF7" i="5"/>
  <c r="AZ9" i="5"/>
  <c r="BD8" i="5"/>
  <c r="AL8" i="5"/>
  <c r="AP7" i="5"/>
  <c r="W9" i="5" l="1"/>
  <c r="AG8" i="5"/>
  <c r="BL12" i="8"/>
  <c r="BM12" i="8" s="1"/>
  <c r="BK13" i="8"/>
  <c r="DN13" i="8"/>
  <c r="DO12" i="8"/>
  <c r="DP12" i="8" s="1"/>
  <c r="Z9" i="5"/>
  <c r="AJ8" i="5"/>
  <c r="AH8" i="5"/>
  <c r="X9" i="5"/>
  <c r="Y11" i="5"/>
  <c r="AY11" i="5" s="1"/>
  <c r="AI10" i="5"/>
  <c r="BC10" i="5"/>
  <c r="AZ10" i="5"/>
  <c r="BD9" i="5"/>
  <c r="BB9" i="5"/>
  <c r="BF8" i="5"/>
  <c r="BA9" i="5"/>
  <c r="BE8" i="5"/>
  <c r="AL9" i="5"/>
  <c r="AP8" i="5"/>
  <c r="W10" i="5" l="1"/>
  <c r="AG9" i="5"/>
  <c r="BL13" i="8"/>
  <c r="BM13" i="8" s="1"/>
  <c r="BK14" i="8"/>
  <c r="DN14" i="8"/>
  <c r="DO13" i="8"/>
  <c r="DP13" i="8" s="1"/>
  <c r="AH9" i="5"/>
  <c r="X10" i="5"/>
  <c r="Y12" i="5"/>
  <c r="AI11" i="5"/>
  <c r="Z10" i="5"/>
  <c r="AJ9" i="5"/>
  <c r="BA10" i="5"/>
  <c r="BE9" i="5"/>
  <c r="BB10" i="5"/>
  <c r="BF9" i="5"/>
  <c r="AZ11" i="5"/>
  <c r="BD10" i="5"/>
  <c r="BC11" i="5"/>
  <c r="AL10" i="5"/>
  <c r="AP9" i="5"/>
  <c r="AG10" i="5" l="1"/>
  <c r="W11" i="5"/>
  <c r="DN15" i="8"/>
  <c r="DO14" i="8"/>
  <c r="DP14" i="8" s="1"/>
  <c r="BL14" i="8"/>
  <c r="BM14" i="8" s="1"/>
  <c r="BK15" i="8"/>
  <c r="Z11" i="5"/>
  <c r="AJ10" i="5"/>
  <c r="Y13" i="5"/>
  <c r="AI12" i="5"/>
  <c r="X11" i="5"/>
  <c r="AH10" i="5"/>
  <c r="AY12" i="5"/>
  <c r="BC12" i="5" s="1"/>
  <c r="AZ12" i="5"/>
  <c r="BD11" i="5"/>
  <c r="BB11" i="5"/>
  <c r="BF10" i="5"/>
  <c r="BA11" i="5"/>
  <c r="BE10" i="5"/>
  <c r="AL11" i="5"/>
  <c r="AP10" i="5"/>
  <c r="AY13" i="5" l="1"/>
  <c r="W12" i="5"/>
  <c r="AG11" i="5"/>
  <c r="BK16" i="8"/>
  <c r="BL15" i="8"/>
  <c r="BM15" i="8" s="1"/>
  <c r="DN16" i="8"/>
  <c r="DO15" i="8"/>
  <c r="DP15" i="8" s="1"/>
  <c r="X12" i="5"/>
  <c r="AH11" i="5"/>
  <c r="Y14" i="5"/>
  <c r="AY14" i="5" s="1"/>
  <c r="AI13" i="5"/>
  <c r="Z12" i="5"/>
  <c r="AJ11" i="5"/>
  <c r="BA12" i="5"/>
  <c r="BE11" i="5"/>
  <c r="BB12" i="5"/>
  <c r="BF11" i="5"/>
  <c r="AZ13" i="5"/>
  <c r="BD12" i="5"/>
  <c r="BC13" i="5"/>
  <c r="AL12" i="5"/>
  <c r="AP11" i="5"/>
  <c r="W13" i="5" l="1"/>
  <c r="AG12" i="5"/>
  <c r="DN17" i="8"/>
  <c r="DO16" i="8"/>
  <c r="DP16" i="8" s="1"/>
  <c r="BK17" i="8"/>
  <c r="BL16" i="8"/>
  <c r="BM16" i="8" s="1"/>
  <c r="Y15" i="5"/>
  <c r="AY15" i="5" s="1"/>
  <c r="AI14" i="5"/>
  <c r="Z13" i="5"/>
  <c r="AJ12" i="5"/>
  <c r="X13" i="5"/>
  <c r="AH12" i="5"/>
  <c r="BC14" i="5"/>
  <c r="AZ14" i="5"/>
  <c r="BD13" i="5"/>
  <c r="BB13" i="5"/>
  <c r="BF12" i="5"/>
  <c r="BA13" i="5"/>
  <c r="BE12" i="5"/>
  <c r="AL13" i="5"/>
  <c r="AP12" i="5"/>
  <c r="W14" i="5" l="1"/>
  <c r="AG13" i="5"/>
  <c r="BK18" i="8"/>
  <c r="BL17" i="8"/>
  <c r="BM17" i="8" s="1"/>
  <c r="DN18" i="8"/>
  <c r="DO17" i="8"/>
  <c r="DP17" i="8" s="1"/>
  <c r="Z14" i="5"/>
  <c r="AJ13" i="5"/>
  <c r="X14" i="5"/>
  <c r="AH13" i="5"/>
  <c r="Y16" i="5"/>
  <c r="AY16" i="5" s="1"/>
  <c r="AI15" i="5"/>
  <c r="BA14" i="5"/>
  <c r="BE13" i="5"/>
  <c r="BB14" i="5"/>
  <c r="BF13" i="5"/>
  <c r="AZ15" i="5"/>
  <c r="BD14" i="5"/>
  <c r="BC15" i="5"/>
  <c r="AL14" i="5"/>
  <c r="AP13" i="5"/>
  <c r="W15" i="5" l="1"/>
  <c r="AG14" i="5"/>
  <c r="DN19" i="8"/>
  <c r="DO18" i="8"/>
  <c r="DP18" i="8" s="1"/>
  <c r="BK19" i="8"/>
  <c r="BL18" i="8"/>
  <c r="BM18" i="8" s="1"/>
  <c r="X15" i="5"/>
  <c r="AH14" i="5"/>
  <c r="Y17" i="5"/>
  <c r="AY17" i="5" s="1"/>
  <c r="AI16" i="5"/>
  <c r="Z15" i="5"/>
  <c r="AJ14" i="5"/>
  <c r="BC16" i="5"/>
  <c r="AZ16" i="5"/>
  <c r="BD15" i="5"/>
  <c r="BB15" i="5"/>
  <c r="BF14" i="5"/>
  <c r="BA15" i="5"/>
  <c r="BE14" i="5"/>
  <c r="AL15" i="5"/>
  <c r="AP14" i="5"/>
  <c r="W16" i="5" l="1"/>
  <c r="AG15" i="5"/>
  <c r="BK20" i="8"/>
  <c r="BL19" i="8"/>
  <c r="BM19" i="8" s="1"/>
  <c r="DN20" i="8"/>
  <c r="DO19" i="8"/>
  <c r="DP19" i="8" s="1"/>
  <c r="Y18" i="5"/>
  <c r="AY18" i="5" s="1"/>
  <c r="AI17" i="5"/>
  <c r="Z16" i="5"/>
  <c r="AJ15" i="5"/>
  <c r="X16" i="5"/>
  <c r="AH15" i="5"/>
  <c r="BA16" i="5"/>
  <c r="BE15" i="5"/>
  <c r="AZ17" i="5"/>
  <c r="BD16" i="5"/>
  <c r="BB16" i="5"/>
  <c r="BF15" i="5"/>
  <c r="BC17" i="5"/>
  <c r="AL16" i="5"/>
  <c r="AP15" i="5"/>
  <c r="W17" i="5" l="1"/>
  <c r="AG16" i="5"/>
  <c r="DN21" i="8"/>
  <c r="DO20" i="8"/>
  <c r="DP20" i="8" s="1"/>
  <c r="BK21" i="8"/>
  <c r="BL20" i="8"/>
  <c r="BM20" i="8" s="1"/>
  <c r="X17" i="5"/>
  <c r="AH16" i="5"/>
  <c r="Z17" i="5"/>
  <c r="AJ16" i="5"/>
  <c r="Y19" i="5"/>
  <c r="AY19" i="5" s="1"/>
  <c r="AI18" i="5"/>
  <c r="BC18" i="5"/>
  <c r="AZ18" i="5"/>
  <c r="BD17" i="5"/>
  <c r="BB17" i="5"/>
  <c r="BF16" i="5"/>
  <c r="BA17" i="5"/>
  <c r="BE16" i="5"/>
  <c r="AL17" i="5"/>
  <c r="AP16" i="5"/>
  <c r="W18" i="5" l="1"/>
  <c r="AG17" i="5"/>
  <c r="BK22" i="8"/>
  <c r="BL21" i="8"/>
  <c r="BM21" i="8" s="1"/>
  <c r="DN22" i="8"/>
  <c r="DO21" i="8"/>
  <c r="DP21" i="8" s="1"/>
  <c r="Z18" i="5"/>
  <c r="AJ17" i="5"/>
  <c r="Y20" i="5"/>
  <c r="AY20" i="5" s="1"/>
  <c r="AI19" i="5"/>
  <c r="X18" i="5"/>
  <c r="AH17" i="5"/>
  <c r="BA18" i="5"/>
  <c r="BE17" i="5"/>
  <c r="BB18" i="5"/>
  <c r="BF17" i="5"/>
  <c r="AZ19" i="5"/>
  <c r="BD18" i="5"/>
  <c r="BC19" i="5"/>
  <c r="AL18" i="5"/>
  <c r="AP17" i="5"/>
  <c r="W19" i="5" l="1"/>
  <c r="AG18" i="5"/>
  <c r="DN23" i="8"/>
  <c r="DO22" i="8"/>
  <c r="DP22" i="8" s="1"/>
  <c r="BK23" i="8"/>
  <c r="BL22" i="8"/>
  <c r="BM22" i="8" s="1"/>
  <c r="X19" i="5"/>
  <c r="AH18" i="5"/>
  <c r="Y21" i="5"/>
  <c r="AY21" i="5" s="1"/>
  <c r="AI20" i="5"/>
  <c r="Z19" i="5"/>
  <c r="AJ18" i="5"/>
  <c r="BC20" i="5"/>
  <c r="AZ20" i="5"/>
  <c r="BD19" i="5"/>
  <c r="BB19" i="5"/>
  <c r="BF18" i="5"/>
  <c r="BA19" i="5"/>
  <c r="BE18" i="5"/>
  <c r="AL19" i="5"/>
  <c r="AP18" i="5"/>
  <c r="W20" i="5" l="1"/>
  <c r="AG19" i="5"/>
  <c r="BK24" i="8"/>
  <c r="BL23" i="8"/>
  <c r="BM23" i="8" s="1"/>
  <c r="DN24" i="8"/>
  <c r="DO23" i="8"/>
  <c r="DP23" i="8" s="1"/>
  <c r="Z20" i="5"/>
  <c r="AJ19" i="5"/>
  <c r="Y22" i="5"/>
  <c r="AI21" i="5"/>
  <c r="X20" i="5"/>
  <c r="AH19" i="5"/>
  <c r="AZ21" i="5"/>
  <c r="BD20" i="5"/>
  <c r="BB20" i="5"/>
  <c r="BF19" i="5"/>
  <c r="BA20" i="5"/>
  <c r="BE19" i="5"/>
  <c r="BC21" i="5"/>
  <c r="AL20" i="5"/>
  <c r="AP19" i="5"/>
  <c r="W21" i="5" l="1"/>
  <c r="AG20" i="5"/>
  <c r="DN25" i="8"/>
  <c r="DO24" i="8"/>
  <c r="DP24" i="8" s="1"/>
  <c r="BK25" i="8"/>
  <c r="BL24" i="8"/>
  <c r="BM24" i="8" s="1"/>
  <c r="Y23" i="5"/>
  <c r="AI22" i="5"/>
  <c r="X21" i="5"/>
  <c r="AH20" i="5"/>
  <c r="AY22" i="5"/>
  <c r="BC22" i="5" s="1"/>
  <c r="Z21" i="5"/>
  <c r="AJ20" i="5"/>
  <c r="BA21" i="5"/>
  <c r="BE20" i="5"/>
  <c r="BB21" i="5"/>
  <c r="BF20" i="5"/>
  <c r="AZ22" i="5"/>
  <c r="BD21" i="5"/>
  <c r="AL21" i="5"/>
  <c r="AP20" i="5"/>
  <c r="AY23" i="5" l="1"/>
  <c r="BC23" i="5" s="1"/>
  <c r="W22" i="5"/>
  <c r="AG21" i="5"/>
  <c r="BK26" i="8"/>
  <c r="BL25" i="8"/>
  <c r="BM25" i="8" s="1"/>
  <c r="DN26" i="8"/>
  <c r="DO25" i="8"/>
  <c r="DP25" i="8" s="1"/>
  <c r="X22" i="5"/>
  <c r="AH21" i="5"/>
  <c r="Z22" i="5"/>
  <c r="AJ21" i="5"/>
  <c r="Y24" i="5"/>
  <c r="AY24" i="5" s="1"/>
  <c r="AI23" i="5"/>
  <c r="AZ23" i="5"/>
  <c r="BD22" i="5"/>
  <c r="BA22" i="5"/>
  <c r="BE21" i="5"/>
  <c r="BB22" i="5"/>
  <c r="BF21" i="5"/>
  <c r="AL22" i="5"/>
  <c r="AP21" i="5"/>
  <c r="W23" i="5" l="1"/>
  <c r="AG22" i="5"/>
  <c r="DN27" i="8"/>
  <c r="DO26" i="8"/>
  <c r="DP26" i="8" s="1"/>
  <c r="BK27" i="8"/>
  <c r="BL26" i="8"/>
  <c r="BM26" i="8" s="1"/>
  <c r="Y25" i="5"/>
  <c r="AY25" i="5" s="1"/>
  <c r="AI24" i="5"/>
  <c r="Z23" i="5"/>
  <c r="AJ22" i="5"/>
  <c r="X23" i="5"/>
  <c r="AH22" i="5"/>
  <c r="BB23" i="5"/>
  <c r="BF22" i="5"/>
  <c r="BC24" i="5"/>
  <c r="BA23" i="5"/>
  <c r="BE22" i="5"/>
  <c r="AZ24" i="5"/>
  <c r="BD23" i="5"/>
  <c r="AL23" i="5"/>
  <c r="AP22" i="5"/>
  <c r="W24" i="5" l="1"/>
  <c r="AG23" i="5"/>
  <c r="BK28" i="8"/>
  <c r="BL27" i="8"/>
  <c r="BM27" i="8" s="1"/>
  <c r="DN28" i="8"/>
  <c r="DO27" i="8"/>
  <c r="DP27" i="8" s="1"/>
  <c r="X24" i="5"/>
  <c r="AH23" i="5"/>
  <c r="Z24" i="5"/>
  <c r="AJ23" i="5"/>
  <c r="Y26" i="5"/>
  <c r="AY26" i="5" s="1"/>
  <c r="AI25" i="5"/>
  <c r="AZ25" i="5"/>
  <c r="BD24" i="5"/>
  <c r="BA24" i="5"/>
  <c r="BE23" i="5"/>
  <c r="BC25" i="5"/>
  <c r="BB24" i="5"/>
  <c r="BF23" i="5"/>
  <c r="AL24" i="5"/>
  <c r="AP23" i="5"/>
  <c r="W25" i="5" l="1"/>
  <c r="AG24" i="5"/>
  <c r="DN29" i="8"/>
  <c r="DO28" i="8"/>
  <c r="DP28" i="8" s="1"/>
  <c r="BK29" i="8"/>
  <c r="BL28" i="8"/>
  <c r="BM28" i="8" s="1"/>
  <c r="Z25" i="5"/>
  <c r="AJ24" i="5"/>
  <c r="Y27" i="5"/>
  <c r="AY27" i="5" s="1"/>
  <c r="AI26" i="5"/>
  <c r="X25" i="5"/>
  <c r="AH24" i="5"/>
  <c r="BB25" i="5"/>
  <c r="BF24" i="5"/>
  <c r="BC26" i="5"/>
  <c r="BA25" i="5"/>
  <c r="BE24" i="5"/>
  <c r="AZ26" i="5"/>
  <c r="BD25" i="5"/>
  <c r="AL25" i="5"/>
  <c r="AP24" i="5"/>
  <c r="W26" i="5" l="1"/>
  <c r="AG25" i="5"/>
  <c r="BK30" i="8"/>
  <c r="BL29" i="8"/>
  <c r="BM29" i="8" s="1"/>
  <c r="DN30" i="8"/>
  <c r="DO29" i="8"/>
  <c r="DP29" i="8" s="1"/>
  <c r="X26" i="5"/>
  <c r="AH25" i="5"/>
  <c r="Y28" i="5"/>
  <c r="AI27" i="5"/>
  <c r="Z26" i="5"/>
  <c r="AJ25" i="5"/>
  <c r="BA26" i="5"/>
  <c r="BE25" i="5"/>
  <c r="AZ27" i="5"/>
  <c r="BD26" i="5"/>
  <c r="BC27" i="5"/>
  <c r="BB26" i="5"/>
  <c r="BF25" i="5"/>
  <c r="AL26" i="5"/>
  <c r="AP25" i="5"/>
  <c r="W27" i="5" l="1"/>
  <c r="AG26" i="5"/>
  <c r="DN31" i="8"/>
  <c r="DO30" i="8"/>
  <c r="DP30" i="8" s="1"/>
  <c r="BK31" i="8"/>
  <c r="BL30" i="8"/>
  <c r="BM30" i="8" s="1"/>
  <c r="Z27" i="5"/>
  <c r="AJ26" i="5"/>
  <c r="Y29" i="5"/>
  <c r="AI28" i="5"/>
  <c r="AY28" i="5"/>
  <c r="BC28" i="5" s="1"/>
  <c r="X27" i="5"/>
  <c r="AH26" i="5"/>
  <c r="BB27" i="5"/>
  <c r="BF26" i="5"/>
  <c r="AZ28" i="5"/>
  <c r="BD27" i="5"/>
  <c r="BA27" i="5"/>
  <c r="BE26" i="5"/>
  <c r="AL27" i="5"/>
  <c r="AP26" i="5"/>
  <c r="AY29" i="5" l="1"/>
  <c r="W28" i="5"/>
  <c r="AG27" i="5"/>
  <c r="BK32" i="8"/>
  <c r="BL31" i="8"/>
  <c r="BM31" i="8" s="1"/>
  <c r="DN32" i="8"/>
  <c r="DO31" i="8"/>
  <c r="DP31" i="8" s="1"/>
  <c r="Z28" i="5"/>
  <c r="AJ27" i="5"/>
  <c r="X28" i="5"/>
  <c r="AH27" i="5"/>
  <c r="Y30" i="5"/>
  <c r="AY30" i="5" s="1"/>
  <c r="AI29" i="5"/>
  <c r="AZ29" i="5"/>
  <c r="BD28" i="5"/>
  <c r="BA28" i="5"/>
  <c r="BE27" i="5"/>
  <c r="BC29" i="5"/>
  <c r="BB28" i="5"/>
  <c r="BF27" i="5"/>
  <c r="AL28" i="5"/>
  <c r="AP27" i="5"/>
  <c r="W29" i="5" l="1"/>
  <c r="AG28" i="5"/>
  <c r="DN33" i="8"/>
  <c r="DO32" i="8"/>
  <c r="DP32" i="8" s="1"/>
  <c r="BK33" i="8"/>
  <c r="BL32" i="8"/>
  <c r="BM32" i="8" s="1"/>
  <c r="Y31" i="5"/>
  <c r="AY31" i="5" s="1"/>
  <c r="AI30" i="5"/>
  <c r="X29" i="5"/>
  <c r="AH28" i="5"/>
  <c r="Z29" i="5"/>
  <c r="AJ28" i="5"/>
  <c r="BB29" i="5"/>
  <c r="BF28" i="5"/>
  <c r="BC30" i="5"/>
  <c r="BA29" i="5"/>
  <c r="BE28" i="5"/>
  <c r="AZ30" i="5"/>
  <c r="BD29" i="5"/>
  <c r="AL29" i="5"/>
  <c r="AP28" i="5"/>
  <c r="W30" i="5" l="1"/>
  <c r="AG29" i="5"/>
  <c r="BK34" i="8"/>
  <c r="BL33" i="8"/>
  <c r="BM33" i="8" s="1"/>
  <c r="DN34" i="8"/>
  <c r="DO33" i="8"/>
  <c r="DP33" i="8" s="1"/>
  <c r="X30" i="5"/>
  <c r="AH29" i="5"/>
  <c r="Z30" i="5"/>
  <c r="AJ29" i="5"/>
  <c r="Y32" i="5"/>
  <c r="AI31" i="5"/>
  <c r="BA30" i="5"/>
  <c r="BE29" i="5"/>
  <c r="AZ31" i="5"/>
  <c r="BD30" i="5"/>
  <c r="BC31" i="5"/>
  <c r="BB30" i="5"/>
  <c r="BF29" i="5"/>
  <c r="AL30" i="5"/>
  <c r="AP29" i="5"/>
  <c r="W31" i="5" l="1"/>
  <c r="AG30" i="5"/>
  <c r="DN35" i="8"/>
  <c r="DO34" i="8"/>
  <c r="DP34" i="8" s="1"/>
  <c r="BK35" i="8"/>
  <c r="BL34" i="8"/>
  <c r="BM34" i="8" s="1"/>
  <c r="Y33" i="5"/>
  <c r="AI32" i="5"/>
  <c r="Z31" i="5"/>
  <c r="AJ30" i="5"/>
  <c r="X31" i="5"/>
  <c r="AH30" i="5"/>
  <c r="AY32" i="5"/>
  <c r="BC32" i="5" s="1"/>
  <c r="BB31" i="5"/>
  <c r="BF30" i="5"/>
  <c r="AZ32" i="5"/>
  <c r="BD31" i="5"/>
  <c r="BA31" i="5"/>
  <c r="BE30" i="5"/>
  <c r="AL31" i="5"/>
  <c r="AP30" i="5"/>
  <c r="AY33" i="5" l="1"/>
  <c r="W32" i="5"/>
  <c r="AG31" i="5"/>
  <c r="BK36" i="8"/>
  <c r="BL35" i="8"/>
  <c r="BM35" i="8" s="1"/>
  <c r="DN36" i="8"/>
  <c r="DO35" i="8"/>
  <c r="DP35" i="8" s="1"/>
  <c r="X32" i="5"/>
  <c r="AH31" i="5"/>
  <c r="Z32" i="5"/>
  <c r="AJ31" i="5"/>
  <c r="Y34" i="5"/>
  <c r="AY34" i="5" s="1"/>
  <c r="AI33" i="5"/>
  <c r="BA32" i="5"/>
  <c r="BE31" i="5"/>
  <c r="AZ33" i="5"/>
  <c r="BD32" i="5"/>
  <c r="BB32" i="5"/>
  <c r="BF31" i="5"/>
  <c r="BC33" i="5"/>
  <c r="AL32" i="5"/>
  <c r="AP31" i="5"/>
  <c r="W33" i="5" l="1"/>
  <c r="AG32" i="5"/>
  <c r="DN37" i="8"/>
  <c r="DO36" i="8"/>
  <c r="DP36" i="8" s="1"/>
  <c r="BK37" i="8"/>
  <c r="BL36" i="8"/>
  <c r="BM36" i="8" s="1"/>
  <c r="Z33" i="5"/>
  <c r="AJ32" i="5"/>
  <c r="X33" i="5"/>
  <c r="AH32" i="5"/>
  <c r="Y35" i="5"/>
  <c r="AY35" i="5" s="1"/>
  <c r="AI34" i="5"/>
  <c r="AZ34" i="5"/>
  <c r="BD33" i="5"/>
  <c r="BC34" i="5"/>
  <c r="BB33" i="5"/>
  <c r="BF32" i="5"/>
  <c r="BA33" i="5"/>
  <c r="BE32" i="5"/>
  <c r="AL33" i="5"/>
  <c r="AP32" i="5"/>
  <c r="W34" i="5" l="1"/>
  <c r="AG33" i="5"/>
  <c r="BK38" i="8"/>
  <c r="BL37" i="8"/>
  <c r="BM37" i="8" s="1"/>
  <c r="DN38" i="8"/>
  <c r="DO37" i="8"/>
  <c r="DP37" i="8" s="1"/>
  <c r="Y36" i="5"/>
  <c r="AY36" i="5" s="1"/>
  <c r="AI35" i="5"/>
  <c r="X34" i="5"/>
  <c r="AH33" i="5"/>
  <c r="Z34" i="5"/>
  <c r="AJ33" i="5"/>
  <c r="BC35" i="5"/>
  <c r="BA34" i="5"/>
  <c r="BE33" i="5"/>
  <c r="BB34" i="5"/>
  <c r="BF33" i="5"/>
  <c r="AZ35" i="5"/>
  <c r="BD34" i="5"/>
  <c r="AL34" i="5"/>
  <c r="AP33" i="5"/>
  <c r="W35" i="5" l="1"/>
  <c r="AG34" i="5"/>
  <c r="DN39" i="8"/>
  <c r="DO38" i="8"/>
  <c r="DP38" i="8" s="1"/>
  <c r="BK39" i="8"/>
  <c r="BL38" i="8"/>
  <c r="BM38" i="8" s="1"/>
  <c r="Z35" i="5"/>
  <c r="AJ34" i="5"/>
  <c r="X35" i="5"/>
  <c r="AH34" i="5"/>
  <c r="Y37" i="5"/>
  <c r="AI36" i="5"/>
  <c r="BA35" i="5"/>
  <c r="BE34" i="5"/>
  <c r="AZ36" i="5"/>
  <c r="BD35" i="5"/>
  <c r="BB35" i="5"/>
  <c r="BF34" i="5"/>
  <c r="BC36" i="5"/>
  <c r="AL35" i="5"/>
  <c r="AP34" i="5"/>
  <c r="W36" i="5" l="1"/>
  <c r="AG35" i="5"/>
  <c r="BK40" i="8"/>
  <c r="BL39" i="8"/>
  <c r="BM39" i="8" s="1"/>
  <c r="DN40" i="8"/>
  <c r="DO39" i="8"/>
  <c r="DP39" i="8" s="1"/>
  <c r="Y38" i="5"/>
  <c r="AI37" i="5"/>
  <c r="X36" i="5"/>
  <c r="AH35" i="5"/>
  <c r="AY37" i="5"/>
  <c r="BC37" i="5" s="1"/>
  <c r="Z36" i="5"/>
  <c r="AJ35" i="5"/>
  <c r="BB36" i="5"/>
  <c r="BF35" i="5"/>
  <c r="AZ37" i="5"/>
  <c r="BD36" i="5"/>
  <c r="BA36" i="5"/>
  <c r="BE35" i="5"/>
  <c r="AL36" i="5"/>
  <c r="AP35" i="5"/>
  <c r="AY38" i="5" l="1"/>
  <c r="BC38" i="5" s="1"/>
  <c r="W37" i="5"/>
  <c r="AG36" i="5"/>
  <c r="DN41" i="8"/>
  <c r="DO40" i="8"/>
  <c r="DP40" i="8" s="1"/>
  <c r="BK41" i="8"/>
  <c r="BL40" i="8"/>
  <c r="BM40" i="8" s="1"/>
  <c r="Z37" i="5"/>
  <c r="AJ36" i="5"/>
  <c r="X37" i="5"/>
  <c r="AH36" i="5"/>
  <c r="Y39" i="5"/>
  <c r="AI38" i="5"/>
  <c r="AZ38" i="5"/>
  <c r="BD37" i="5"/>
  <c r="BA37" i="5"/>
  <c r="BE36" i="5"/>
  <c r="BB37" i="5"/>
  <c r="BF36" i="5"/>
  <c r="AL37" i="5"/>
  <c r="AP36" i="5"/>
  <c r="W38" i="5" l="1"/>
  <c r="AG37" i="5"/>
  <c r="BK42" i="8"/>
  <c r="BL41" i="8"/>
  <c r="BM41" i="8" s="1"/>
  <c r="DN42" i="8"/>
  <c r="DO41" i="8"/>
  <c r="DP41" i="8" s="1"/>
  <c r="Y40" i="5"/>
  <c r="AI39" i="5"/>
  <c r="X38" i="5"/>
  <c r="AH37" i="5"/>
  <c r="AY39" i="5"/>
  <c r="BC39" i="5" s="1"/>
  <c r="Z38" i="5"/>
  <c r="AJ37" i="5"/>
  <c r="BB38" i="5"/>
  <c r="BF37" i="5"/>
  <c r="BA38" i="5"/>
  <c r="BE37" i="5"/>
  <c r="AZ39" i="5"/>
  <c r="BD38" i="5"/>
  <c r="AL38" i="5"/>
  <c r="AP37" i="5"/>
  <c r="AY40" i="5" l="1"/>
  <c r="W39" i="5"/>
  <c r="AG38" i="5"/>
  <c r="DN43" i="8"/>
  <c r="DO42" i="8"/>
  <c r="DP42" i="8" s="1"/>
  <c r="BK43" i="8"/>
  <c r="BL42" i="8"/>
  <c r="BM42" i="8" s="1"/>
  <c r="Z39" i="5"/>
  <c r="AJ38" i="5"/>
  <c r="X39" i="5"/>
  <c r="AH38" i="5"/>
  <c r="Y41" i="5"/>
  <c r="AI40" i="5"/>
  <c r="AZ40" i="5"/>
  <c r="BD39" i="5"/>
  <c r="BA39" i="5"/>
  <c r="BE38" i="5"/>
  <c r="BB39" i="5"/>
  <c r="BF38" i="5"/>
  <c r="BC40" i="5"/>
  <c r="AL39" i="5"/>
  <c r="AP38" i="5"/>
  <c r="AG39" i="5" l="1"/>
  <c r="W40" i="5"/>
  <c r="BK44" i="8"/>
  <c r="BL43" i="8"/>
  <c r="BM43" i="8" s="1"/>
  <c r="DN44" i="8"/>
  <c r="DO43" i="8"/>
  <c r="DP43" i="8" s="1"/>
  <c r="Y42" i="5"/>
  <c r="AI41" i="5"/>
  <c r="X40" i="5"/>
  <c r="AH39" i="5"/>
  <c r="AY41" i="5"/>
  <c r="BC41" i="5" s="1"/>
  <c r="Z40" i="5"/>
  <c r="AJ39" i="5"/>
  <c r="BA40" i="5"/>
  <c r="BE39" i="5"/>
  <c r="BB40" i="5"/>
  <c r="BF39" i="5"/>
  <c r="AZ41" i="5"/>
  <c r="BD40" i="5"/>
  <c r="AL40" i="5"/>
  <c r="AP39" i="5"/>
  <c r="AY42" i="5" l="1"/>
  <c r="BC42" i="5" s="1"/>
  <c r="W41" i="5"/>
  <c r="AG40" i="5"/>
  <c r="DN45" i="8"/>
  <c r="DO44" i="8"/>
  <c r="DP44" i="8" s="1"/>
  <c r="BK45" i="8"/>
  <c r="BL44" i="8"/>
  <c r="BM44" i="8" s="1"/>
  <c r="Z41" i="5"/>
  <c r="AJ40" i="5"/>
  <c r="X41" i="5"/>
  <c r="AH40" i="5"/>
  <c r="Y43" i="5"/>
  <c r="AI42" i="5"/>
  <c r="AZ42" i="5"/>
  <c r="BD41" i="5"/>
  <c r="BB41" i="5"/>
  <c r="BF40" i="5"/>
  <c r="BA41" i="5"/>
  <c r="BE40" i="5"/>
  <c r="AL41" i="5"/>
  <c r="AP40" i="5"/>
  <c r="AY43" i="5" l="1"/>
  <c r="AG41" i="5"/>
  <c r="W42" i="5"/>
  <c r="BK46" i="8"/>
  <c r="BL45" i="8"/>
  <c r="BM45" i="8" s="1"/>
  <c r="DN46" i="8"/>
  <c r="DO45" i="8"/>
  <c r="DP45" i="8" s="1"/>
  <c r="X42" i="5"/>
  <c r="AH41" i="5"/>
  <c r="Y44" i="5"/>
  <c r="AY44" i="5" s="1"/>
  <c r="AI43" i="5"/>
  <c r="Z42" i="5"/>
  <c r="AJ41" i="5"/>
  <c r="BA42" i="5"/>
  <c r="BE41" i="5"/>
  <c r="BB42" i="5"/>
  <c r="BF41" i="5"/>
  <c r="BC43" i="5"/>
  <c r="AZ43" i="5"/>
  <c r="BD42" i="5"/>
  <c r="AL42" i="5"/>
  <c r="AP41" i="5"/>
  <c r="W43" i="5" l="1"/>
  <c r="AG42" i="5"/>
  <c r="DN47" i="8"/>
  <c r="DO46" i="8"/>
  <c r="DP46" i="8" s="1"/>
  <c r="BK47" i="8"/>
  <c r="BL46" i="8"/>
  <c r="BM46" i="8" s="1"/>
  <c r="Y45" i="5"/>
  <c r="AY45" i="5" s="1"/>
  <c r="AI44" i="5"/>
  <c r="Z43" i="5"/>
  <c r="AJ42" i="5"/>
  <c r="X43" i="5"/>
  <c r="AH42" i="5"/>
  <c r="AZ44" i="5"/>
  <c r="BD43" i="5"/>
  <c r="BC44" i="5"/>
  <c r="BB43" i="5"/>
  <c r="BF42" i="5"/>
  <c r="BA43" i="5"/>
  <c r="BE42" i="5"/>
  <c r="AL43" i="5"/>
  <c r="AP42" i="5"/>
  <c r="AG43" i="5" l="1"/>
  <c r="W44" i="5"/>
  <c r="BK48" i="8"/>
  <c r="BL47" i="8"/>
  <c r="BM47" i="8" s="1"/>
  <c r="DN48" i="8"/>
  <c r="DO47" i="8"/>
  <c r="DP47" i="8" s="1"/>
  <c r="Z44" i="5"/>
  <c r="AJ43" i="5"/>
  <c r="X44" i="5"/>
  <c r="AH43" i="5"/>
  <c r="Y46" i="5"/>
  <c r="AY46" i="5" s="1"/>
  <c r="AI45" i="5"/>
  <c r="BA44" i="5"/>
  <c r="BE43" i="5"/>
  <c r="BB44" i="5"/>
  <c r="BF43" i="5"/>
  <c r="BC45" i="5"/>
  <c r="AZ45" i="5"/>
  <c r="BD44" i="5"/>
  <c r="AL44" i="5"/>
  <c r="AP43" i="5"/>
  <c r="W45" i="5" l="1"/>
  <c r="AG44" i="5"/>
  <c r="DN49" i="8"/>
  <c r="DO48" i="8"/>
  <c r="DP48" i="8" s="1"/>
  <c r="BK49" i="8"/>
  <c r="BL48" i="8"/>
  <c r="BM48" i="8" s="1"/>
  <c r="Y47" i="5"/>
  <c r="AY47" i="5" s="1"/>
  <c r="AI46" i="5"/>
  <c r="X45" i="5"/>
  <c r="AH44" i="5"/>
  <c r="Z45" i="5"/>
  <c r="AJ44" i="5"/>
  <c r="BC46" i="5"/>
  <c r="AZ46" i="5"/>
  <c r="BD45" i="5"/>
  <c r="BB45" i="5"/>
  <c r="BF44" i="5"/>
  <c r="BA45" i="5"/>
  <c r="BE44" i="5"/>
  <c r="AL45" i="5"/>
  <c r="AP44" i="5"/>
  <c r="W46" i="5" l="1"/>
  <c r="AG45" i="5"/>
  <c r="BK50" i="8"/>
  <c r="BL49" i="8"/>
  <c r="BM49" i="8" s="1"/>
  <c r="DN50" i="8"/>
  <c r="DO49" i="8"/>
  <c r="DP49" i="8" s="1"/>
  <c r="X46" i="5"/>
  <c r="AH45" i="5"/>
  <c r="Z46" i="5"/>
  <c r="AJ45" i="5"/>
  <c r="Y48" i="5"/>
  <c r="AY48" i="5" s="1"/>
  <c r="AI47" i="5"/>
  <c r="BA46" i="5"/>
  <c r="BE45" i="5"/>
  <c r="BB46" i="5"/>
  <c r="BF45" i="5"/>
  <c r="AZ47" i="5"/>
  <c r="BD46" i="5"/>
  <c r="BC47" i="5"/>
  <c r="AL46" i="5"/>
  <c r="AP45" i="5"/>
  <c r="W47" i="5" l="1"/>
  <c r="AG46" i="5"/>
  <c r="DN51" i="8"/>
  <c r="DO50" i="8"/>
  <c r="DP50" i="8" s="1"/>
  <c r="BK51" i="8"/>
  <c r="BL50" i="8"/>
  <c r="BM50" i="8" s="1"/>
  <c r="Z47" i="5"/>
  <c r="AJ46" i="5"/>
  <c r="Y49" i="5"/>
  <c r="AY49" i="5" s="1"/>
  <c r="AI48" i="5"/>
  <c r="X47" i="5"/>
  <c r="AH46" i="5"/>
  <c r="BC48" i="5"/>
  <c r="AZ48" i="5"/>
  <c r="BD47" i="5"/>
  <c r="BB47" i="5"/>
  <c r="BF46" i="5"/>
  <c r="BA47" i="5"/>
  <c r="BE46" i="5"/>
  <c r="AL47" i="5"/>
  <c r="AP46" i="5"/>
  <c r="W48" i="5" l="1"/>
  <c r="AG47" i="5"/>
  <c r="BK52" i="8"/>
  <c r="BL51" i="8"/>
  <c r="BM51" i="8" s="1"/>
  <c r="DN52" i="8"/>
  <c r="DO51" i="8"/>
  <c r="DP51" i="8" s="1"/>
  <c r="Y50" i="5"/>
  <c r="AY50" i="5" s="1"/>
  <c r="AI49" i="5"/>
  <c r="X48" i="5"/>
  <c r="AH47" i="5"/>
  <c r="Z48" i="5"/>
  <c r="AJ47" i="5"/>
  <c r="AZ49" i="5"/>
  <c r="BD48" i="5"/>
  <c r="BB48" i="5"/>
  <c r="BF47" i="5"/>
  <c r="BA48" i="5"/>
  <c r="BE47" i="5"/>
  <c r="BC49" i="5"/>
  <c r="AL48" i="5"/>
  <c r="AP47" i="5"/>
  <c r="AG48" i="5" l="1"/>
  <c r="W49" i="5"/>
  <c r="DN53" i="8"/>
  <c r="DO52" i="8"/>
  <c r="DP52" i="8" s="1"/>
  <c r="BK53" i="8"/>
  <c r="BL52" i="8"/>
  <c r="BM52" i="8" s="1"/>
  <c r="X49" i="5"/>
  <c r="AH48" i="5"/>
  <c r="Y51" i="5"/>
  <c r="AY51" i="5" s="1"/>
  <c r="AI50" i="5"/>
  <c r="Z49" i="5"/>
  <c r="AJ48" i="5"/>
  <c r="BC50" i="5"/>
  <c r="BB49" i="5"/>
  <c r="BF48" i="5"/>
  <c r="BA49" i="5"/>
  <c r="BE48" i="5"/>
  <c r="AZ50" i="5"/>
  <c r="BD49" i="5"/>
  <c r="AL49" i="5"/>
  <c r="AP48" i="5"/>
  <c r="AG49" i="5" l="1"/>
  <c r="W50" i="5"/>
  <c r="BK54" i="8"/>
  <c r="BL53" i="8"/>
  <c r="BM53" i="8" s="1"/>
  <c r="DN54" i="8"/>
  <c r="DO53" i="8"/>
  <c r="DP53" i="8" s="1"/>
  <c r="Z50" i="5"/>
  <c r="AJ49" i="5"/>
  <c r="Y52" i="5"/>
  <c r="AY52" i="5" s="1"/>
  <c r="AI51" i="5"/>
  <c r="X50" i="5"/>
  <c r="AH49" i="5"/>
  <c r="BA50" i="5"/>
  <c r="BE49" i="5"/>
  <c r="AZ51" i="5"/>
  <c r="BD50" i="5"/>
  <c r="BB50" i="5"/>
  <c r="BF49" i="5"/>
  <c r="BC51" i="5"/>
  <c r="AL50" i="5"/>
  <c r="AP49" i="5"/>
  <c r="AG50" i="5" l="1"/>
  <c r="W51" i="5"/>
  <c r="BK55" i="8"/>
  <c r="BL54" i="8"/>
  <c r="BM54" i="8" s="1"/>
  <c r="DN55" i="8"/>
  <c r="DO54" i="8"/>
  <c r="DP54" i="8" s="1"/>
  <c r="Z51" i="5"/>
  <c r="AJ50" i="5"/>
  <c r="Y53" i="5"/>
  <c r="AY53" i="5" s="1"/>
  <c r="AI52" i="5"/>
  <c r="X51" i="5"/>
  <c r="AH50" i="5"/>
  <c r="BC52" i="5"/>
  <c r="AZ52" i="5"/>
  <c r="BD51" i="5"/>
  <c r="BB51" i="5"/>
  <c r="BF50" i="5"/>
  <c r="BA51" i="5"/>
  <c r="BE50" i="5"/>
  <c r="AL51" i="5"/>
  <c r="AP50" i="5"/>
  <c r="W52" i="5" l="1"/>
  <c r="AG51" i="5"/>
  <c r="BK56" i="8"/>
  <c r="BL55" i="8"/>
  <c r="BM55" i="8" s="1"/>
  <c r="DN56" i="8"/>
  <c r="DO55" i="8"/>
  <c r="DP55" i="8" s="1"/>
  <c r="X52" i="5"/>
  <c r="AH51" i="5"/>
  <c r="Y54" i="5"/>
  <c r="AY54" i="5" s="1"/>
  <c r="AI53" i="5"/>
  <c r="Z52" i="5"/>
  <c r="AJ51" i="5"/>
  <c r="BC53" i="5"/>
  <c r="AZ53" i="5"/>
  <c r="BD52" i="5"/>
  <c r="BA52" i="5"/>
  <c r="BE51" i="5"/>
  <c r="BB52" i="5"/>
  <c r="BF51" i="5"/>
  <c r="AL52" i="5"/>
  <c r="AP51" i="5"/>
  <c r="W53" i="5" l="1"/>
  <c r="AG52" i="5"/>
  <c r="BK57" i="8"/>
  <c r="BL56" i="8"/>
  <c r="BM56" i="8" s="1"/>
  <c r="DN57" i="8"/>
  <c r="DO56" i="8"/>
  <c r="DP56" i="8" s="1"/>
  <c r="Y55" i="5"/>
  <c r="AY55" i="5" s="1"/>
  <c r="AI54" i="5"/>
  <c r="Z53" i="5"/>
  <c r="AJ52" i="5"/>
  <c r="X53" i="5"/>
  <c r="AH52" i="5"/>
  <c r="BB53" i="5"/>
  <c r="BF52" i="5"/>
  <c r="BA53" i="5"/>
  <c r="BE52" i="5"/>
  <c r="AZ54" i="5"/>
  <c r="BD53" i="5"/>
  <c r="BC54" i="5"/>
  <c r="AL53" i="5"/>
  <c r="AP52" i="5"/>
  <c r="W54" i="5" l="1"/>
  <c r="AG53" i="5"/>
  <c r="BK58" i="8"/>
  <c r="BL57" i="8"/>
  <c r="BM57" i="8" s="1"/>
  <c r="DN58" i="8"/>
  <c r="DO57" i="8"/>
  <c r="DP57" i="8" s="1"/>
  <c r="Z54" i="5"/>
  <c r="AJ53" i="5"/>
  <c r="Y56" i="5"/>
  <c r="AI55" i="5"/>
  <c r="X54" i="5"/>
  <c r="AH53" i="5"/>
  <c r="BC55" i="5"/>
  <c r="AZ55" i="5"/>
  <c r="BD54" i="5"/>
  <c r="BA54" i="5"/>
  <c r="BE53" i="5"/>
  <c r="BB54" i="5"/>
  <c r="BF53" i="5"/>
  <c r="AL54" i="5"/>
  <c r="AP53" i="5"/>
  <c r="W55" i="5" l="1"/>
  <c r="AG54" i="5"/>
  <c r="BK59" i="8"/>
  <c r="BL58" i="8"/>
  <c r="BM58" i="8" s="1"/>
  <c r="DN59" i="8"/>
  <c r="DO58" i="8"/>
  <c r="DP58" i="8" s="1"/>
  <c r="Y57" i="5"/>
  <c r="AI56" i="5"/>
  <c r="X55" i="5"/>
  <c r="AH54" i="5"/>
  <c r="AY56" i="5"/>
  <c r="BC56" i="5" s="1"/>
  <c r="Z55" i="5"/>
  <c r="AJ54" i="5"/>
  <c r="BB55" i="5"/>
  <c r="BF54" i="5"/>
  <c r="BA55" i="5"/>
  <c r="BE54" i="5"/>
  <c r="AZ56" i="5"/>
  <c r="BD55" i="5"/>
  <c r="AL55" i="5"/>
  <c r="AP54" i="5"/>
  <c r="AY57" i="5" l="1"/>
  <c r="W56" i="5"/>
  <c r="AG55" i="5"/>
  <c r="BK60" i="8"/>
  <c r="BL59" i="8"/>
  <c r="BM59" i="8" s="1"/>
  <c r="DN60" i="8"/>
  <c r="DO59" i="8"/>
  <c r="DP59" i="8" s="1"/>
  <c r="Z56" i="5"/>
  <c r="AJ55" i="5"/>
  <c r="X56" i="5"/>
  <c r="AH55" i="5"/>
  <c r="Y58" i="5"/>
  <c r="AY58" i="5" s="1"/>
  <c r="AI57" i="5"/>
  <c r="BC57" i="5"/>
  <c r="AZ57" i="5"/>
  <c r="BD56" i="5"/>
  <c r="BA56" i="5"/>
  <c r="BE55" i="5"/>
  <c r="BB56" i="5"/>
  <c r="BF55" i="5"/>
  <c r="AL56" i="5"/>
  <c r="AP55" i="5"/>
  <c r="W57" i="5" l="1"/>
  <c r="AG56" i="5"/>
  <c r="BK61" i="8"/>
  <c r="BL60" i="8"/>
  <c r="BM60" i="8" s="1"/>
  <c r="DN61" i="8"/>
  <c r="DO60" i="8"/>
  <c r="DP60" i="8" s="1"/>
  <c r="Y59" i="5"/>
  <c r="AY59" i="5" s="1"/>
  <c r="AI58" i="5"/>
  <c r="X57" i="5"/>
  <c r="AH56" i="5"/>
  <c r="Z57" i="5"/>
  <c r="AJ56" i="5"/>
  <c r="BB57" i="5"/>
  <c r="BF56" i="5"/>
  <c r="BA57" i="5"/>
  <c r="BE56" i="5"/>
  <c r="AZ58" i="5"/>
  <c r="BD57" i="5"/>
  <c r="BC58" i="5"/>
  <c r="AL57" i="5"/>
  <c r="AP56" i="5"/>
  <c r="W58" i="5" l="1"/>
  <c r="AG57" i="5"/>
  <c r="BK62" i="8"/>
  <c r="BL61" i="8"/>
  <c r="BM61" i="8" s="1"/>
  <c r="DN62" i="8"/>
  <c r="DO61" i="8"/>
  <c r="DP61" i="8" s="1"/>
  <c r="X58" i="5"/>
  <c r="AH57" i="5"/>
  <c r="Z58" i="5"/>
  <c r="AJ57" i="5"/>
  <c r="Y60" i="5"/>
  <c r="AY60" i="5" s="1"/>
  <c r="AI59" i="5"/>
  <c r="AZ59" i="5"/>
  <c r="BD58" i="5"/>
  <c r="BC59" i="5"/>
  <c r="BA58" i="5"/>
  <c r="BE57" i="5"/>
  <c r="BB58" i="5"/>
  <c r="BF57" i="5"/>
  <c r="AL58" i="5"/>
  <c r="AP57" i="5"/>
  <c r="W59" i="5" l="1"/>
  <c r="AG58" i="5"/>
  <c r="BK63" i="8"/>
  <c r="BL62" i="8"/>
  <c r="BM62" i="8" s="1"/>
  <c r="DN63" i="8"/>
  <c r="DO62" i="8"/>
  <c r="DP62" i="8" s="1"/>
  <c r="Y61" i="5"/>
  <c r="AY61" i="5" s="1"/>
  <c r="AI60" i="5"/>
  <c r="Z59" i="5"/>
  <c r="AJ58" i="5"/>
  <c r="X59" i="5"/>
  <c r="AH58" i="5"/>
  <c r="BB59" i="5"/>
  <c r="BF58" i="5"/>
  <c r="BA59" i="5"/>
  <c r="BE58" i="5"/>
  <c r="BC60" i="5"/>
  <c r="AZ60" i="5"/>
  <c r="BD59" i="5"/>
  <c r="AL59" i="5"/>
  <c r="AP58" i="5"/>
  <c r="AG59" i="5" l="1"/>
  <c r="W60" i="5"/>
  <c r="BK64" i="8"/>
  <c r="BL63" i="8"/>
  <c r="BM63" i="8" s="1"/>
  <c r="DN64" i="8"/>
  <c r="DO63" i="8"/>
  <c r="DP63" i="8" s="1"/>
  <c r="Z60" i="5"/>
  <c r="AJ59" i="5"/>
  <c r="X60" i="5"/>
  <c r="AH59" i="5"/>
  <c r="Y62" i="5"/>
  <c r="AY62" i="5" s="1"/>
  <c r="AI61" i="5"/>
  <c r="AZ61" i="5"/>
  <c r="BD60" i="5"/>
  <c r="BC61" i="5"/>
  <c r="BA60" i="5"/>
  <c r="BE59" i="5"/>
  <c r="BB60" i="5"/>
  <c r="BF59" i="5"/>
  <c r="AL60" i="5"/>
  <c r="AP59" i="5"/>
  <c r="AG60" i="5" l="1"/>
  <c r="W61" i="5"/>
  <c r="BK65" i="8"/>
  <c r="BL64" i="8"/>
  <c r="BM64" i="8" s="1"/>
  <c r="DN65" i="8"/>
  <c r="DO64" i="8"/>
  <c r="DP64" i="8" s="1"/>
  <c r="X61" i="5"/>
  <c r="AH60" i="5"/>
  <c r="Y63" i="5"/>
  <c r="AY63" i="5" s="1"/>
  <c r="AI62" i="5"/>
  <c r="Z61" i="5"/>
  <c r="AJ60" i="5"/>
  <c r="BB61" i="5"/>
  <c r="BF60" i="5"/>
  <c r="BC62" i="5"/>
  <c r="BA61" i="5"/>
  <c r="BE60" i="5"/>
  <c r="AZ62" i="5"/>
  <c r="BD61" i="5"/>
  <c r="AL61" i="5"/>
  <c r="AP60" i="5"/>
  <c r="AG61" i="5" l="1"/>
  <c r="W62" i="5"/>
  <c r="BK66" i="8"/>
  <c r="BL65" i="8"/>
  <c r="BM65" i="8" s="1"/>
  <c r="DN66" i="8"/>
  <c r="DO65" i="8"/>
  <c r="DP65" i="8" s="1"/>
  <c r="Y64" i="5"/>
  <c r="AY64" i="5" s="1"/>
  <c r="AI63" i="5"/>
  <c r="Z62" i="5"/>
  <c r="AJ61" i="5"/>
  <c r="X62" i="5"/>
  <c r="AH61" i="5"/>
  <c r="AZ63" i="5"/>
  <c r="BD62" i="5"/>
  <c r="BA62" i="5"/>
  <c r="BE61" i="5"/>
  <c r="BC63" i="5"/>
  <c r="BB62" i="5"/>
  <c r="BF61" i="5"/>
  <c r="AL62" i="5"/>
  <c r="AP61" i="5"/>
  <c r="W63" i="5" l="1"/>
  <c r="AG62" i="5"/>
  <c r="BK67" i="8"/>
  <c r="BL66" i="8"/>
  <c r="BM66" i="8" s="1"/>
  <c r="DN67" i="8"/>
  <c r="DO66" i="8"/>
  <c r="DP66" i="8" s="1"/>
  <c r="X63" i="5"/>
  <c r="AH62" i="5"/>
  <c r="Z63" i="5"/>
  <c r="AJ62" i="5"/>
  <c r="Y65" i="5"/>
  <c r="AY65" i="5" s="1"/>
  <c r="AI64" i="5"/>
  <c r="BC64" i="5"/>
  <c r="BB63" i="5"/>
  <c r="BF62" i="5"/>
  <c r="BA63" i="5"/>
  <c r="BE62" i="5"/>
  <c r="AZ64" i="5"/>
  <c r="BD63" i="5"/>
  <c r="AL63" i="5"/>
  <c r="AP62" i="5"/>
  <c r="W64" i="5" l="1"/>
  <c r="AG63" i="5"/>
  <c r="BK68" i="8"/>
  <c r="BL67" i="8"/>
  <c r="BM67" i="8" s="1"/>
  <c r="DN68" i="8"/>
  <c r="DO67" i="8"/>
  <c r="DP67" i="8" s="1"/>
  <c r="Y66" i="5"/>
  <c r="AI65" i="5"/>
  <c r="Z64" i="5"/>
  <c r="AJ63" i="5"/>
  <c r="X64" i="5"/>
  <c r="AH63" i="5"/>
  <c r="BA64" i="5"/>
  <c r="BE63" i="5"/>
  <c r="AZ65" i="5"/>
  <c r="BD64" i="5"/>
  <c r="BB64" i="5"/>
  <c r="BF63" i="5"/>
  <c r="AY66" i="5"/>
  <c r="BC65" i="5"/>
  <c r="AL64" i="5"/>
  <c r="AP63" i="5"/>
  <c r="W65" i="5" l="1"/>
  <c r="AG64" i="5"/>
  <c r="BK69" i="8"/>
  <c r="BL68" i="8"/>
  <c r="BM68" i="8" s="1"/>
  <c r="DN69" i="8"/>
  <c r="DO68" i="8"/>
  <c r="DP68" i="8" s="1"/>
  <c r="Z65" i="5"/>
  <c r="AJ64" i="5"/>
  <c r="X65" i="5"/>
  <c r="AH64" i="5"/>
  <c r="Y67" i="5"/>
  <c r="AY67" i="5" s="1"/>
  <c r="AI66" i="5"/>
  <c r="BB65" i="5"/>
  <c r="BF64" i="5"/>
  <c r="BC66" i="5"/>
  <c r="AZ66" i="5"/>
  <c r="BD65" i="5"/>
  <c r="BA65" i="5"/>
  <c r="BE64" i="5"/>
  <c r="AL65" i="5"/>
  <c r="AP64" i="5"/>
  <c r="AG65" i="5" l="1"/>
  <c r="W66" i="5"/>
  <c r="BK70" i="8"/>
  <c r="BL69" i="8"/>
  <c r="BM69" i="8" s="1"/>
  <c r="DN70" i="8"/>
  <c r="DO69" i="8"/>
  <c r="DP69" i="8" s="1"/>
  <c r="X66" i="5"/>
  <c r="AH65" i="5"/>
  <c r="Y68" i="5"/>
  <c r="AY68" i="5" s="1"/>
  <c r="AI67" i="5"/>
  <c r="Z66" i="5"/>
  <c r="AJ65" i="5"/>
  <c r="BA66" i="5"/>
  <c r="BE65" i="5"/>
  <c r="BC67" i="5"/>
  <c r="AZ67" i="5"/>
  <c r="BD66" i="5"/>
  <c r="BB66" i="5"/>
  <c r="BF65" i="5"/>
  <c r="AL66" i="5"/>
  <c r="AP65" i="5"/>
  <c r="AG66" i="5" l="1"/>
  <c r="W67" i="5"/>
  <c r="BK71" i="8"/>
  <c r="BL70" i="8"/>
  <c r="BM70" i="8" s="1"/>
  <c r="DN71" i="8"/>
  <c r="DO70" i="8"/>
  <c r="DP70" i="8" s="1"/>
  <c r="Z67" i="5"/>
  <c r="AJ66" i="5"/>
  <c r="Y69" i="5"/>
  <c r="AY69" i="5" s="1"/>
  <c r="AI68" i="5"/>
  <c r="X67" i="5"/>
  <c r="AH66" i="5"/>
  <c r="BB67" i="5"/>
  <c r="BF66" i="5"/>
  <c r="AZ68" i="5"/>
  <c r="BD67" i="5"/>
  <c r="BC68" i="5"/>
  <c r="BA67" i="5"/>
  <c r="BE66" i="5"/>
  <c r="AL67" i="5"/>
  <c r="AP66" i="5"/>
  <c r="W68" i="5" l="1"/>
  <c r="AG67" i="5"/>
  <c r="BK72" i="8"/>
  <c r="BL71" i="8"/>
  <c r="BM71" i="8" s="1"/>
  <c r="DN72" i="8"/>
  <c r="DO71" i="8"/>
  <c r="DP71" i="8" s="1"/>
  <c r="X68" i="5"/>
  <c r="AH67" i="5"/>
  <c r="Y70" i="5"/>
  <c r="AY70" i="5" s="1"/>
  <c r="AI69" i="5"/>
  <c r="Z68" i="5"/>
  <c r="AJ67" i="5"/>
  <c r="AZ69" i="5"/>
  <c r="BD68" i="5"/>
  <c r="BC69" i="5"/>
  <c r="BA68" i="5"/>
  <c r="BE67" i="5"/>
  <c r="BB68" i="5"/>
  <c r="BF67" i="5"/>
  <c r="AL68" i="5"/>
  <c r="AP67" i="5"/>
  <c r="W69" i="5" l="1"/>
  <c r="AG68" i="5"/>
  <c r="BK73" i="8"/>
  <c r="BL72" i="8"/>
  <c r="BM72" i="8" s="1"/>
  <c r="DN73" i="8"/>
  <c r="DO72" i="8"/>
  <c r="DP72" i="8" s="1"/>
  <c r="Z69" i="5"/>
  <c r="AJ68" i="5"/>
  <c r="Y71" i="5"/>
  <c r="AI70" i="5"/>
  <c r="X69" i="5"/>
  <c r="AH68" i="5"/>
  <c r="BA69" i="5"/>
  <c r="BE68" i="5"/>
  <c r="BB69" i="5"/>
  <c r="BF68" i="5"/>
  <c r="BC70" i="5"/>
  <c r="AZ70" i="5"/>
  <c r="BD69" i="5"/>
  <c r="AL69" i="5"/>
  <c r="AP68" i="5"/>
  <c r="AG69" i="5" l="1"/>
  <c r="W70" i="5"/>
  <c r="BK74" i="8"/>
  <c r="BL73" i="8"/>
  <c r="BM73" i="8" s="1"/>
  <c r="DN74" i="8"/>
  <c r="DO73" i="8"/>
  <c r="DP73" i="8" s="1"/>
  <c r="Y72" i="5"/>
  <c r="AI71" i="5"/>
  <c r="X70" i="5"/>
  <c r="AH69" i="5"/>
  <c r="AY71" i="5"/>
  <c r="BC71" i="5" s="1"/>
  <c r="Z70" i="5"/>
  <c r="AJ69" i="5"/>
  <c r="AZ71" i="5"/>
  <c r="BD70" i="5"/>
  <c r="BB70" i="5"/>
  <c r="BF69" i="5"/>
  <c r="BA70" i="5"/>
  <c r="BE69" i="5"/>
  <c r="AL70" i="5"/>
  <c r="AP69" i="5"/>
  <c r="AY72" i="5" l="1"/>
  <c r="AG70" i="5"/>
  <c r="W71" i="5"/>
  <c r="DN75" i="8"/>
  <c r="DO74" i="8"/>
  <c r="DP74" i="8" s="1"/>
  <c r="BK75" i="8"/>
  <c r="BL74" i="8"/>
  <c r="BM74" i="8" s="1"/>
  <c r="Z71" i="5"/>
  <c r="AJ70" i="5"/>
  <c r="X71" i="5"/>
  <c r="AH70" i="5"/>
  <c r="Y73" i="5"/>
  <c r="AY73" i="5" s="1"/>
  <c r="AI72" i="5"/>
  <c r="BA71" i="5"/>
  <c r="BE70" i="5"/>
  <c r="BB71" i="5"/>
  <c r="BF70" i="5"/>
  <c r="AZ72" i="5"/>
  <c r="BD71" i="5"/>
  <c r="BC72" i="5"/>
  <c r="AL71" i="5"/>
  <c r="AP70" i="5"/>
  <c r="W72" i="5" l="1"/>
  <c r="AG71" i="5"/>
  <c r="BK76" i="8"/>
  <c r="BL75" i="8"/>
  <c r="BM75" i="8" s="1"/>
  <c r="DN76" i="8"/>
  <c r="DO75" i="8"/>
  <c r="DP75" i="8" s="1"/>
  <c r="X72" i="5"/>
  <c r="AH71" i="5"/>
  <c r="Y74" i="5"/>
  <c r="AY74" i="5" s="1"/>
  <c r="AI73" i="5"/>
  <c r="Z72" i="5"/>
  <c r="AJ71" i="5"/>
  <c r="BB72" i="5"/>
  <c r="BF71" i="5"/>
  <c r="BC73" i="5"/>
  <c r="AZ73" i="5"/>
  <c r="BD72" i="5"/>
  <c r="BA72" i="5"/>
  <c r="BE71" i="5"/>
  <c r="AL72" i="5"/>
  <c r="AP71" i="5"/>
  <c r="W73" i="5" l="1"/>
  <c r="AG72" i="5"/>
  <c r="BK77" i="8"/>
  <c r="BL76" i="8"/>
  <c r="BM76" i="8" s="1"/>
  <c r="DN77" i="8"/>
  <c r="DO76" i="8"/>
  <c r="DP76" i="8" s="1"/>
  <c r="Z73" i="5"/>
  <c r="AJ72" i="5"/>
  <c r="Y75" i="5"/>
  <c r="AY75" i="5" s="1"/>
  <c r="AI74" i="5"/>
  <c r="X73" i="5"/>
  <c r="AH72" i="5"/>
  <c r="BA73" i="5"/>
  <c r="BE72" i="5"/>
  <c r="AZ74" i="5"/>
  <c r="BD73" i="5"/>
  <c r="BC74" i="5"/>
  <c r="BB73" i="5"/>
  <c r="BF72" i="5"/>
  <c r="AL73" i="5"/>
  <c r="AP72" i="5"/>
  <c r="W74" i="5" l="1"/>
  <c r="AG73" i="5"/>
  <c r="BK78" i="8"/>
  <c r="BL77" i="8"/>
  <c r="BM77" i="8" s="1"/>
  <c r="DN78" i="8"/>
  <c r="DO77" i="8"/>
  <c r="DP77" i="8" s="1"/>
  <c r="Y76" i="5"/>
  <c r="AI75" i="5"/>
  <c r="X74" i="5"/>
  <c r="AH73" i="5"/>
  <c r="Z74" i="5"/>
  <c r="AJ73" i="5"/>
  <c r="BB74" i="5"/>
  <c r="BF73" i="5"/>
  <c r="BC75" i="5"/>
  <c r="AZ75" i="5"/>
  <c r="BD74" i="5"/>
  <c r="BA74" i="5"/>
  <c r="BE73" i="5"/>
  <c r="AL74" i="5"/>
  <c r="AP73" i="5"/>
  <c r="W75" i="5" l="1"/>
  <c r="AG74" i="5"/>
  <c r="BK79" i="8"/>
  <c r="BL78" i="8"/>
  <c r="BM78" i="8" s="1"/>
  <c r="DN79" i="8"/>
  <c r="DO78" i="8"/>
  <c r="DP78" i="8" s="1"/>
  <c r="Y77" i="5"/>
  <c r="AI76" i="5"/>
  <c r="X75" i="5"/>
  <c r="AH74" i="5"/>
  <c r="AY76" i="5"/>
  <c r="AY77" i="5" s="1"/>
  <c r="Z75" i="5"/>
  <c r="AJ74" i="5"/>
  <c r="BA75" i="5"/>
  <c r="BE74" i="5"/>
  <c r="AZ76" i="5"/>
  <c r="BD75" i="5"/>
  <c r="BB75" i="5"/>
  <c r="BF74" i="5"/>
  <c r="AL75" i="5"/>
  <c r="AP74" i="5"/>
  <c r="BC76" i="5" l="1"/>
  <c r="W76" i="5"/>
  <c r="AG75" i="5"/>
  <c r="BK80" i="8"/>
  <c r="BL79" i="8"/>
  <c r="BM79" i="8" s="1"/>
  <c r="DN80" i="8"/>
  <c r="DO79" i="8"/>
  <c r="DP79" i="8" s="1"/>
  <c r="X76" i="5"/>
  <c r="AH75" i="5"/>
  <c r="Z76" i="5"/>
  <c r="AJ75" i="5"/>
  <c r="Y78" i="5"/>
  <c r="AY78" i="5" s="1"/>
  <c r="AI77" i="5"/>
  <c r="BB76" i="5"/>
  <c r="BF75" i="5"/>
  <c r="BC77" i="5"/>
  <c r="AZ77" i="5"/>
  <c r="BD76" i="5"/>
  <c r="BA76" i="5"/>
  <c r="BE75" i="5"/>
  <c r="AL76" i="5"/>
  <c r="AP75" i="5"/>
  <c r="AG76" i="5" l="1"/>
  <c r="W77" i="5"/>
  <c r="BK81" i="8"/>
  <c r="BL80" i="8"/>
  <c r="BM80" i="8" s="1"/>
  <c r="DN81" i="8"/>
  <c r="DO80" i="8"/>
  <c r="DP80" i="8" s="1"/>
  <c r="Y79" i="5"/>
  <c r="AY79" i="5" s="1"/>
  <c r="AI78" i="5"/>
  <c r="Z77" i="5"/>
  <c r="AJ76" i="5"/>
  <c r="X77" i="5"/>
  <c r="AH76" i="5"/>
  <c r="AZ78" i="5"/>
  <c r="BD77" i="5"/>
  <c r="BA77" i="5"/>
  <c r="BE76" i="5"/>
  <c r="BC78" i="5"/>
  <c r="BB77" i="5"/>
  <c r="BF76" i="5"/>
  <c r="AL77" i="5"/>
  <c r="AP76" i="5"/>
  <c r="W78" i="5" l="1"/>
  <c r="AG77" i="5"/>
  <c r="BK82" i="8"/>
  <c r="BL81" i="8"/>
  <c r="BM81" i="8" s="1"/>
  <c r="DN82" i="8"/>
  <c r="DO81" i="8"/>
  <c r="DP81" i="8" s="1"/>
  <c r="X78" i="5"/>
  <c r="AH77" i="5"/>
  <c r="Z78" i="5"/>
  <c r="AJ77" i="5"/>
  <c r="Y80" i="5"/>
  <c r="AY80" i="5" s="1"/>
  <c r="AI79" i="5"/>
  <c r="BB78" i="5"/>
  <c r="BF77" i="5"/>
  <c r="BC79" i="5"/>
  <c r="BA78" i="5"/>
  <c r="BE77" i="5"/>
  <c r="AZ79" i="5"/>
  <c r="BD78" i="5"/>
  <c r="AL78" i="5"/>
  <c r="AP77" i="5"/>
  <c r="W79" i="5" l="1"/>
  <c r="AG78" i="5"/>
  <c r="BK83" i="8"/>
  <c r="BL82" i="8"/>
  <c r="BM82" i="8" s="1"/>
  <c r="DN83" i="8"/>
  <c r="DO82" i="8"/>
  <c r="DP82" i="8" s="1"/>
  <c r="Y81" i="5"/>
  <c r="AY81" i="5" s="1"/>
  <c r="AI80" i="5"/>
  <c r="Z79" i="5"/>
  <c r="AJ78" i="5"/>
  <c r="X79" i="5"/>
  <c r="AH78" i="5"/>
  <c r="AZ80" i="5"/>
  <c r="BD79" i="5"/>
  <c r="BA79" i="5"/>
  <c r="BE78" i="5"/>
  <c r="BC80" i="5"/>
  <c r="BB79" i="5"/>
  <c r="BF78" i="5"/>
  <c r="AL79" i="5"/>
  <c r="AP78" i="5"/>
  <c r="W80" i="5" l="1"/>
  <c r="AG79" i="5"/>
  <c r="BK84" i="8"/>
  <c r="BL83" i="8"/>
  <c r="BM83" i="8" s="1"/>
  <c r="DN84" i="8"/>
  <c r="DO83" i="8"/>
  <c r="DP83" i="8" s="1"/>
  <c r="X80" i="5"/>
  <c r="AH79" i="5"/>
  <c r="Z80" i="5"/>
  <c r="AJ79" i="5"/>
  <c r="Y82" i="5"/>
  <c r="AI81" i="5"/>
  <c r="BC81" i="5"/>
  <c r="BB80" i="5"/>
  <c r="BF79" i="5"/>
  <c r="BA80" i="5"/>
  <c r="BE79" i="5"/>
  <c r="AZ81" i="5"/>
  <c r="BD80" i="5"/>
  <c r="AL80" i="5"/>
  <c r="AP79" i="5"/>
  <c r="W81" i="5" l="1"/>
  <c r="AG80" i="5"/>
  <c r="BK85" i="8"/>
  <c r="BL84" i="8"/>
  <c r="BM84" i="8" s="1"/>
  <c r="DN85" i="8"/>
  <c r="DO84" i="8"/>
  <c r="DP84" i="8" s="1"/>
  <c r="Y83" i="5"/>
  <c r="AI82" i="5"/>
  <c r="AY82" i="5"/>
  <c r="BC82" i="5" s="1"/>
  <c r="Z81" i="5"/>
  <c r="AJ80" i="5"/>
  <c r="X81" i="5"/>
  <c r="AH80" i="5"/>
  <c r="BB81" i="5"/>
  <c r="BF80" i="5"/>
  <c r="AZ82" i="5"/>
  <c r="BD81" i="5"/>
  <c r="BA81" i="5"/>
  <c r="BE80" i="5"/>
  <c r="AL81" i="5"/>
  <c r="AP80" i="5"/>
  <c r="AY83" i="5" l="1"/>
  <c r="BC83" i="5" s="1"/>
  <c r="W82" i="5"/>
  <c r="AG81" i="5"/>
  <c r="BK86" i="8"/>
  <c r="BL85" i="8"/>
  <c r="BM85" i="8" s="1"/>
  <c r="DN86" i="8"/>
  <c r="DO85" i="8"/>
  <c r="DP85" i="8" s="1"/>
  <c r="X82" i="5"/>
  <c r="AH81" i="5"/>
  <c r="Z82" i="5"/>
  <c r="AJ81" i="5"/>
  <c r="Y84" i="5"/>
  <c r="AI83" i="5"/>
  <c r="BA82" i="5"/>
  <c r="BE81" i="5"/>
  <c r="AZ83" i="5"/>
  <c r="BD82" i="5"/>
  <c r="BB82" i="5"/>
  <c r="BF81" i="5"/>
  <c r="AL82" i="5"/>
  <c r="AP81" i="5"/>
  <c r="AY84" i="5" l="1"/>
  <c r="W83" i="5"/>
  <c r="AG82" i="5"/>
  <c r="BK87" i="8"/>
  <c r="BL86" i="8"/>
  <c r="BM86" i="8" s="1"/>
  <c r="DN87" i="8"/>
  <c r="DO86" i="8"/>
  <c r="DP86" i="8" s="1"/>
  <c r="Y85" i="5"/>
  <c r="AY85" i="5" s="1"/>
  <c r="AI84" i="5"/>
  <c r="Z83" i="5"/>
  <c r="AJ82" i="5"/>
  <c r="X83" i="5"/>
  <c r="AH82" i="5"/>
  <c r="BB83" i="5"/>
  <c r="BF82" i="5"/>
  <c r="AZ84" i="5"/>
  <c r="BD83" i="5"/>
  <c r="BC84" i="5"/>
  <c r="BA83" i="5"/>
  <c r="BE82" i="5"/>
  <c r="AL83" i="5"/>
  <c r="AP82" i="5"/>
  <c r="W84" i="5" l="1"/>
  <c r="AG83" i="5"/>
  <c r="BK88" i="8"/>
  <c r="BL87" i="8"/>
  <c r="BM87" i="8" s="1"/>
  <c r="DN88" i="8"/>
  <c r="DO87" i="8"/>
  <c r="DP87" i="8" s="1"/>
  <c r="Z84" i="5"/>
  <c r="AJ83" i="5"/>
  <c r="X84" i="5"/>
  <c r="AH83" i="5"/>
  <c r="Y86" i="5"/>
  <c r="AY86" i="5" s="1"/>
  <c r="AI85" i="5"/>
  <c r="BA84" i="5"/>
  <c r="BE83" i="5"/>
  <c r="BC85" i="5"/>
  <c r="AZ85" i="5"/>
  <c r="BD84" i="5"/>
  <c r="BB84" i="5"/>
  <c r="BF83" i="5"/>
  <c r="AL84" i="5"/>
  <c r="AP83" i="5"/>
  <c r="W85" i="5" l="1"/>
  <c r="AG84" i="5"/>
  <c r="BK89" i="8"/>
  <c r="BL88" i="8"/>
  <c r="BM88" i="8" s="1"/>
  <c r="DN89" i="8"/>
  <c r="DO88" i="8"/>
  <c r="DP88" i="8" s="1"/>
  <c r="X85" i="5"/>
  <c r="AH84" i="5"/>
  <c r="Y87" i="5"/>
  <c r="AY87" i="5" s="1"/>
  <c r="AI86" i="5"/>
  <c r="Z85" i="5"/>
  <c r="AJ84" i="5"/>
  <c r="AZ86" i="5"/>
  <c r="BD85" i="5"/>
  <c r="BB85" i="5"/>
  <c r="BF84" i="5"/>
  <c r="BC86" i="5"/>
  <c r="BA85" i="5"/>
  <c r="BE84" i="5"/>
  <c r="AL85" i="5"/>
  <c r="AP84" i="5"/>
  <c r="W86" i="5" l="1"/>
  <c r="AG85" i="5"/>
  <c r="DN90" i="8"/>
  <c r="DO89" i="8"/>
  <c r="DP89" i="8" s="1"/>
  <c r="BK90" i="8"/>
  <c r="BL89" i="8"/>
  <c r="BM89" i="8" s="1"/>
  <c r="Y88" i="5"/>
  <c r="AY88" i="5" s="1"/>
  <c r="AI87" i="5"/>
  <c r="X86" i="5"/>
  <c r="AH85" i="5"/>
  <c r="Z86" i="5"/>
  <c r="AJ85" i="5"/>
  <c r="BA86" i="5"/>
  <c r="BE85" i="5"/>
  <c r="BC87" i="5"/>
  <c r="BB86" i="5"/>
  <c r="BF85" i="5"/>
  <c r="AZ87" i="5"/>
  <c r="BD86" i="5"/>
  <c r="AL86" i="5"/>
  <c r="AP85" i="5"/>
  <c r="W87" i="5" l="1"/>
  <c r="AG86" i="5"/>
  <c r="DN91" i="8"/>
  <c r="DO90" i="8"/>
  <c r="DP90" i="8" s="1"/>
  <c r="BK91" i="8"/>
  <c r="BL90" i="8"/>
  <c r="BM90" i="8" s="1"/>
  <c r="Z87" i="5"/>
  <c r="AJ86" i="5"/>
  <c r="X87" i="5"/>
  <c r="AH86" i="5"/>
  <c r="Y89" i="5"/>
  <c r="AY89" i="5" s="1"/>
  <c r="AI88" i="5"/>
  <c r="BB87" i="5"/>
  <c r="BF86" i="5"/>
  <c r="AZ88" i="5"/>
  <c r="BD87" i="5"/>
  <c r="BC88" i="5"/>
  <c r="BA87" i="5"/>
  <c r="BE86" i="5"/>
  <c r="AL87" i="5"/>
  <c r="AP86" i="5"/>
  <c r="W88" i="5" l="1"/>
  <c r="AG87" i="5"/>
  <c r="DN92" i="8"/>
  <c r="DO91" i="8"/>
  <c r="DP91" i="8" s="1"/>
  <c r="BK92" i="8"/>
  <c r="BL91" i="8"/>
  <c r="BM91" i="8" s="1"/>
  <c r="Y90" i="5"/>
  <c r="AI89" i="5"/>
  <c r="X88" i="5"/>
  <c r="AH87" i="5"/>
  <c r="Z88" i="5"/>
  <c r="AJ87" i="5"/>
  <c r="BA88" i="5"/>
  <c r="BE87" i="5"/>
  <c r="BC89" i="5"/>
  <c r="AZ89" i="5"/>
  <c r="BD88" i="5"/>
  <c r="BB88" i="5"/>
  <c r="BF87" i="5"/>
  <c r="AL88" i="5"/>
  <c r="AP87" i="5"/>
  <c r="W89" i="5" l="1"/>
  <c r="AG88" i="5"/>
  <c r="DN93" i="8"/>
  <c r="DO92" i="8"/>
  <c r="DP92" i="8" s="1"/>
  <c r="BK93" i="8"/>
  <c r="BL92" i="8"/>
  <c r="BM92" i="8" s="1"/>
  <c r="X89" i="5"/>
  <c r="AH88" i="5"/>
  <c r="Y91" i="5"/>
  <c r="AI90" i="5"/>
  <c r="AY90" i="5"/>
  <c r="BC90" i="5" s="1"/>
  <c r="Z89" i="5"/>
  <c r="AJ88" i="5"/>
  <c r="BB89" i="5"/>
  <c r="BF88" i="5"/>
  <c r="AZ90" i="5"/>
  <c r="BD89" i="5"/>
  <c r="BA89" i="5"/>
  <c r="BE88" i="5"/>
  <c r="AL89" i="5"/>
  <c r="AP88" i="5"/>
  <c r="AY91" i="5" l="1"/>
  <c r="W90" i="5"/>
  <c r="AG89" i="5"/>
  <c r="DN94" i="8"/>
  <c r="DO93" i="8"/>
  <c r="DP93" i="8" s="1"/>
  <c r="BK94" i="8"/>
  <c r="BL93" i="8"/>
  <c r="BM93" i="8" s="1"/>
  <c r="Y92" i="5"/>
  <c r="AI91" i="5"/>
  <c r="Z90" i="5"/>
  <c r="AJ89" i="5"/>
  <c r="X90" i="5"/>
  <c r="AH89" i="5"/>
  <c r="BA90" i="5"/>
  <c r="BE89" i="5"/>
  <c r="AZ91" i="5"/>
  <c r="BD90" i="5"/>
  <c r="BB90" i="5"/>
  <c r="BF89" i="5"/>
  <c r="AL90" i="5"/>
  <c r="AP89" i="5"/>
  <c r="AY92" i="5" l="1"/>
  <c r="AG90" i="5"/>
  <c r="W91" i="5"/>
  <c r="BC91" i="5"/>
  <c r="BK95" i="8"/>
  <c r="BL94" i="8"/>
  <c r="BM94" i="8" s="1"/>
  <c r="DN95" i="8"/>
  <c r="DO94" i="8"/>
  <c r="DP94" i="8" s="1"/>
  <c r="X91" i="5"/>
  <c r="AH90" i="5"/>
  <c r="Z91" i="5"/>
  <c r="AJ90" i="5"/>
  <c r="Y93" i="5"/>
  <c r="AY93" i="5" s="1"/>
  <c r="AI92" i="5"/>
  <c r="AZ92" i="5"/>
  <c r="BD91" i="5"/>
  <c r="BB91" i="5"/>
  <c r="BF90" i="5"/>
  <c r="BC92" i="5"/>
  <c r="BA91" i="5"/>
  <c r="BE90" i="5"/>
  <c r="AL91" i="5"/>
  <c r="AP90" i="5"/>
  <c r="W92" i="5" l="1"/>
  <c r="AG91" i="5"/>
  <c r="BK96" i="8"/>
  <c r="BL95" i="8"/>
  <c r="BM95" i="8" s="1"/>
  <c r="DN96" i="8"/>
  <c r="DO95" i="8"/>
  <c r="DP95" i="8" s="1"/>
  <c r="Z92" i="5"/>
  <c r="AJ91" i="5"/>
  <c r="Y94" i="5"/>
  <c r="AY94" i="5" s="1"/>
  <c r="AI93" i="5"/>
  <c r="X92" i="5"/>
  <c r="AH91" i="5"/>
  <c r="BC93" i="5"/>
  <c r="BA92" i="5"/>
  <c r="BE91" i="5"/>
  <c r="BB92" i="5"/>
  <c r="BF91" i="5"/>
  <c r="AZ93" i="5"/>
  <c r="BD92" i="5"/>
  <c r="AL92" i="5"/>
  <c r="AP91" i="5"/>
  <c r="W93" i="5" l="1"/>
  <c r="AG92" i="5"/>
  <c r="DN97" i="8"/>
  <c r="DO96" i="8"/>
  <c r="DP96" i="8" s="1"/>
  <c r="BK97" i="8"/>
  <c r="BL96" i="8"/>
  <c r="BM96" i="8" s="1"/>
  <c r="Y95" i="5"/>
  <c r="AI94" i="5"/>
  <c r="Z93" i="5"/>
  <c r="AJ92" i="5"/>
  <c r="X93" i="5"/>
  <c r="AH92" i="5"/>
  <c r="AZ94" i="5"/>
  <c r="BD93" i="5"/>
  <c r="BA93" i="5"/>
  <c r="BE92" i="5"/>
  <c r="BB93" i="5"/>
  <c r="BF92" i="5"/>
  <c r="AY95" i="5"/>
  <c r="BC94" i="5"/>
  <c r="AL93" i="5"/>
  <c r="AP92" i="5"/>
  <c r="W94" i="5" l="1"/>
  <c r="AG93" i="5"/>
  <c r="BK98" i="8"/>
  <c r="BL97" i="8"/>
  <c r="BM97" i="8" s="1"/>
  <c r="DN98" i="8"/>
  <c r="DO97" i="8"/>
  <c r="DP97" i="8" s="1"/>
  <c r="Z94" i="5"/>
  <c r="AJ93" i="5"/>
  <c r="X94" i="5"/>
  <c r="AH93" i="5"/>
  <c r="Y96" i="5"/>
  <c r="AY96" i="5" s="1"/>
  <c r="AI95" i="5"/>
  <c r="BB94" i="5"/>
  <c r="BF93" i="5"/>
  <c r="BC95" i="5"/>
  <c r="BA94" i="5"/>
  <c r="BE93" i="5"/>
  <c r="AZ95" i="5"/>
  <c r="BD94" i="5"/>
  <c r="AL94" i="5"/>
  <c r="AP93" i="5"/>
  <c r="AG94" i="5" l="1"/>
  <c r="W95" i="5"/>
  <c r="DN99" i="8"/>
  <c r="DO98" i="8"/>
  <c r="DP98" i="8" s="1"/>
  <c r="BK99" i="8"/>
  <c r="BL98" i="8"/>
  <c r="BM98" i="8" s="1"/>
  <c r="Y97" i="5"/>
  <c r="AY97" i="5" s="1"/>
  <c r="AI96" i="5"/>
  <c r="X95" i="5"/>
  <c r="AH94" i="5"/>
  <c r="Z95" i="5"/>
  <c r="AJ94" i="5"/>
  <c r="AZ96" i="5"/>
  <c r="BD95" i="5"/>
  <c r="BA95" i="5"/>
  <c r="BE94" i="5"/>
  <c r="BC96" i="5"/>
  <c r="BB95" i="5"/>
  <c r="BF94" i="5"/>
  <c r="AL95" i="5"/>
  <c r="AP94" i="5"/>
  <c r="AG95" i="5" l="1"/>
  <c r="W96" i="5"/>
  <c r="BK100" i="8"/>
  <c r="BL99" i="8"/>
  <c r="BM99" i="8" s="1"/>
  <c r="DN100" i="8"/>
  <c r="DO99" i="8"/>
  <c r="DP99" i="8" s="1"/>
  <c r="X96" i="5"/>
  <c r="AH95" i="5"/>
  <c r="Z96" i="5"/>
  <c r="AJ95" i="5"/>
  <c r="Y98" i="5"/>
  <c r="AY98" i="5" s="1"/>
  <c r="AI97" i="5"/>
  <c r="BB96" i="5"/>
  <c r="BF95" i="5"/>
  <c r="BC97" i="5"/>
  <c r="BA96" i="5"/>
  <c r="BE95" i="5"/>
  <c r="AZ97" i="5"/>
  <c r="BD96" i="5"/>
  <c r="AL96" i="5"/>
  <c r="AP95" i="5"/>
  <c r="W97" i="5" l="1"/>
  <c r="AG96" i="5"/>
  <c r="DN101" i="8"/>
  <c r="DO100" i="8"/>
  <c r="DP100" i="8" s="1"/>
  <c r="BK101" i="8"/>
  <c r="BL100" i="8"/>
  <c r="BM100" i="8" s="1"/>
  <c r="Z97" i="5"/>
  <c r="AJ96" i="5"/>
  <c r="Y99" i="5"/>
  <c r="AY99" i="5" s="1"/>
  <c r="AI98" i="5"/>
  <c r="X97" i="5"/>
  <c r="AH96" i="5"/>
  <c r="AZ98" i="5"/>
  <c r="BD97" i="5"/>
  <c r="BA97" i="5"/>
  <c r="BE96" i="5"/>
  <c r="BC98" i="5"/>
  <c r="BB97" i="5"/>
  <c r="BF96" i="5"/>
  <c r="AL97" i="5"/>
  <c r="AP96" i="5"/>
  <c r="AG97" i="5" l="1"/>
  <c r="W98" i="5"/>
  <c r="DN102" i="8"/>
  <c r="DO101" i="8"/>
  <c r="DP101" i="8" s="1"/>
  <c r="BK102" i="8"/>
  <c r="BL101" i="8"/>
  <c r="BM101" i="8" s="1"/>
  <c r="X98" i="5"/>
  <c r="AH97" i="5"/>
  <c r="Y100" i="5"/>
  <c r="AY100" i="5" s="1"/>
  <c r="AI99" i="5"/>
  <c r="Z98" i="5"/>
  <c r="AJ97" i="5"/>
  <c r="BA98" i="5"/>
  <c r="BE97" i="5"/>
  <c r="BB98" i="5"/>
  <c r="BF97" i="5"/>
  <c r="BC99" i="5"/>
  <c r="AZ99" i="5"/>
  <c r="BD98" i="5"/>
  <c r="AL98" i="5"/>
  <c r="AP97" i="5"/>
  <c r="AG98" i="5" l="1"/>
  <c r="W99" i="5"/>
  <c r="DN103" i="8"/>
  <c r="DO102" i="8"/>
  <c r="DP102" i="8" s="1"/>
  <c r="BK103" i="8"/>
  <c r="BL102" i="8"/>
  <c r="BM102" i="8" s="1"/>
  <c r="Z99" i="5"/>
  <c r="AJ98" i="5"/>
  <c r="Y101" i="5"/>
  <c r="AY101" i="5" s="1"/>
  <c r="AI100" i="5"/>
  <c r="X99" i="5"/>
  <c r="AH98" i="5"/>
  <c r="AZ100" i="5"/>
  <c r="BD99" i="5"/>
  <c r="BC100" i="5"/>
  <c r="BB99" i="5"/>
  <c r="BF98" i="5"/>
  <c r="BA99" i="5"/>
  <c r="BE98" i="5"/>
  <c r="AL99" i="5"/>
  <c r="AP98" i="5"/>
  <c r="AG99" i="5" l="1"/>
  <c r="W100" i="5"/>
  <c r="DN104" i="8"/>
  <c r="DO103" i="8"/>
  <c r="DP103" i="8" s="1"/>
  <c r="BK104" i="8"/>
  <c r="BL103" i="8"/>
  <c r="BM103" i="8" s="1"/>
  <c r="X100" i="5"/>
  <c r="AH99" i="5"/>
  <c r="Y102" i="5"/>
  <c r="AY102" i="5" s="1"/>
  <c r="AI101" i="5"/>
  <c r="Z100" i="5"/>
  <c r="AJ99" i="5"/>
  <c r="BB100" i="5"/>
  <c r="BF99" i="5"/>
  <c r="BA100" i="5"/>
  <c r="BE99" i="5"/>
  <c r="BC101" i="5"/>
  <c r="AZ101" i="5"/>
  <c r="BD100" i="5"/>
  <c r="AL100" i="5"/>
  <c r="AP99" i="5"/>
  <c r="AG100" i="5" l="1"/>
  <c r="W101" i="5"/>
  <c r="DN105" i="8"/>
  <c r="DO104" i="8"/>
  <c r="DP104" i="8" s="1"/>
  <c r="BK105" i="8"/>
  <c r="BL104" i="8"/>
  <c r="BM104" i="8" s="1"/>
  <c r="X101" i="5"/>
  <c r="AH100" i="5"/>
  <c r="Y103" i="5"/>
  <c r="AY103" i="5" s="1"/>
  <c r="AI102" i="5"/>
  <c r="Z101" i="5"/>
  <c r="AJ100" i="5"/>
  <c r="AZ102" i="5"/>
  <c r="BD101" i="5"/>
  <c r="BC102" i="5"/>
  <c r="BA101" i="5"/>
  <c r="BE100" i="5"/>
  <c r="BB101" i="5"/>
  <c r="BF100" i="5"/>
  <c r="AL101" i="5"/>
  <c r="AP100" i="5"/>
  <c r="W102" i="5" l="1"/>
  <c r="AG101" i="5"/>
  <c r="DN106" i="8"/>
  <c r="DO105" i="8"/>
  <c r="DP105" i="8" s="1"/>
  <c r="BK106" i="8"/>
  <c r="BL105" i="8"/>
  <c r="BM105" i="8" s="1"/>
  <c r="Z102" i="5"/>
  <c r="AJ101" i="5"/>
  <c r="Y104" i="5"/>
  <c r="AY104" i="5" s="1"/>
  <c r="AI103" i="5"/>
  <c r="X102" i="5"/>
  <c r="AH101" i="5"/>
  <c r="BB102" i="5"/>
  <c r="BF101" i="5"/>
  <c r="BA102" i="5"/>
  <c r="BE101" i="5"/>
  <c r="BC103" i="5"/>
  <c r="AZ103" i="5"/>
  <c r="BD102" i="5"/>
  <c r="AL102" i="5"/>
  <c r="AP101" i="5"/>
  <c r="W103" i="5" l="1"/>
  <c r="AG102" i="5"/>
  <c r="DN107" i="8"/>
  <c r="DO106" i="8"/>
  <c r="DP106" i="8" s="1"/>
  <c r="BK107" i="8"/>
  <c r="BL106" i="8"/>
  <c r="BM106" i="8" s="1"/>
  <c r="X103" i="5"/>
  <c r="AH102" i="5"/>
  <c r="Y105" i="5"/>
  <c r="AY105" i="5" s="1"/>
  <c r="AI104" i="5"/>
  <c r="Z103" i="5"/>
  <c r="AJ102" i="5"/>
  <c r="AZ104" i="5"/>
  <c r="BD103" i="5"/>
  <c r="BC104" i="5"/>
  <c r="BA103" i="5"/>
  <c r="BE102" i="5"/>
  <c r="BB103" i="5"/>
  <c r="BF102" i="5"/>
  <c r="AL103" i="5"/>
  <c r="AP102" i="5"/>
  <c r="W104" i="5" l="1"/>
  <c r="AG103" i="5"/>
  <c r="DN108" i="8"/>
  <c r="DO107" i="8"/>
  <c r="DP107" i="8" s="1"/>
  <c r="BK108" i="8"/>
  <c r="BL107" i="8"/>
  <c r="BM107" i="8" s="1"/>
  <c r="Z104" i="5"/>
  <c r="AJ103" i="5"/>
  <c r="Y106" i="5"/>
  <c r="AY106" i="5" s="1"/>
  <c r="AI105" i="5"/>
  <c r="X104" i="5"/>
  <c r="AH103" i="5"/>
  <c r="BB104" i="5"/>
  <c r="BF103" i="5"/>
  <c r="BA104" i="5"/>
  <c r="BE103" i="5"/>
  <c r="BC105" i="5"/>
  <c r="AZ105" i="5"/>
  <c r="BD104" i="5"/>
  <c r="AL104" i="5"/>
  <c r="AP103" i="5"/>
  <c r="W105" i="5" l="1"/>
  <c r="AG104" i="5"/>
  <c r="DN109" i="8"/>
  <c r="DO108" i="8"/>
  <c r="DP108" i="8" s="1"/>
  <c r="BK109" i="8"/>
  <c r="BL108" i="8"/>
  <c r="BM108" i="8" s="1"/>
  <c r="X105" i="5"/>
  <c r="AH104" i="5"/>
  <c r="Y107" i="5"/>
  <c r="AY107" i="5" s="1"/>
  <c r="AI106" i="5"/>
  <c r="Z105" i="5"/>
  <c r="AJ104" i="5"/>
  <c r="AZ106" i="5"/>
  <c r="BD105" i="5"/>
  <c r="BC106" i="5"/>
  <c r="BA105" i="5"/>
  <c r="BE104" i="5"/>
  <c r="BB105" i="5"/>
  <c r="BF104" i="5"/>
  <c r="AL105" i="5"/>
  <c r="AP104" i="5"/>
  <c r="W106" i="5" l="1"/>
  <c r="AG105" i="5"/>
  <c r="DN110" i="8"/>
  <c r="DO109" i="8"/>
  <c r="DP109" i="8" s="1"/>
  <c r="BK110" i="8"/>
  <c r="BL109" i="8"/>
  <c r="BM109" i="8" s="1"/>
  <c r="Z106" i="5"/>
  <c r="AJ105" i="5"/>
  <c r="Y108" i="5"/>
  <c r="AY108" i="5" s="1"/>
  <c r="AI107" i="5"/>
  <c r="X106" i="5"/>
  <c r="AH105" i="5"/>
  <c r="BB106" i="5"/>
  <c r="BF105" i="5"/>
  <c r="BA106" i="5"/>
  <c r="BE105" i="5"/>
  <c r="BC107" i="5"/>
  <c r="AZ107" i="5"/>
  <c r="BD106" i="5"/>
  <c r="AL106" i="5"/>
  <c r="AP105" i="5"/>
  <c r="W107" i="5" l="1"/>
  <c r="AG106" i="5"/>
  <c r="DN111" i="8"/>
  <c r="DO110" i="8"/>
  <c r="DP110" i="8" s="1"/>
  <c r="BK111" i="8"/>
  <c r="BL110" i="8"/>
  <c r="BM110" i="8" s="1"/>
  <c r="X107" i="5"/>
  <c r="AH106" i="5"/>
  <c r="Y109" i="5"/>
  <c r="AY109" i="5" s="1"/>
  <c r="AI108" i="5"/>
  <c r="Z107" i="5"/>
  <c r="AJ106" i="5"/>
  <c r="BC108" i="5"/>
  <c r="BA107" i="5"/>
  <c r="BE106" i="5"/>
  <c r="AZ108" i="5"/>
  <c r="BD107" i="5"/>
  <c r="BB107" i="5"/>
  <c r="BF106" i="5"/>
  <c r="AL107" i="5"/>
  <c r="AP106" i="5"/>
  <c r="W108" i="5" l="1"/>
  <c r="AG107" i="5"/>
  <c r="DN112" i="8"/>
  <c r="DO111" i="8"/>
  <c r="DP111" i="8" s="1"/>
  <c r="BK112" i="8"/>
  <c r="BL111" i="8"/>
  <c r="BM111" i="8" s="1"/>
  <c r="Z108" i="5"/>
  <c r="AJ107" i="5"/>
  <c r="Y110" i="5"/>
  <c r="AI109" i="5"/>
  <c r="X108" i="5"/>
  <c r="AH107" i="5"/>
  <c r="BB108" i="5"/>
  <c r="BF107" i="5"/>
  <c r="AZ109" i="5"/>
  <c r="BD108" i="5"/>
  <c r="BA108" i="5"/>
  <c r="BE107" i="5"/>
  <c r="BC109" i="5"/>
  <c r="AL108" i="5"/>
  <c r="AP107" i="5"/>
  <c r="W109" i="5" l="1"/>
  <c r="AG108" i="5"/>
  <c r="DN113" i="8"/>
  <c r="DO112" i="8"/>
  <c r="DP112" i="8" s="1"/>
  <c r="BK113" i="8"/>
  <c r="BL112" i="8"/>
  <c r="BM112" i="8" s="1"/>
  <c r="X109" i="5"/>
  <c r="AH108" i="5"/>
  <c r="Y111" i="5"/>
  <c r="AI110" i="5"/>
  <c r="AY110" i="5"/>
  <c r="BC110" i="5" s="1"/>
  <c r="Z109" i="5"/>
  <c r="AJ108" i="5"/>
  <c r="BA109" i="5"/>
  <c r="BE108" i="5"/>
  <c r="AZ110" i="5"/>
  <c r="BD109" i="5"/>
  <c r="BB109" i="5"/>
  <c r="BF108" i="5"/>
  <c r="AL109" i="5"/>
  <c r="AP108" i="5"/>
  <c r="W110" i="5" l="1"/>
  <c r="AG109" i="5"/>
  <c r="BK114" i="8"/>
  <c r="BL113" i="8"/>
  <c r="BM113" i="8" s="1"/>
  <c r="DN114" i="8"/>
  <c r="DO113" i="8"/>
  <c r="DP113" i="8" s="1"/>
  <c r="Y112" i="5"/>
  <c r="AI111" i="5"/>
  <c r="AY111" i="5"/>
  <c r="BC111" i="5" s="1"/>
  <c r="Z110" i="5"/>
  <c r="AJ109" i="5"/>
  <c r="X110" i="5"/>
  <c r="AH109" i="5"/>
  <c r="BA110" i="5"/>
  <c r="BE109" i="5"/>
  <c r="BB110" i="5"/>
  <c r="BF109" i="5"/>
  <c r="AZ111" i="5"/>
  <c r="BD110" i="5"/>
  <c r="AL110" i="5"/>
  <c r="AP109" i="5"/>
  <c r="AY112" i="5" l="1"/>
  <c r="BC112" i="5" s="1"/>
  <c r="W111" i="5"/>
  <c r="AG110" i="5"/>
  <c r="DN115" i="8"/>
  <c r="DO114" i="8"/>
  <c r="DP114" i="8" s="1"/>
  <c r="BK115" i="8"/>
  <c r="BL114" i="8"/>
  <c r="BM114" i="8" s="1"/>
  <c r="X111" i="5"/>
  <c r="AH110" i="5"/>
  <c r="Z111" i="5"/>
  <c r="AJ110" i="5"/>
  <c r="Y113" i="5"/>
  <c r="AY113" i="5" s="1"/>
  <c r="AI112" i="5"/>
  <c r="BB111" i="5"/>
  <c r="BF110" i="5"/>
  <c r="AZ112" i="5"/>
  <c r="BD111" i="5"/>
  <c r="BA111" i="5"/>
  <c r="BE110" i="5"/>
  <c r="AL111" i="5"/>
  <c r="AP110" i="5"/>
  <c r="W112" i="5" l="1"/>
  <c r="AG111" i="5"/>
  <c r="BK116" i="8"/>
  <c r="BL115" i="8"/>
  <c r="BM115" i="8" s="1"/>
  <c r="DN116" i="8"/>
  <c r="DO115" i="8"/>
  <c r="DP115" i="8" s="1"/>
  <c r="Z112" i="5"/>
  <c r="AJ111" i="5"/>
  <c r="Y114" i="5"/>
  <c r="AY114" i="5" s="1"/>
  <c r="AI113" i="5"/>
  <c r="X112" i="5"/>
  <c r="AH111" i="5"/>
  <c r="AZ113" i="5"/>
  <c r="BD112" i="5"/>
  <c r="BA112" i="5"/>
  <c r="BE111" i="5"/>
  <c r="BC113" i="5"/>
  <c r="BB112" i="5"/>
  <c r="BF111" i="5"/>
  <c r="AL112" i="5"/>
  <c r="AP111" i="5"/>
  <c r="W113" i="5" l="1"/>
  <c r="AG112" i="5"/>
  <c r="DN117" i="8"/>
  <c r="DO116" i="8"/>
  <c r="DP116" i="8" s="1"/>
  <c r="BK117" i="8"/>
  <c r="BL116" i="8"/>
  <c r="BM116" i="8" s="1"/>
  <c r="Y115" i="5"/>
  <c r="AY115" i="5" s="1"/>
  <c r="AI114" i="5"/>
  <c r="X113" i="5"/>
  <c r="AH112" i="5"/>
  <c r="Z113" i="5"/>
  <c r="AJ112" i="5"/>
  <c r="BB113" i="5"/>
  <c r="BF112" i="5"/>
  <c r="BC114" i="5"/>
  <c r="BA113" i="5"/>
  <c r="BE112" i="5"/>
  <c r="AZ114" i="5"/>
  <c r="BD113" i="5"/>
  <c r="AL113" i="5"/>
  <c r="AP112" i="5"/>
  <c r="AG113" i="5" l="1"/>
  <c r="W114" i="5"/>
  <c r="BK118" i="8"/>
  <c r="BL117" i="8"/>
  <c r="BM117" i="8" s="1"/>
  <c r="DN118" i="8"/>
  <c r="DO117" i="8"/>
  <c r="DP117" i="8" s="1"/>
  <c r="X114" i="5"/>
  <c r="AH113" i="5"/>
  <c r="Z114" i="5"/>
  <c r="AJ113" i="5"/>
  <c r="Y116" i="5"/>
  <c r="AY116" i="5" s="1"/>
  <c r="AI115" i="5"/>
  <c r="AZ115" i="5"/>
  <c r="BD114" i="5"/>
  <c r="BA114" i="5"/>
  <c r="BE113" i="5"/>
  <c r="BC115" i="5"/>
  <c r="BB114" i="5"/>
  <c r="BF113" i="5"/>
  <c r="AL114" i="5"/>
  <c r="AP113" i="5"/>
  <c r="AG114" i="5" l="1"/>
  <c r="W115" i="5"/>
  <c r="DN119" i="8"/>
  <c r="DO118" i="8"/>
  <c r="DP118" i="8" s="1"/>
  <c r="BK119" i="8"/>
  <c r="BL118" i="8"/>
  <c r="BM118" i="8" s="1"/>
  <c r="Y117" i="5"/>
  <c r="AY117" i="5" s="1"/>
  <c r="AI116" i="5"/>
  <c r="Z115" i="5"/>
  <c r="AJ114" i="5"/>
  <c r="X115" i="5"/>
  <c r="AH114" i="5"/>
  <c r="BC116" i="5"/>
  <c r="BB115" i="5"/>
  <c r="BF114" i="5"/>
  <c r="BA115" i="5"/>
  <c r="BE114" i="5"/>
  <c r="AZ116" i="5"/>
  <c r="BD115" i="5"/>
  <c r="AL115" i="5"/>
  <c r="AP114" i="5"/>
  <c r="W116" i="5" l="1"/>
  <c r="AG115" i="5"/>
  <c r="BK120" i="8"/>
  <c r="BL119" i="8"/>
  <c r="BM119" i="8" s="1"/>
  <c r="DN120" i="8"/>
  <c r="DO119" i="8"/>
  <c r="DP119" i="8" s="1"/>
  <c r="Z116" i="5"/>
  <c r="AJ115" i="5"/>
  <c r="X116" i="5"/>
  <c r="AH115" i="5"/>
  <c r="Y118" i="5"/>
  <c r="AY118" i="5" s="1"/>
  <c r="AI117" i="5"/>
  <c r="AZ117" i="5"/>
  <c r="BD116" i="5"/>
  <c r="BA116" i="5"/>
  <c r="BE115" i="5"/>
  <c r="BB116" i="5"/>
  <c r="BF115" i="5"/>
  <c r="BC117" i="5"/>
  <c r="AL116" i="5"/>
  <c r="AP115" i="5"/>
  <c r="W117" i="5" l="1"/>
  <c r="AG116" i="5"/>
  <c r="DN121" i="8"/>
  <c r="DO120" i="8"/>
  <c r="DP120" i="8" s="1"/>
  <c r="BK121" i="8"/>
  <c r="BL120" i="8"/>
  <c r="BM120" i="8" s="1"/>
  <c r="X117" i="5"/>
  <c r="AH116" i="5"/>
  <c r="Y119" i="5"/>
  <c r="AY119" i="5" s="1"/>
  <c r="AI118" i="5"/>
  <c r="Z117" i="5"/>
  <c r="AJ116" i="5"/>
  <c r="BB117" i="5"/>
  <c r="BF116" i="5"/>
  <c r="BC118" i="5"/>
  <c r="BA117" i="5"/>
  <c r="BE116" i="5"/>
  <c r="AZ118" i="5"/>
  <c r="BD117" i="5"/>
  <c r="AL117" i="5"/>
  <c r="AP116" i="5"/>
  <c r="W118" i="5" l="1"/>
  <c r="AG117" i="5"/>
  <c r="BK122" i="8"/>
  <c r="BL121" i="8"/>
  <c r="BM121" i="8" s="1"/>
  <c r="DN122" i="8"/>
  <c r="DO121" i="8"/>
  <c r="DP121" i="8" s="1"/>
  <c r="Y120" i="5"/>
  <c r="AY120" i="5" s="1"/>
  <c r="AI119" i="5"/>
  <c r="X118" i="5"/>
  <c r="AH117" i="5"/>
  <c r="Z118" i="5"/>
  <c r="AJ117" i="5"/>
  <c r="BC119" i="5"/>
  <c r="BA118" i="5"/>
  <c r="BE117" i="5"/>
  <c r="AZ119" i="5"/>
  <c r="BD118" i="5"/>
  <c r="BB118" i="5"/>
  <c r="BF117" i="5"/>
  <c r="AL118" i="5"/>
  <c r="AP117" i="5"/>
  <c r="AG118" i="5" l="1"/>
  <c r="W119" i="5"/>
  <c r="DN123" i="8"/>
  <c r="DO122" i="8"/>
  <c r="DP122" i="8" s="1"/>
  <c r="BK123" i="8"/>
  <c r="BL122" i="8"/>
  <c r="BM122" i="8" s="1"/>
  <c r="Z119" i="5"/>
  <c r="AJ118" i="5"/>
  <c r="X119" i="5"/>
  <c r="AH118" i="5"/>
  <c r="Y121" i="5"/>
  <c r="AI120" i="5"/>
  <c r="AZ120" i="5"/>
  <c r="BD119" i="5"/>
  <c r="BB119" i="5"/>
  <c r="BF118" i="5"/>
  <c r="BA119" i="5"/>
  <c r="BE118" i="5"/>
  <c r="BC120" i="5"/>
  <c r="AL119" i="5"/>
  <c r="AP118" i="5"/>
  <c r="W120" i="5" l="1"/>
  <c r="AG119" i="5"/>
  <c r="BK124" i="8"/>
  <c r="BL123" i="8"/>
  <c r="BM123" i="8" s="1"/>
  <c r="DN124" i="8"/>
  <c r="DO123" i="8"/>
  <c r="DP123" i="8" s="1"/>
  <c r="Y122" i="5"/>
  <c r="AI121" i="5"/>
  <c r="AY121" i="5"/>
  <c r="BC121" i="5" s="1"/>
  <c r="X120" i="5"/>
  <c r="AH119" i="5"/>
  <c r="Z120" i="5"/>
  <c r="AJ119" i="5"/>
  <c r="BA120" i="5"/>
  <c r="BE119" i="5"/>
  <c r="BB120" i="5"/>
  <c r="BF119" i="5"/>
  <c r="AZ121" i="5"/>
  <c r="BD120" i="5"/>
  <c r="AL120" i="5"/>
  <c r="AP119" i="5"/>
  <c r="AY122" i="5" l="1"/>
  <c r="BC122" i="5" s="1"/>
  <c r="W121" i="5"/>
  <c r="AG120" i="5"/>
  <c r="DN125" i="8"/>
  <c r="DO124" i="8"/>
  <c r="DP124" i="8" s="1"/>
  <c r="BK125" i="8"/>
  <c r="BL124" i="8"/>
  <c r="BM124" i="8" s="1"/>
  <c r="Z121" i="5"/>
  <c r="AJ120" i="5"/>
  <c r="X121" i="5"/>
  <c r="AH120" i="5"/>
  <c r="Y123" i="5"/>
  <c r="AY123" i="5" s="1"/>
  <c r="AI122" i="5"/>
  <c r="BB121" i="5"/>
  <c r="BF120" i="5"/>
  <c r="AZ122" i="5"/>
  <c r="BD121" i="5"/>
  <c r="BA121" i="5"/>
  <c r="BE120" i="5"/>
  <c r="AL121" i="5"/>
  <c r="AP120" i="5"/>
  <c r="W122" i="5" l="1"/>
  <c r="AG121" i="5"/>
  <c r="BK126" i="8"/>
  <c r="BL125" i="8"/>
  <c r="BM125" i="8" s="1"/>
  <c r="DN126" i="8"/>
  <c r="DO125" i="8"/>
  <c r="DP125" i="8" s="1"/>
  <c r="Y124" i="5"/>
  <c r="AY124" i="5" s="1"/>
  <c r="AI123" i="5"/>
  <c r="X122" i="5"/>
  <c r="AH121" i="5"/>
  <c r="Z122" i="5"/>
  <c r="AJ121" i="5"/>
  <c r="BA122" i="5"/>
  <c r="BE121" i="5"/>
  <c r="AZ123" i="5"/>
  <c r="BD122" i="5"/>
  <c r="BB122" i="5"/>
  <c r="BF121" i="5"/>
  <c r="BC123" i="5"/>
  <c r="AL122" i="5"/>
  <c r="AP121" i="5"/>
  <c r="AG122" i="5" l="1"/>
  <c r="W123" i="5"/>
  <c r="DN127" i="8"/>
  <c r="DO126" i="8"/>
  <c r="DP126" i="8" s="1"/>
  <c r="BK127" i="8"/>
  <c r="BL126" i="8"/>
  <c r="BM126" i="8" s="1"/>
  <c r="Z123" i="5"/>
  <c r="AJ122" i="5"/>
  <c r="X123" i="5"/>
  <c r="AH122" i="5"/>
  <c r="Y125" i="5"/>
  <c r="AY125" i="5" s="1"/>
  <c r="AI124" i="5"/>
  <c r="BC124" i="5"/>
  <c r="BB123" i="5"/>
  <c r="BF122" i="5"/>
  <c r="AZ124" i="5"/>
  <c r="BD123" i="5"/>
  <c r="BA123" i="5"/>
  <c r="BE122" i="5"/>
  <c r="AL123" i="5"/>
  <c r="AP122" i="5"/>
  <c r="W124" i="5" l="1"/>
  <c r="AG123" i="5"/>
  <c r="BK128" i="8"/>
  <c r="BL127" i="8"/>
  <c r="BM127" i="8" s="1"/>
  <c r="DN128" i="8"/>
  <c r="DO127" i="8"/>
  <c r="DP127" i="8" s="1"/>
  <c r="Y126" i="5"/>
  <c r="AY126" i="5" s="1"/>
  <c r="AI125" i="5"/>
  <c r="X124" i="5"/>
  <c r="AH123" i="5"/>
  <c r="Z124" i="5"/>
  <c r="AJ123" i="5"/>
  <c r="BA124" i="5"/>
  <c r="BE123" i="5"/>
  <c r="AZ125" i="5"/>
  <c r="BD124" i="5"/>
  <c r="BB124" i="5"/>
  <c r="BF123" i="5"/>
  <c r="BC125" i="5"/>
  <c r="AL124" i="5"/>
  <c r="AP123" i="5"/>
  <c r="AG124" i="5" l="1"/>
  <c r="W125" i="5"/>
  <c r="DN129" i="8"/>
  <c r="DO128" i="8"/>
  <c r="DP128" i="8" s="1"/>
  <c r="BK129" i="8"/>
  <c r="BL128" i="8"/>
  <c r="BM128" i="8" s="1"/>
  <c r="Z125" i="5"/>
  <c r="AJ124" i="5"/>
  <c r="X125" i="5"/>
  <c r="AH124" i="5"/>
  <c r="Y127" i="5"/>
  <c r="AY127" i="5" s="1"/>
  <c r="AI126" i="5"/>
  <c r="BC126" i="5"/>
  <c r="BB125" i="5"/>
  <c r="BF124" i="5"/>
  <c r="AZ126" i="5"/>
  <c r="BD125" i="5"/>
  <c r="BA125" i="5"/>
  <c r="BE124" i="5"/>
  <c r="AL125" i="5"/>
  <c r="AP124" i="5"/>
  <c r="W126" i="5" l="1"/>
  <c r="AG125" i="5"/>
  <c r="BK130" i="8"/>
  <c r="BL129" i="8"/>
  <c r="BM129" i="8" s="1"/>
  <c r="DN130" i="8"/>
  <c r="DO129" i="8"/>
  <c r="DP129" i="8" s="1"/>
  <c r="Y128" i="5"/>
  <c r="AI127" i="5"/>
  <c r="X126" i="5"/>
  <c r="AH125" i="5"/>
  <c r="Z126" i="5"/>
  <c r="AJ125" i="5"/>
  <c r="BA126" i="5"/>
  <c r="BE125" i="5"/>
  <c r="AZ127" i="5"/>
  <c r="BD126" i="5"/>
  <c r="BB126" i="5"/>
  <c r="BF125" i="5"/>
  <c r="AY128" i="5"/>
  <c r="BC127" i="5"/>
  <c r="AL126" i="5"/>
  <c r="AP125" i="5"/>
  <c r="W127" i="5" l="1"/>
  <c r="AG126" i="5"/>
  <c r="DN131" i="8"/>
  <c r="DO130" i="8"/>
  <c r="DP130" i="8" s="1"/>
  <c r="BK131" i="8"/>
  <c r="BL130" i="8"/>
  <c r="BM130" i="8" s="1"/>
  <c r="Z127" i="5"/>
  <c r="AJ126" i="5"/>
  <c r="X127" i="5"/>
  <c r="AH126" i="5"/>
  <c r="Y129" i="5"/>
  <c r="AY129" i="5" s="1"/>
  <c r="AI128" i="5"/>
  <c r="BB127" i="5"/>
  <c r="BF126" i="5"/>
  <c r="BC128" i="5"/>
  <c r="AZ128" i="5"/>
  <c r="BD127" i="5"/>
  <c r="BA127" i="5"/>
  <c r="BE126" i="5"/>
  <c r="AL127" i="5"/>
  <c r="AP126" i="5"/>
  <c r="W128" i="5" l="1"/>
  <c r="AG127" i="5"/>
  <c r="BK132" i="8"/>
  <c r="BL131" i="8"/>
  <c r="BM131" i="8" s="1"/>
  <c r="DN132" i="8"/>
  <c r="DO131" i="8"/>
  <c r="DP131" i="8" s="1"/>
  <c r="X128" i="5"/>
  <c r="AH127" i="5"/>
  <c r="Y130" i="5"/>
  <c r="AY130" i="5" s="1"/>
  <c r="AI129" i="5"/>
  <c r="Z128" i="5"/>
  <c r="AJ127" i="5"/>
  <c r="BA128" i="5"/>
  <c r="BE127" i="5"/>
  <c r="AZ129" i="5"/>
  <c r="BD128" i="5"/>
  <c r="BC129" i="5"/>
  <c r="BB128" i="5"/>
  <c r="BF127" i="5"/>
  <c r="AL128" i="5"/>
  <c r="AP127" i="5"/>
  <c r="W129" i="5" l="1"/>
  <c r="AG128" i="5"/>
  <c r="DN133" i="8"/>
  <c r="DO132" i="8"/>
  <c r="DP132" i="8" s="1"/>
  <c r="BK133" i="8"/>
  <c r="BL132" i="8"/>
  <c r="BM132" i="8" s="1"/>
  <c r="Z129" i="5"/>
  <c r="AJ128" i="5"/>
  <c r="Y131" i="5"/>
  <c r="AY131" i="5" s="1"/>
  <c r="AI130" i="5"/>
  <c r="X129" i="5"/>
  <c r="AH128" i="5"/>
  <c r="BB129" i="5"/>
  <c r="BF128" i="5"/>
  <c r="BC130" i="5"/>
  <c r="AZ130" i="5"/>
  <c r="BD129" i="5"/>
  <c r="BA129" i="5"/>
  <c r="BE128" i="5"/>
  <c r="AL129" i="5"/>
  <c r="AP128" i="5"/>
  <c r="W130" i="5" l="1"/>
  <c r="AG129" i="5"/>
  <c r="BK134" i="8"/>
  <c r="BL133" i="8"/>
  <c r="BM133" i="8" s="1"/>
  <c r="DN134" i="8"/>
  <c r="DO133" i="8"/>
  <c r="DP133" i="8" s="1"/>
  <c r="X130" i="5"/>
  <c r="AH129" i="5"/>
  <c r="Y132" i="5"/>
  <c r="AY132" i="5" s="1"/>
  <c r="AI131" i="5"/>
  <c r="Z130" i="5"/>
  <c r="AJ129" i="5"/>
  <c r="BC131" i="5"/>
  <c r="BA130" i="5"/>
  <c r="BE129" i="5"/>
  <c r="AZ131" i="5"/>
  <c r="BD130" i="5"/>
  <c r="BB130" i="5"/>
  <c r="BF129" i="5"/>
  <c r="AL130" i="5"/>
  <c r="AP129" i="5"/>
  <c r="AG130" i="5" l="1"/>
  <c r="W131" i="5"/>
  <c r="DN135" i="8"/>
  <c r="DO134" i="8"/>
  <c r="DP134" i="8" s="1"/>
  <c r="BK135" i="8"/>
  <c r="BL134" i="8"/>
  <c r="BM134" i="8" s="1"/>
  <c r="Z131" i="5"/>
  <c r="AJ130" i="5"/>
  <c r="Y133" i="5"/>
  <c r="AY133" i="5" s="1"/>
  <c r="AI132" i="5"/>
  <c r="X131" i="5"/>
  <c r="AH130" i="5"/>
  <c r="AZ132" i="5"/>
  <c r="BD131" i="5"/>
  <c r="BA131" i="5"/>
  <c r="BE130" i="5"/>
  <c r="BB131" i="5"/>
  <c r="BF130" i="5"/>
  <c r="BC132" i="5"/>
  <c r="AL131" i="5"/>
  <c r="AP130" i="5"/>
  <c r="W132" i="5" l="1"/>
  <c r="AG131" i="5"/>
  <c r="BK136" i="8"/>
  <c r="BL135" i="8"/>
  <c r="BM135" i="8" s="1"/>
  <c r="DN136" i="8"/>
  <c r="DO135" i="8"/>
  <c r="DP135" i="8" s="1"/>
  <c r="X132" i="5"/>
  <c r="AH131" i="5"/>
  <c r="Y134" i="5"/>
  <c r="AY134" i="5" s="1"/>
  <c r="AI133" i="5"/>
  <c r="Z132" i="5"/>
  <c r="AJ131" i="5"/>
  <c r="BC133" i="5"/>
  <c r="BA132" i="5"/>
  <c r="BE131" i="5"/>
  <c r="BB132" i="5"/>
  <c r="BF131" i="5"/>
  <c r="AZ133" i="5"/>
  <c r="BD132" i="5"/>
  <c r="AL132" i="5"/>
  <c r="AP131" i="5"/>
  <c r="AG132" i="5" l="1"/>
  <c r="W133" i="5"/>
  <c r="DN137" i="8"/>
  <c r="DO136" i="8"/>
  <c r="DP136" i="8" s="1"/>
  <c r="BK137" i="8"/>
  <c r="BL136" i="8"/>
  <c r="BM136" i="8" s="1"/>
  <c r="Z133" i="5"/>
  <c r="AJ132" i="5"/>
  <c r="Y135" i="5"/>
  <c r="AY135" i="5" s="1"/>
  <c r="AI134" i="5"/>
  <c r="X133" i="5"/>
  <c r="AH132" i="5"/>
  <c r="BB133" i="5"/>
  <c r="BF132" i="5"/>
  <c r="BA133" i="5"/>
  <c r="BE132" i="5"/>
  <c r="AZ134" i="5"/>
  <c r="BD133" i="5"/>
  <c r="BC134" i="5"/>
  <c r="AL133" i="5"/>
  <c r="AP132" i="5"/>
  <c r="AG133" i="5" l="1"/>
  <c r="W134" i="5"/>
  <c r="BK138" i="8"/>
  <c r="BL137" i="8"/>
  <c r="BM137" i="8" s="1"/>
  <c r="DN138" i="8"/>
  <c r="DO137" i="8"/>
  <c r="DP137" i="8" s="1"/>
  <c r="X134" i="5"/>
  <c r="AH133" i="5"/>
  <c r="Y136" i="5"/>
  <c r="AY136" i="5" s="1"/>
  <c r="AI135" i="5"/>
  <c r="Z134" i="5"/>
  <c r="AJ133" i="5"/>
  <c r="BC135" i="5"/>
  <c r="BA134" i="5"/>
  <c r="BE133" i="5"/>
  <c r="AZ135" i="5"/>
  <c r="BD134" i="5"/>
  <c r="BB134" i="5"/>
  <c r="BF133" i="5"/>
  <c r="AL134" i="5"/>
  <c r="AP133" i="5"/>
  <c r="W135" i="5" l="1"/>
  <c r="AG134" i="5"/>
  <c r="DN139" i="8"/>
  <c r="DO138" i="8"/>
  <c r="DP138" i="8" s="1"/>
  <c r="BK139" i="8"/>
  <c r="BL138" i="8"/>
  <c r="BM138" i="8" s="1"/>
  <c r="Z135" i="5"/>
  <c r="AJ134" i="5"/>
  <c r="Y137" i="5"/>
  <c r="AI136" i="5"/>
  <c r="X135" i="5"/>
  <c r="AH134" i="5"/>
  <c r="BB135" i="5"/>
  <c r="BF134" i="5"/>
  <c r="BA135" i="5"/>
  <c r="BE134" i="5"/>
  <c r="AZ136" i="5"/>
  <c r="BD135" i="5"/>
  <c r="BC136" i="5"/>
  <c r="AL135" i="5"/>
  <c r="AP134" i="5"/>
  <c r="W136" i="5" l="1"/>
  <c r="AG135" i="5"/>
  <c r="BK140" i="8"/>
  <c r="BL139" i="8"/>
  <c r="BM139" i="8" s="1"/>
  <c r="DN140" i="8"/>
  <c r="DO139" i="8"/>
  <c r="DP139" i="8" s="1"/>
  <c r="X136" i="5"/>
  <c r="AH135" i="5"/>
  <c r="Y138" i="5"/>
  <c r="AI137" i="5"/>
  <c r="AY137" i="5"/>
  <c r="BC137" i="5" s="1"/>
  <c r="Z136" i="5"/>
  <c r="AJ135" i="5"/>
  <c r="BA136" i="5"/>
  <c r="BE135" i="5"/>
  <c r="AZ137" i="5"/>
  <c r="BD136" i="5"/>
  <c r="BB136" i="5"/>
  <c r="BF135" i="5"/>
  <c r="AL136" i="5"/>
  <c r="AP135" i="5"/>
  <c r="W137" i="5" l="1"/>
  <c r="AG136" i="5"/>
  <c r="DN141" i="8"/>
  <c r="DO140" i="8"/>
  <c r="DP140" i="8" s="1"/>
  <c r="BK141" i="8"/>
  <c r="BL140" i="8"/>
  <c r="BM140" i="8" s="1"/>
  <c r="Y139" i="5"/>
  <c r="AI138" i="5"/>
  <c r="AY138" i="5"/>
  <c r="BC138" i="5" s="1"/>
  <c r="Z137" i="5"/>
  <c r="AJ136" i="5"/>
  <c r="X137" i="5"/>
  <c r="AH136" i="5"/>
  <c r="BB137" i="5"/>
  <c r="BF136" i="5"/>
  <c r="AZ138" i="5"/>
  <c r="BD137" i="5"/>
  <c r="BA137" i="5"/>
  <c r="BE136" i="5"/>
  <c r="AL137" i="5"/>
  <c r="AP136" i="5"/>
  <c r="AY139" i="5" l="1"/>
  <c r="BC139" i="5" s="1"/>
  <c r="W138" i="5"/>
  <c r="AG137" i="5"/>
  <c r="BK142" i="8"/>
  <c r="BL141" i="8"/>
  <c r="BM141" i="8" s="1"/>
  <c r="DN142" i="8"/>
  <c r="DO141" i="8"/>
  <c r="DP141" i="8" s="1"/>
  <c r="X138" i="5"/>
  <c r="AH137" i="5"/>
  <c r="Z138" i="5"/>
  <c r="AJ137" i="5"/>
  <c r="Y140" i="5"/>
  <c r="AY140" i="5" s="1"/>
  <c r="AI139" i="5"/>
  <c r="BA138" i="5"/>
  <c r="BE137" i="5"/>
  <c r="AZ139" i="5"/>
  <c r="BD138" i="5"/>
  <c r="BB138" i="5"/>
  <c r="BF137" i="5"/>
  <c r="AL138" i="5"/>
  <c r="AP137" i="5"/>
  <c r="W139" i="5" l="1"/>
  <c r="AG138" i="5"/>
  <c r="DN143" i="8"/>
  <c r="DO142" i="8"/>
  <c r="DP142" i="8" s="1"/>
  <c r="BK143" i="8"/>
  <c r="BL142" i="8"/>
  <c r="BM142" i="8" s="1"/>
  <c r="Z139" i="5"/>
  <c r="AJ138" i="5"/>
  <c r="Y141" i="5"/>
  <c r="AY141" i="5" s="1"/>
  <c r="AI140" i="5"/>
  <c r="X139" i="5"/>
  <c r="AH138" i="5"/>
  <c r="AZ140" i="5"/>
  <c r="BD139" i="5"/>
  <c r="BB139" i="5"/>
  <c r="BF138" i="5"/>
  <c r="BC140" i="5"/>
  <c r="BA139" i="5"/>
  <c r="BE138" i="5"/>
  <c r="AL139" i="5"/>
  <c r="AP138" i="5"/>
  <c r="W140" i="5" l="1"/>
  <c r="AG139" i="5"/>
  <c r="BK144" i="8"/>
  <c r="BL143" i="8"/>
  <c r="BM143" i="8" s="1"/>
  <c r="DN144" i="8"/>
  <c r="DO143" i="8"/>
  <c r="DP143" i="8" s="1"/>
  <c r="X140" i="5"/>
  <c r="AH139" i="5"/>
  <c r="Y142" i="5"/>
  <c r="AY142" i="5" s="1"/>
  <c r="AI141" i="5"/>
  <c r="Z140" i="5"/>
  <c r="AJ139" i="5"/>
  <c r="BC141" i="5"/>
  <c r="BA140" i="5"/>
  <c r="BE139" i="5"/>
  <c r="BB140" i="5"/>
  <c r="BF139" i="5"/>
  <c r="AZ141" i="5"/>
  <c r="BD140" i="5"/>
  <c r="AL140" i="5"/>
  <c r="AP139" i="5"/>
  <c r="W141" i="5" l="1"/>
  <c r="AG140" i="5"/>
  <c r="DN145" i="8"/>
  <c r="DO144" i="8"/>
  <c r="DP144" i="8" s="1"/>
  <c r="BK145" i="8"/>
  <c r="BL144" i="8"/>
  <c r="BM144" i="8" s="1"/>
  <c r="Z141" i="5"/>
  <c r="AJ140" i="5"/>
  <c r="Y143" i="5"/>
  <c r="AI142" i="5"/>
  <c r="X141" i="5"/>
  <c r="AH140" i="5"/>
  <c r="BA141" i="5"/>
  <c r="BE140" i="5"/>
  <c r="BB141" i="5"/>
  <c r="BF140" i="5"/>
  <c r="AZ142" i="5"/>
  <c r="BD141" i="5"/>
  <c r="BC142" i="5"/>
  <c r="AL141" i="5"/>
  <c r="AP140" i="5"/>
  <c r="W142" i="5" l="1"/>
  <c r="AG141" i="5"/>
  <c r="BK146" i="8"/>
  <c r="BL145" i="8"/>
  <c r="BM145" i="8" s="1"/>
  <c r="DN146" i="8"/>
  <c r="DO145" i="8"/>
  <c r="DP145" i="8" s="1"/>
  <c r="Y144" i="5"/>
  <c r="AI143" i="5"/>
  <c r="X142" i="5"/>
  <c r="AH141" i="5"/>
  <c r="AY143" i="5"/>
  <c r="BC143" i="5" s="1"/>
  <c r="Z142" i="5"/>
  <c r="AJ141" i="5"/>
  <c r="BB142" i="5"/>
  <c r="BF141" i="5"/>
  <c r="AZ143" i="5"/>
  <c r="BD142" i="5"/>
  <c r="BA142" i="5"/>
  <c r="BE141" i="5"/>
  <c r="AL142" i="5"/>
  <c r="AP141" i="5"/>
  <c r="AY144" i="5" l="1"/>
  <c r="BC144" i="5" s="1"/>
  <c r="W143" i="5"/>
  <c r="AG142" i="5"/>
  <c r="DN147" i="8"/>
  <c r="DO146" i="8"/>
  <c r="DP146" i="8" s="1"/>
  <c r="BK147" i="8"/>
  <c r="BL146" i="8"/>
  <c r="BM146" i="8" s="1"/>
  <c r="X143" i="5"/>
  <c r="AH142" i="5"/>
  <c r="Z143" i="5"/>
  <c r="AJ142" i="5"/>
  <c r="Y145" i="5"/>
  <c r="AI144" i="5"/>
  <c r="BA143" i="5"/>
  <c r="BE142" i="5"/>
  <c r="AZ144" i="5"/>
  <c r="BD143" i="5"/>
  <c r="BB143" i="5"/>
  <c r="BF142" i="5"/>
  <c r="AL143" i="5"/>
  <c r="AP142" i="5"/>
  <c r="W144" i="5" l="1"/>
  <c r="AG143" i="5"/>
  <c r="BK148" i="8"/>
  <c r="BL147" i="8"/>
  <c r="BM147" i="8" s="1"/>
  <c r="DN148" i="8"/>
  <c r="DO147" i="8"/>
  <c r="DP147" i="8" s="1"/>
  <c r="Y146" i="5"/>
  <c r="AI145" i="5"/>
  <c r="AY145" i="5"/>
  <c r="AY146" i="5" s="1"/>
  <c r="Z144" i="5"/>
  <c r="AJ143" i="5"/>
  <c r="X144" i="5"/>
  <c r="AH143" i="5"/>
  <c r="AZ145" i="5"/>
  <c r="BD144" i="5"/>
  <c r="BB144" i="5"/>
  <c r="BF143" i="5"/>
  <c r="BA144" i="5"/>
  <c r="BE143" i="5"/>
  <c r="AL144" i="5"/>
  <c r="AP143" i="5"/>
  <c r="W145" i="5" l="1"/>
  <c r="AG144" i="5"/>
  <c r="BC145" i="5"/>
  <c r="DN149" i="8"/>
  <c r="DO148" i="8"/>
  <c r="DP148" i="8" s="1"/>
  <c r="BK149" i="8"/>
  <c r="BL148" i="8"/>
  <c r="BM148" i="8" s="1"/>
  <c r="X145" i="5"/>
  <c r="AH144" i="5"/>
  <c r="Z145" i="5"/>
  <c r="AJ144" i="5"/>
  <c r="Y147" i="5"/>
  <c r="AY147" i="5" s="1"/>
  <c r="AI146" i="5"/>
  <c r="BA145" i="5"/>
  <c r="BE144" i="5"/>
  <c r="BC146" i="5"/>
  <c r="BB145" i="5"/>
  <c r="BF144" i="5"/>
  <c r="AZ146" i="5"/>
  <c r="BD145" i="5"/>
  <c r="AL145" i="5"/>
  <c r="AP144" i="5"/>
  <c r="AG145" i="5" l="1"/>
  <c r="W146" i="5"/>
  <c r="BK150" i="8"/>
  <c r="BL149" i="8"/>
  <c r="BM149" i="8" s="1"/>
  <c r="DN150" i="8"/>
  <c r="DO149" i="8"/>
  <c r="DP149" i="8" s="1"/>
  <c r="X146" i="5"/>
  <c r="AH145" i="5"/>
  <c r="Z146" i="5"/>
  <c r="AJ145" i="5"/>
  <c r="Y148" i="5"/>
  <c r="AY148" i="5" s="1"/>
  <c r="AI147" i="5"/>
  <c r="AZ147" i="5"/>
  <c r="BD146" i="5"/>
  <c r="BB146" i="5"/>
  <c r="BF145" i="5"/>
  <c r="BC147" i="5"/>
  <c r="BA146" i="5"/>
  <c r="BE145" i="5"/>
  <c r="AL146" i="5"/>
  <c r="AP145" i="5"/>
  <c r="AG146" i="5" l="1"/>
  <c r="W147" i="5"/>
  <c r="DN151" i="8"/>
  <c r="DO150" i="8"/>
  <c r="DP150" i="8" s="1"/>
  <c r="BK151" i="8"/>
  <c r="BL150" i="8"/>
  <c r="BM150" i="8" s="1"/>
  <c r="Z147" i="5"/>
  <c r="AJ146" i="5"/>
  <c r="Y149" i="5"/>
  <c r="AI148" i="5"/>
  <c r="X147" i="5"/>
  <c r="AH146" i="5"/>
  <c r="BC148" i="5"/>
  <c r="BA147" i="5"/>
  <c r="BE146" i="5"/>
  <c r="BB147" i="5"/>
  <c r="BF146" i="5"/>
  <c r="AZ148" i="5"/>
  <c r="BD147" i="5"/>
  <c r="AL147" i="5"/>
  <c r="AP146" i="5"/>
  <c r="AG147" i="5" l="1"/>
  <c r="W148" i="5"/>
  <c r="BK152" i="8"/>
  <c r="BL151" i="8"/>
  <c r="BM151" i="8" s="1"/>
  <c r="DN152" i="8"/>
  <c r="DO151" i="8"/>
  <c r="DP151" i="8" s="1"/>
  <c r="Y150" i="5"/>
  <c r="AI149" i="5"/>
  <c r="AY149" i="5"/>
  <c r="BC149" i="5" s="1"/>
  <c r="X148" i="5"/>
  <c r="AH147" i="5"/>
  <c r="Z148" i="5"/>
  <c r="AJ147" i="5"/>
  <c r="AZ149" i="5"/>
  <c r="BD148" i="5"/>
  <c r="BB148" i="5"/>
  <c r="BF147" i="5"/>
  <c r="BA148" i="5"/>
  <c r="BE147" i="5"/>
  <c r="AL148" i="5"/>
  <c r="AP147" i="5"/>
  <c r="AY150" i="5" l="1"/>
  <c r="W149" i="5"/>
  <c r="AG148" i="5"/>
  <c r="DN153" i="8"/>
  <c r="DO152" i="8"/>
  <c r="DP152" i="8" s="1"/>
  <c r="BK153" i="8"/>
  <c r="BL152" i="8"/>
  <c r="BM152" i="8" s="1"/>
  <c r="Z149" i="5"/>
  <c r="AJ148" i="5"/>
  <c r="X149" i="5"/>
  <c r="AH148" i="5"/>
  <c r="Y151" i="5"/>
  <c r="AY151" i="5" s="1"/>
  <c r="AI150" i="5"/>
  <c r="BC150" i="5"/>
  <c r="BA149" i="5"/>
  <c r="BE148" i="5"/>
  <c r="BB149" i="5"/>
  <c r="BF148" i="5"/>
  <c r="AZ150" i="5"/>
  <c r="BD149" i="5"/>
  <c r="AL149" i="5"/>
  <c r="AP148" i="5"/>
  <c r="W150" i="5" l="1"/>
  <c r="AG149" i="5"/>
  <c r="BK154" i="8"/>
  <c r="BL153" i="8"/>
  <c r="BM153" i="8" s="1"/>
  <c r="DN154" i="8"/>
  <c r="DO153" i="8"/>
  <c r="DP153" i="8" s="1"/>
  <c r="Y152" i="5"/>
  <c r="AY152" i="5" s="1"/>
  <c r="AI151" i="5"/>
  <c r="X150" i="5"/>
  <c r="AH149" i="5"/>
  <c r="Z150" i="5"/>
  <c r="AJ149" i="5"/>
  <c r="BB150" i="5"/>
  <c r="BF149" i="5"/>
  <c r="AZ151" i="5"/>
  <c r="BD150" i="5"/>
  <c r="BA150" i="5"/>
  <c r="BE149" i="5"/>
  <c r="BC151" i="5"/>
  <c r="AL150" i="5"/>
  <c r="AP149" i="5"/>
  <c r="W151" i="5" l="1"/>
  <c r="AG150" i="5"/>
  <c r="DN155" i="8"/>
  <c r="DO154" i="8"/>
  <c r="DP154" i="8" s="1"/>
  <c r="BK155" i="8"/>
  <c r="BL154" i="8"/>
  <c r="BM154" i="8" s="1"/>
  <c r="X151" i="5"/>
  <c r="AH150" i="5"/>
  <c r="Y153" i="5"/>
  <c r="AI152" i="5"/>
  <c r="Z151" i="5"/>
  <c r="AJ150" i="5"/>
  <c r="AZ152" i="5"/>
  <c r="BD151" i="5"/>
  <c r="BC152" i="5"/>
  <c r="BA151" i="5"/>
  <c r="BE150" i="5"/>
  <c r="BB151" i="5"/>
  <c r="BF150" i="5"/>
  <c r="AL151" i="5"/>
  <c r="AP150" i="5"/>
  <c r="W152" i="5" l="1"/>
  <c r="AG151" i="5"/>
  <c r="BK156" i="8"/>
  <c r="BL155" i="8"/>
  <c r="BM155" i="8" s="1"/>
  <c r="DN156" i="8"/>
  <c r="DO155" i="8"/>
  <c r="DP155" i="8" s="1"/>
  <c r="Z152" i="5"/>
  <c r="AJ151" i="5"/>
  <c r="Y154" i="5"/>
  <c r="AI153" i="5"/>
  <c r="AY153" i="5"/>
  <c r="BC153" i="5" s="1"/>
  <c r="X152" i="5"/>
  <c r="AH151" i="5"/>
  <c r="BB152" i="5"/>
  <c r="BF151" i="5"/>
  <c r="BA152" i="5"/>
  <c r="BE151" i="5"/>
  <c r="AZ153" i="5"/>
  <c r="BD152" i="5"/>
  <c r="AL152" i="5"/>
  <c r="AP151" i="5"/>
  <c r="W153" i="5" l="1"/>
  <c r="AG152" i="5"/>
  <c r="DN157" i="8"/>
  <c r="DO156" i="8"/>
  <c r="DP156" i="8" s="1"/>
  <c r="BK157" i="8"/>
  <c r="BL156" i="8"/>
  <c r="BM156" i="8" s="1"/>
  <c r="Y155" i="5"/>
  <c r="AI154" i="5"/>
  <c r="AY154" i="5"/>
  <c r="BC154" i="5" s="1"/>
  <c r="X153" i="5"/>
  <c r="AH152" i="5"/>
  <c r="Z153" i="5"/>
  <c r="AJ152" i="5"/>
  <c r="AZ154" i="5"/>
  <c r="BD153" i="5"/>
  <c r="BA153" i="5"/>
  <c r="BE152" i="5"/>
  <c r="BB153" i="5"/>
  <c r="BF152" i="5"/>
  <c r="AL153" i="5"/>
  <c r="AP152" i="5"/>
  <c r="AY155" i="5" l="1"/>
  <c r="BC155" i="5" s="1"/>
  <c r="W154" i="5"/>
  <c r="AG153" i="5"/>
  <c r="BK158" i="8"/>
  <c r="BL157" i="8"/>
  <c r="BM157" i="8" s="1"/>
  <c r="DN158" i="8"/>
  <c r="DO157" i="8"/>
  <c r="DP157" i="8" s="1"/>
  <c r="Z154" i="5"/>
  <c r="AJ153" i="5"/>
  <c r="X154" i="5"/>
  <c r="AH153" i="5"/>
  <c r="Y156" i="5"/>
  <c r="AI155" i="5"/>
  <c r="BB154" i="5"/>
  <c r="BF153" i="5"/>
  <c r="BA154" i="5"/>
  <c r="BE153" i="5"/>
  <c r="AZ155" i="5"/>
  <c r="BD154" i="5"/>
  <c r="AL154" i="5"/>
  <c r="AP153" i="5"/>
  <c r="W155" i="5" l="1"/>
  <c r="AG154" i="5"/>
  <c r="DN159" i="8"/>
  <c r="DO158" i="8"/>
  <c r="DP158" i="8" s="1"/>
  <c r="BK159" i="8"/>
  <c r="BL158" i="8"/>
  <c r="BM158" i="8" s="1"/>
  <c r="Y157" i="5"/>
  <c r="AI156" i="5"/>
  <c r="X155" i="5"/>
  <c r="AH154" i="5"/>
  <c r="AY156" i="5"/>
  <c r="BC156" i="5" s="1"/>
  <c r="Z155" i="5"/>
  <c r="AJ154" i="5"/>
  <c r="AZ156" i="5"/>
  <c r="BD155" i="5"/>
  <c r="BA155" i="5"/>
  <c r="BE154" i="5"/>
  <c r="BB155" i="5"/>
  <c r="BF154" i="5"/>
  <c r="AL155" i="5"/>
  <c r="AP154" i="5"/>
  <c r="AY157" i="5" l="1"/>
  <c r="AG155" i="5"/>
  <c r="W156" i="5"/>
  <c r="BK160" i="8"/>
  <c r="BL159" i="8"/>
  <c r="BM159" i="8" s="1"/>
  <c r="DN160" i="8"/>
  <c r="DO159" i="8"/>
  <c r="DP159" i="8" s="1"/>
  <c r="Z156" i="5"/>
  <c r="AJ155" i="5"/>
  <c r="X156" i="5"/>
  <c r="AH155" i="5"/>
  <c r="Y158" i="5"/>
  <c r="AY158" i="5" s="1"/>
  <c r="AI157" i="5"/>
  <c r="BA156" i="5"/>
  <c r="BE155" i="5"/>
  <c r="BB156" i="5"/>
  <c r="BF155" i="5"/>
  <c r="BC157" i="5"/>
  <c r="AZ157" i="5"/>
  <c r="BD156" i="5"/>
  <c r="AL156" i="5"/>
  <c r="AP155" i="5"/>
  <c r="AG156" i="5" l="1"/>
  <c r="W157" i="5"/>
  <c r="DN161" i="8"/>
  <c r="DO160" i="8"/>
  <c r="DP160" i="8" s="1"/>
  <c r="BK161" i="8"/>
  <c r="BL160" i="8"/>
  <c r="BM160" i="8" s="1"/>
  <c r="Y159" i="5"/>
  <c r="AY159" i="5" s="1"/>
  <c r="AI158" i="5"/>
  <c r="X157" i="5"/>
  <c r="AH156" i="5"/>
  <c r="Z157" i="5"/>
  <c r="AJ156" i="5"/>
  <c r="AZ158" i="5"/>
  <c r="BD157" i="5"/>
  <c r="BB157" i="5"/>
  <c r="BF156" i="5"/>
  <c r="BC158" i="5"/>
  <c r="BA157" i="5"/>
  <c r="BE156" i="5"/>
  <c r="AL157" i="5"/>
  <c r="AP156" i="5"/>
  <c r="AG157" i="5" l="1"/>
  <c r="W158" i="5"/>
  <c r="BK162" i="8"/>
  <c r="BL161" i="8"/>
  <c r="BM161" i="8" s="1"/>
  <c r="DN162" i="8"/>
  <c r="DO161" i="8"/>
  <c r="DP161" i="8" s="1"/>
  <c r="Z158" i="5"/>
  <c r="AJ157" i="5"/>
  <c r="X158" i="5"/>
  <c r="AH157" i="5"/>
  <c r="Y160" i="5"/>
  <c r="AY160" i="5" s="1"/>
  <c r="AI159" i="5"/>
  <c r="BA158" i="5"/>
  <c r="BE157" i="5"/>
  <c r="BC159" i="5"/>
  <c r="BB158" i="5"/>
  <c r="BF157" i="5"/>
  <c r="AZ159" i="5"/>
  <c r="BD158" i="5"/>
  <c r="AL158" i="5"/>
  <c r="AP157" i="5"/>
  <c r="AG158" i="5" l="1"/>
  <c r="W159" i="5"/>
  <c r="DN163" i="8"/>
  <c r="DO162" i="8"/>
  <c r="DP162" i="8" s="1"/>
  <c r="BK163" i="8"/>
  <c r="BL162" i="8"/>
  <c r="BM162" i="8" s="1"/>
  <c r="Y161" i="5"/>
  <c r="AY161" i="5" s="1"/>
  <c r="AI160" i="5"/>
  <c r="X159" i="5"/>
  <c r="AH158" i="5"/>
  <c r="Z159" i="5"/>
  <c r="AJ158" i="5"/>
  <c r="AZ160" i="5"/>
  <c r="BD159" i="5"/>
  <c r="BB159" i="5"/>
  <c r="BF158" i="5"/>
  <c r="BC160" i="5"/>
  <c r="BA159" i="5"/>
  <c r="BE158" i="5"/>
  <c r="AL159" i="5"/>
  <c r="AP158" i="5"/>
  <c r="AG159" i="5" l="1"/>
  <c r="W160" i="5"/>
  <c r="BK164" i="8"/>
  <c r="BL163" i="8"/>
  <c r="BM163" i="8" s="1"/>
  <c r="DN164" i="8"/>
  <c r="DO163" i="8"/>
  <c r="DP163" i="8" s="1"/>
  <c r="Y162" i="5"/>
  <c r="AY162" i="5" s="1"/>
  <c r="AI161" i="5"/>
  <c r="Z160" i="5"/>
  <c r="AJ159" i="5"/>
  <c r="X160" i="5"/>
  <c r="AH159" i="5"/>
  <c r="BA160" i="5"/>
  <c r="BE159" i="5"/>
  <c r="BC161" i="5"/>
  <c r="BB160" i="5"/>
  <c r="BF159" i="5"/>
  <c r="AZ161" i="5"/>
  <c r="BD160" i="5"/>
  <c r="AL160" i="5"/>
  <c r="AP159" i="5"/>
  <c r="AG160" i="5" l="1"/>
  <c r="W161" i="5"/>
  <c r="DN165" i="8"/>
  <c r="DO164" i="8"/>
  <c r="DP164" i="8" s="1"/>
  <c r="BK165" i="8"/>
  <c r="BL164" i="8"/>
  <c r="BM164" i="8" s="1"/>
  <c r="Z161" i="5"/>
  <c r="AJ160" i="5"/>
  <c r="X161" i="5"/>
  <c r="AH160" i="5"/>
  <c r="Y163" i="5"/>
  <c r="AY163" i="5" s="1"/>
  <c r="AI162" i="5"/>
  <c r="AZ162" i="5"/>
  <c r="BD161" i="5"/>
  <c r="BB161" i="5"/>
  <c r="BF160" i="5"/>
  <c r="BC162" i="5"/>
  <c r="BA161" i="5"/>
  <c r="BE160" i="5"/>
  <c r="AL161" i="5"/>
  <c r="AP160" i="5"/>
  <c r="W162" i="5" l="1"/>
  <c r="AG161" i="5"/>
  <c r="BK166" i="8"/>
  <c r="BL165" i="8"/>
  <c r="BM165" i="8" s="1"/>
  <c r="DN166" i="8"/>
  <c r="DO165" i="8"/>
  <c r="DP165" i="8" s="1"/>
  <c r="Z162" i="5"/>
  <c r="AJ161" i="5"/>
  <c r="X162" i="5"/>
  <c r="AH161" i="5"/>
  <c r="Y164" i="5"/>
  <c r="AY164" i="5" s="1"/>
  <c r="AI163" i="5"/>
  <c r="BA162" i="5"/>
  <c r="BE161" i="5"/>
  <c r="BC163" i="5"/>
  <c r="BB162" i="5"/>
  <c r="BF161" i="5"/>
  <c r="AZ163" i="5"/>
  <c r="BD162" i="5"/>
  <c r="AL162" i="5"/>
  <c r="AP161" i="5"/>
  <c r="W163" i="5" l="1"/>
  <c r="AG162" i="5"/>
  <c r="DN167" i="8"/>
  <c r="DO166" i="8"/>
  <c r="DP166" i="8" s="1"/>
  <c r="BK167" i="8"/>
  <c r="BL166" i="8"/>
  <c r="BM166" i="8" s="1"/>
  <c r="X163" i="5"/>
  <c r="AH162" i="5"/>
  <c r="Y165" i="5"/>
  <c r="AY165" i="5" s="1"/>
  <c r="AI164" i="5"/>
  <c r="Z163" i="5"/>
  <c r="AJ162" i="5"/>
  <c r="AZ164" i="5"/>
  <c r="BD163" i="5"/>
  <c r="BB163" i="5"/>
  <c r="BF162" i="5"/>
  <c r="BC164" i="5"/>
  <c r="BA163" i="5"/>
  <c r="BE162" i="5"/>
  <c r="AL163" i="5"/>
  <c r="AP162" i="5"/>
  <c r="AG163" i="5" l="1"/>
  <c r="W164" i="5"/>
  <c r="BK168" i="8"/>
  <c r="BL167" i="8"/>
  <c r="BM167" i="8" s="1"/>
  <c r="DN168" i="8"/>
  <c r="DO167" i="8"/>
  <c r="DP167" i="8" s="1"/>
  <c r="Z164" i="5"/>
  <c r="AJ163" i="5"/>
  <c r="Y166" i="5"/>
  <c r="AY166" i="5" s="1"/>
  <c r="AI165" i="5"/>
  <c r="X164" i="5"/>
  <c r="AH163" i="5"/>
  <c r="BB164" i="5"/>
  <c r="BF163" i="5"/>
  <c r="BA164" i="5"/>
  <c r="BE163" i="5"/>
  <c r="BC165" i="5"/>
  <c r="AZ165" i="5"/>
  <c r="BD164" i="5"/>
  <c r="AL164" i="5"/>
  <c r="AP163" i="5"/>
  <c r="W165" i="5" l="1"/>
  <c r="AG164" i="5"/>
  <c r="DN169" i="8"/>
  <c r="DO168" i="8"/>
  <c r="DP168" i="8" s="1"/>
  <c r="BK169" i="8"/>
  <c r="BL168" i="8"/>
  <c r="BM168" i="8" s="1"/>
  <c r="X165" i="5"/>
  <c r="AH164" i="5"/>
  <c r="Y167" i="5"/>
  <c r="AY167" i="5" s="1"/>
  <c r="AI166" i="5"/>
  <c r="Z165" i="5"/>
  <c r="AJ164" i="5"/>
  <c r="AZ166" i="5"/>
  <c r="BD165" i="5"/>
  <c r="BC166" i="5"/>
  <c r="BA165" i="5"/>
  <c r="BE164" i="5"/>
  <c r="BB165" i="5"/>
  <c r="BF164" i="5"/>
  <c r="AL165" i="5"/>
  <c r="AP164" i="5"/>
  <c r="W166" i="5" l="1"/>
  <c r="AG165" i="5"/>
  <c r="BK170" i="8"/>
  <c r="BL169" i="8"/>
  <c r="BM169" i="8" s="1"/>
  <c r="DN170" i="8"/>
  <c r="DO169" i="8"/>
  <c r="DP169" i="8" s="1"/>
  <c r="Z166" i="5"/>
  <c r="AJ165" i="5"/>
  <c r="Y168" i="5"/>
  <c r="AY168" i="5" s="1"/>
  <c r="AI167" i="5"/>
  <c r="X166" i="5"/>
  <c r="AH165" i="5"/>
  <c r="BB166" i="5"/>
  <c r="BF165" i="5"/>
  <c r="BA166" i="5"/>
  <c r="BE165" i="5"/>
  <c r="BC167" i="5"/>
  <c r="AZ167" i="5"/>
  <c r="BD166" i="5"/>
  <c r="AL166" i="5"/>
  <c r="AP165" i="5"/>
  <c r="W167" i="5" l="1"/>
  <c r="AG166" i="5"/>
  <c r="DN171" i="8"/>
  <c r="DO170" i="8"/>
  <c r="DP170" i="8" s="1"/>
  <c r="BK171" i="8"/>
  <c r="BL170" i="8"/>
  <c r="BM170" i="8" s="1"/>
  <c r="X167" i="5"/>
  <c r="AH166" i="5"/>
  <c r="Y169" i="5"/>
  <c r="AY169" i="5" s="1"/>
  <c r="AI168" i="5"/>
  <c r="Z167" i="5"/>
  <c r="AJ166" i="5"/>
  <c r="AZ168" i="5"/>
  <c r="BD167" i="5"/>
  <c r="BC168" i="5"/>
  <c r="BA167" i="5"/>
  <c r="BE166" i="5"/>
  <c r="BB167" i="5"/>
  <c r="BF166" i="5"/>
  <c r="AL167" i="5"/>
  <c r="AP166" i="5"/>
  <c r="W168" i="5" l="1"/>
  <c r="AG167" i="5"/>
  <c r="BK172" i="8"/>
  <c r="BL171" i="8"/>
  <c r="BM171" i="8" s="1"/>
  <c r="DN172" i="8"/>
  <c r="DO171" i="8"/>
  <c r="DP171" i="8" s="1"/>
  <c r="Z168" i="5"/>
  <c r="AJ167" i="5"/>
  <c r="Y170" i="5"/>
  <c r="AY170" i="5" s="1"/>
  <c r="AI169" i="5"/>
  <c r="X168" i="5"/>
  <c r="AH167" i="5"/>
  <c r="BA168" i="5"/>
  <c r="BE167" i="5"/>
  <c r="BB168" i="5"/>
  <c r="BF167" i="5"/>
  <c r="BC169" i="5"/>
  <c r="AZ169" i="5"/>
  <c r="BD168" i="5"/>
  <c r="AL168" i="5"/>
  <c r="AP167" i="5"/>
  <c r="AG168" i="5" l="1"/>
  <c r="W169" i="5"/>
  <c r="DN173" i="8"/>
  <c r="DO172" i="8"/>
  <c r="DP172" i="8" s="1"/>
  <c r="BK173" i="8"/>
  <c r="BL172" i="8"/>
  <c r="BM172" i="8" s="1"/>
  <c r="X169" i="5"/>
  <c r="AH168" i="5"/>
  <c r="Y171" i="5"/>
  <c r="AY171" i="5" s="1"/>
  <c r="AI170" i="5"/>
  <c r="Z169" i="5"/>
  <c r="AJ168" i="5"/>
  <c r="AZ170" i="5"/>
  <c r="BD169" i="5"/>
  <c r="BC170" i="5"/>
  <c r="BB169" i="5"/>
  <c r="BF168" i="5"/>
  <c r="BA169" i="5"/>
  <c r="BE168" i="5"/>
  <c r="AL169" i="5"/>
  <c r="AP168" i="5"/>
  <c r="W170" i="5" l="1"/>
  <c r="AG169" i="5"/>
  <c r="BK174" i="8"/>
  <c r="BL173" i="8"/>
  <c r="BM173" i="8" s="1"/>
  <c r="DN174" i="8"/>
  <c r="DO173" i="8"/>
  <c r="DP173" i="8" s="1"/>
  <c r="X170" i="5"/>
  <c r="AH169" i="5"/>
  <c r="Z170" i="5"/>
  <c r="AJ169" i="5"/>
  <c r="Y172" i="5"/>
  <c r="AY172" i="5" s="1"/>
  <c r="AI171" i="5"/>
  <c r="BA170" i="5"/>
  <c r="BE169" i="5"/>
  <c r="BB170" i="5"/>
  <c r="BF169" i="5"/>
  <c r="BC171" i="5"/>
  <c r="AZ171" i="5"/>
  <c r="BD170" i="5"/>
  <c r="AL170" i="5"/>
  <c r="AP169" i="5"/>
  <c r="AG170" i="5" l="1"/>
  <c r="W171" i="5"/>
  <c r="DN175" i="8"/>
  <c r="DO174" i="8"/>
  <c r="DP174" i="8" s="1"/>
  <c r="BK175" i="8"/>
  <c r="BL174" i="8"/>
  <c r="BM174" i="8" s="1"/>
  <c r="Y173" i="5"/>
  <c r="AY173" i="5" s="1"/>
  <c r="AI172" i="5"/>
  <c r="Z171" i="5"/>
  <c r="AJ170" i="5"/>
  <c r="X171" i="5"/>
  <c r="AH170" i="5"/>
  <c r="AZ172" i="5"/>
  <c r="BD171" i="5"/>
  <c r="BC172" i="5"/>
  <c r="BB171" i="5"/>
  <c r="BF170" i="5"/>
  <c r="BA171" i="5"/>
  <c r="BE170" i="5"/>
  <c r="AL171" i="5"/>
  <c r="AP170" i="5"/>
  <c r="AG171" i="5" l="1"/>
  <c r="W172" i="5"/>
  <c r="BK176" i="8"/>
  <c r="BL175" i="8"/>
  <c r="BM175" i="8" s="1"/>
  <c r="DN176" i="8"/>
  <c r="DO175" i="8"/>
  <c r="DP175" i="8" s="1"/>
  <c r="X172" i="5"/>
  <c r="AH171" i="5"/>
  <c r="Z172" i="5"/>
  <c r="AJ171" i="5"/>
  <c r="Y174" i="5"/>
  <c r="AY174" i="5" s="1"/>
  <c r="AI173" i="5"/>
  <c r="BA172" i="5"/>
  <c r="BE171" i="5"/>
  <c r="BB172" i="5"/>
  <c r="BF171" i="5"/>
  <c r="BC173" i="5"/>
  <c r="AZ173" i="5"/>
  <c r="BD172" i="5"/>
  <c r="AL172" i="5"/>
  <c r="AP171" i="5"/>
  <c r="W173" i="5" l="1"/>
  <c r="AG172" i="5"/>
  <c r="DN177" i="8"/>
  <c r="DO176" i="8"/>
  <c r="DP176" i="8" s="1"/>
  <c r="BK177" i="8"/>
  <c r="BL176" i="8"/>
  <c r="BM176" i="8" s="1"/>
  <c r="Y175" i="5"/>
  <c r="AY175" i="5" s="1"/>
  <c r="AI174" i="5"/>
  <c r="Z173" i="5"/>
  <c r="AJ172" i="5"/>
  <c r="X173" i="5"/>
  <c r="AH172" i="5"/>
  <c r="AZ174" i="5"/>
  <c r="BD173" i="5"/>
  <c r="BC174" i="5"/>
  <c r="BB173" i="5"/>
  <c r="BF172" i="5"/>
  <c r="BA173" i="5"/>
  <c r="BE172" i="5"/>
  <c r="AL173" i="5"/>
  <c r="AP172" i="5"/>
  <c r="AG173" i="5" l="1"/>
  <c r="W174" i="5"/>
  <c r="BK178" i="8"/>
  <c r="BL177" i="8"/>
  <c r="BM177" i="8" s="1"/>
  <c r="DN178" i="8"/>
  <c r="DO177" i="8"/>
  <c r="DP177" i="8" s="1"/>
  <c r="X174" i="5"/>
  <c r="AH173" i="5"/>
  <c r="Z174" i="5"/>
  <c r="AJ173" i="5"/>
  <c r="Y176" i="5"/>
  <c r="AY176" i="5" s="1"/>
  <c r="AI175" i="5"/>
  <c r="BA174" i="5"/>
  <c r="BE173" i="5"/>
  <c r="BB174" i="5"/>
  <c r="BF173" i="5"/>
  <c r="BC175" i="5"/>
  <c r="AZ175" i="5"/>
  <c r="BD174" i="5"/>
  <c r="AL174" i="5"/>
  <c r="AP173" i="5"/>
  <c r="W175" i="5" l="1"/>
  <c r="AG174" i="5"/>
  <c r="DN179" i="8"/>
  <c r="DO178" i="8"/>
  <c r="DP178" i="8" s="1"/>
  <c r="BK179" i="8"/>
  <c r="BL178" i="8"/>
  <c r="BM178" i="8" s="1"/>
  <c r="Z175" i="5"/>
  <c r="AJ174" i="5"/>
  <c r="Y177" i="5"/>
  <c r="AY177" i="5" s="1"/>
  <c r="AI176" i="5"/>
  <c r="X175" i="5"/>
  <c r="AH174" i="5"/>
  <c r="AZ176" i="5"/>
  <c r="BD175" i="5"/>
  <c r="BC176" i="5"/>
  <c r="BB175" i="5"/>
  <c r="BF174" i="5"/>
  <c r="BA175" i="5"/>
  <c r="BE174" i="5"/>
  <c r="AL175" i="5"/>
  <c r="AP174" i="5"/>
  <c r="W176" i="5" l="1"/>
  <c r="AG175" i="5"/>
  <c r="BK180" i="8"/>
  <c r="BL179" i="8"/>
  <c r="BM179" i="8" s="1"/>
  <c r="DN180" i="8"/>
  <c r="DO179" i="8"/>
  <c r="DP179" i="8" s="1"/>
  <c r="Y178" i="5"/>
  <c r="AY178" i="5" s="1"/>
  <c r="AI177" i="5"/>
  <c r="X176" i="5"/>
  <c r="AH175" i="5"/>
  <c r="Z176" i="5"/>
  <c r="AJ175" i="5"/>
  <c r="BA176" i="5"/>
  <c r="BE175" i="5"/>
  <c r="BB176" i="5"/>
  <c r="BF175" i="5"/>
  <c r="BC177" i="5"/>
  <c r="AZ177" i="5"/>
  <c r="BD176" i="5"/>
  <c r="AL176" i="5"/>
  <c r="AP175" i="5"/>
  <c r="W177" i="5" l="1"/>
  <c r="AG176" i="5"/>
  <c r="DN181" i="8"/>
  <c r="DO180" i="8"/>
  <c r="DP180" i="8" s="1"/>
  <c r="BK181" i="8"/>
  <c r="BL180" i="8"/>
  <c r="BM180" i="8" s="1"/>
  <c r="Z177" i="5"/>
  <c r="AJ176" i="5"/>
  <c r="X177" i="5"/>
  <c r="AH176" i="5"/>
  <c r="Y179" i="5"/>
  <c r="AY179" i="5" s="1"/>
  <c r="AI178" i="5"/>
  <c r="AZ178" i="5"/>
  <c r="BD177" i="5"/>
  <c r="BC178" i="5"/>
  <c r="BB177" i="5"/>
  <c r="BF176" i="5"/>
  <c r="BA177" i="5"/>
  <c r="BE176" i="5"/>
  <c r="AL177" i="5"/>
  <c r="AP176" i="5"/>
  <c r="W178" i="5" l="1"/>
  <c r="AG177" i="5"/>
  <c r="BK182" i="8"/>
  <c r="BL181" i="8"/>
  <c r="BM181" i="8" s="1"/>
  <c r="DN182" i="8"/>
  <c r="DO181" i="8"/>
  <c r="DP181" i="8" s="1"/>
  <c r="X178" i="5"/>
  <c r="AH177" i="5"/>
  <c r="Y180" i="5"/>
  <c r="AY180" i="5" s="1"/>
  <c r="AI179" i="5"/>
  <c r="Z178" i="5"/>
  <c r="AJ177" i="5"/>
  <c r="BA178" i="5"/>
  <c r="BE177" i="5"/>
  <c r="BB178" i="5"/>
  <c r="BF177" i="5"/>
  <c r="BC179" i="5"/>
  <c r="AZ179" i="5"/>
  <c r="BD178" i="5"/>
  <c r="AL178" i="5"/>
  <c r="AP177" i="5"/>
  <c r="W179" i="5" l="1"/>
  <c r="AG178" i="5"/>
  <c r="DN183" i="8"/>
  <c r="DO182" i="8"/>
  <c r="DP182" i="8" s="1"/>
  <c r="BK183" i="8"/>
  <c r="BL182" i="8"/>
  <c r="BM182" i="8" s="1"/>
  <c r="Y181" i="5"/>
  <c r="AY181" i="5" s="1"/>
  <c r="AI180" i="5"/>
  <c r="X179" i="5"/>
  <c r="AH178" i="5"/>
  <c r="Z179" i="5"/>
  <c r="AJ178" i="5"/>
  <c r="AZ180" i="5"/>
  <c r="BD179" i="5"/>
  <c r="BC180" i="5"/>
  <c r="BB179" i="5"/>
  <c r="BF178" i="5"/>
  <c r="BA179" i="5"/>
  <c r="BE178" i="5"/>
  <c r="AL179" i="5"/>
  <c r="AP178" i="5"/>
  <c r="W180" i="5" l="1"/>
  <c r="AG179" i="5"/>
  <c r="BK184" i="8"/>
  <c r="BL183" i="8"/>
  <c r="BM183" i="8" s="1"/>
  <c r="DN184" i="8"/>
  <c r="DO183" i="8"/>
  <c r="DP183" i="8" s="1"/>
  <c r="X180" i="5"/>
  <c r="AH179" i="5"/>
  <c r="Z180" i="5"/>
  <c r="AJ179" i="5"/>
  <c r="Y182" i="5"/>
  <c r="AY182" i="5" s="1"/>
  <c r="AI181" i="5"/>
  <c r="BB180" i="5"/>
  <c r="BF179" i="5"/>
  <c r="BA180" i="5"/>
  <c r="BE179" i="5"/>
  <c r="BC181" i="5"/>
  <c r="AZ181" i="5"/>
  <c r="BD180" i="5"/>
  <c r="AL180" i="5"/>
  <c r="AP179" i="5"/>
  <c r="W181" i="5" l="1"/>
  <c r="AG180" i="5"/>
  <c r="DN185" i="8"/>
  <c r="DO184" i="8"/>
  <c r="DP184" i="8" s="1"/>
  <c r="BK185" i="8"/>
  <c r="BL184" i="8"/>
  <c r="BM184" i="8" s="1"/>
  <c r="Z181" i="5"/>
  <c r="AJ180" i="5"/>
  <c r="Y183" i="5"/>
  <c r="AY183" i="5" s="1"/>
  <c r="AI182" i="5"/>
  <c r="X181" i="5"/>
  <c r="AH180" i="5"/>
  <c r="AZ182" i="5"/>
  <c r="BD181" i="5"/>
  <c r="BA181" i="5"/>
  <c r="BE180" i="5"/>
  <c r="BC182" i="5"/>
  <c r="BB181" i="5"/>
  <c r="BF180" i="5"/>
  <c r="AL181" i="5"/>
  <c r="AP180" i="5"/>
  <c r="AG181" i="5" l="1"/>
  <c r="W182" i="5"/>
  <c r="BK186" i="8"/>
  <c r="BL185" i="8"/>
  <c r="BM185" i="8" s="1"/>
  <c r="DN186" i="8"/>
  <c r="DO185" i="8"/>
  <c r="DP185" i="8" s="1"/>
  <c r="Z182" i="5"/>
  <c r="AJ181" i="5"/>
  <c r="Y184" i="5"/>
  <c r="AY184" i="5" s="1"/>
  <c r="AI183" i="5"/>
  <c r="X182" i="5"/>
  <c r="AH181" i="5"/>
  <c r="BA182" i="5"/>
  <c r="BE181" i="5"/>
  <c r="BB182" i="5"/>
  <c r="BF181" i="5"/>
  <c r="BC183" i="5"/>
  <c r="AZ183" i="5"/>
  <c r="BD182" i="5"/>
  <c r="AL182" i="5"/>
  <c r="AP181" i="5"/>
  <c r="W183" i="5" l="1"/>
  <c r="AG182" i="5"/>
  <c r="DN187" i="8"/>
  <c r="DO186" i="8"/>
  <c r="DP186" i="8" s="1"/>
  <c r="BK187" i="8"/>
  <c r="BL186" i="8"/>
  <c r="BM186" i="8" s="1"/>
  <c r="X183" i="5"/>
  <c r="AH182" i="5"/>
  <c r="Y185" i="5"/>
  <c r="AY185" i="5" s="1"/>
  <c r="AI184" i="5"/>
  <c r="Z183" i="5"/>
  <c r="AJ182" i="5"/>
  <c r="AZ184" i="5"/>
  <c r="BD183" i="5"/>
  <c r="BB183" i="5"/>
  <c r="BF182" i="5"/>
  <c r="BC184" i="5"/>
  <c r="BA183" i="5"/>
  <c r="BE182" i="5"/>
  <c r="AL183" i="5"/>
  <c r="AP182" i="5"/>
  <c r="W184" i="5" l="1"/>
  <c r="AG183" i="5"/>
  <c r="BK188" i="8"/>
  <c r="BL187" i="8"/>
  <c r="BM187" i="8" s="1"/>
  <c r="DN188" i="8"/>
  <c r="DO187" i="8"/>
  <c r="DP187" i="8" s="1"/>
  <c r="Z184" i="5"/>
  <c r="AJ183" i="5"/>
  <c r="Y186" i="5"/>
  <c r="AY186" i="5" s="1"/>
  <c r="AI185" i="5"/>
  <c r="X184" i="5"/>
  <c r="AH183" i="5"/>
  <c r="BC185" i="5"/>
  <c r="BB184" i="5"/>
  <c r="BF183" i="5"/>
  <c r="BA184" i="5"/>
  <c r="BE183" i="5"/>
  <c r="AZ185" i="5"/>
  <c r="BD184" i="5"/>
  <c r="AL184" i="5"/>
  <c r="AP183" i="5"/>
  <c r="W185" i="5" l="1"/>
  <c r="AG184" i="5"/>
  <c r="DN189" i="8"/>
  <c r="DO188" i="8"/>
  <c r="DP188" i="8" s="1"/>
  <c r="BK189" i="8"/>
  <c r="BL188" i="8"/>
  <c r="BM188" i="8" s="1"/>
  <c r="X185" i="5"/>
  <c r="AH184" i="5"/>
  <c r="Y187" i="5"/>
  <c r="AI186" i="5"/>
  <c r="Z185" i="5"/>
  <c r="AJ184" i="5"/>
  <c r="BA185" i="5"/>
  <c r="BE184" i="5"/>
  <c r="BB185" i="5"/>
  <c r="BF184" i="5"/>
  <c r="AZ186" i="5"/>
  <c r="BD185" i="5"/>
  <c r="BC186" i="5"/>
  <c r="AL185" i="5"/>
  <c r="AP184" i="5"/>
  <c r="W186" i="5" l="1"/>
  <c r="AG185" i="5"/>
  <c r="BK190" i="8"/>
  <c r="BL189" i="8"/>
  <c r="BM189" i="8" s="1"/>
  <c r="DN190" i="8"/>
  <c r="DO189" i="8"/>
  <c r="DP189" i="8" s="1"/>
  <c r="Z186" i="5"/>
  <c r="AJ185" i="5"/>
  <c r="Y188" i="5"/>
  <c r="AI187" i="5"/>
  <c r="AY187" i="5"/>
  <c r="BC187" i="5" s="1"/>
  <c r="X186" i="5"/>
  <c r="AH185" i="5"/>
  <c r="AZ187" i="5"/>
  <c r="BD186" i="5"/>
  <c r="BB186" i="5"/>
  <c r="BF185" i="5"/>
  <c r="BA186" i="5"/>
  <c r="BE185" i="5"/>
  <c r="AL186" i="5"/>
  <c r="AP185" i="5"/>
  <c r="AY188" i="5" l="1"/>
  <c r="BC188" i="5" s="1"/>
  <c r="W187" i="5"/>
  <c r="AG186" i="5"/>
  <c r="DN191" i="8"/>
  <c r="DO190" i="8"/>
  <c r="DP190" i="8" s="1"/>
  <c r="BK191" i="8"/>
  <c r="BL190" i="8"/>
  <c r="BM190" i="8" s="1"/>
  <c r="X187" i="5"/>
  <c r="AH186" i="5"/>
  <c r="Y189" i="5"/>
  <c r="AY189" i="5" s="1"/>
  <c r="AI188" i="5"/>
  <c r="Z187" i="5"/>
  <c r="AJ186" i="5"/>
  <c r="BA187" i="5"/>
  <c r="BE186" i="5"/>
  <c r="BB187" i="5"/>
  <c r="BF186" i="5"/>
  <c r="AZ188" i="5"/>
  <c r="BD187" i="5"/>
  <c r="AL187" i="5"/>
  <c r="AP186" i="5"/>
  <c r="W188" i="5" l="1"/>
  <c r="AG187" i="5"/>
  <c r="BK192" i="8"/>
  <c r="BL191" i="8"/>
  <c r="BM191" i="8" s="1"/>
  <c r="DN192" i="8"/>
  <c r="DO191" i="8"/>
  <c r="DP191" i="8" s="1"/>
  <c r="Z188" i="5"/>
  <c r="AJ187" i="5"/>
  <c r="Y190" i="5"/>
  <c r="AY190" i="5" s="1"/>
  <c r="AI189" i="5"/>
  <c r="X188" i="5"/>
  <c r="AH187" i="5"/>
  <c r="BC189" i="5"/>
  <c r="AZ189" i="5"/>
  <c r="BD188" i="5"/>
  <c r="BB188" i="5"/>
  <c r="BF187" i="5"/>
  <c r="BA188" i="5"/>
  <c r="BE187" i="5"/>
  <c r="AL188" i="5"/>
  <c r="AP187" i="5"/>
  <c r="W189" i="5" l="1"/>
  <c r="AG188" i="5"/>
  <c r="DN193" i="8"/>
  <c r="DO192" i="8"/>
  <c r="DP192" i="8" s="1"/>
  <c r="BK193" i="8"/>
  <c r="BL192" i="8"/>
  <c r="BM192" i="8" s="1"/>
  <c r="X189" i="5"/>
  <c r="AH188" i="5"/>
  <c r="Y191" i="5"/>
  <c r="AI190" i="5"/>
  <c r="Z189" i="5"/>
  <c r="AJ188" i="5"/>
  <c r="BB189" i="5"/>
  <c r="BF188" i="5"/>
  <c r="BA189" i="5"/>
  <c r="BE188" i="5"/>
  <c r="AZ190" i="5"/>
  <c r="BD189" i="5"/>
  <c r="BC190" i="5"/>
  <c r="AL189" i="5"/>
  <c r="AP188" i="5"/>
  <c r="W190" i="5" l="1"/>
  <c r="AG189" i="5"/>
  <c r="BK194" i="8"/>
  <c r="BL193" i="8"/>
  <c r="BM193" i="8" s="1"/>
  <c r="DN194" i="8"/>
  <c r="DO193" i="8"/>
  <c r="DP193" i="8" s="1"/>
  <c r="Z190" i="5"/>
  <c r="AJ189" i="5"/>
  <c r="Y192" i="5"/>
  <c r="AI191" i="5"/>
  <c r="AY191" i="5"/>
  <c r="BC191" i="5" s="1"/>
  <c r="X190" i="5"/>
  <c r="AH189" i="5"/>
  <c r="AZ191" i="5"/>
  <c r="BD190" i="5"/>
  <c r="BA190" i="5"/>
  <c r="BE189" i="5"/>
  <c r="BB190" i="5"/>
  <c r="BF189" i="5"/>
  <c r="AL190" i="5"/>
  <c r="AP189" i="5"/>
  <c r="AY192" i="5" l="1"/>
  <c r="BC192" i="5" s="1"/>
  <c r="AG190" i="5"/>
  <c r="W191" i="5"/>
  <c r="DN195" i="8"/>
  <c r="DO194" i="8"/>
  <c r="DP194" i="8" s="1"/>
  <c r="BK195" i="8"/>
  <c r="BL194" i="8"/>
  <c r="BM194" i="8" s="1"/>
  <c r="Y193" i="5"/>
  <c r="AI192" i="5"/>
  <c r="X191" i="5"/>
  <c r="AH190" i="5"/>
  <c r="Z191" i="5"/>
  <c r="AJ190" i="5"/>
  <c r="BB191" i="5"/>
  <c r="BF190" i="5"/>
  <c r="BA191" i="5"/>
  <c r="BE190" i="5"/>
  <c r="AZ192" i="5"/>
  <c r="BD191" i="5"/>
  <c r="AL191" i="5"/>
  <c r="AP190" i="5"/>
  <c r="AY193" i="5" l="1"/>
  <c r="W192" i="5"/>
  <c r="AG191" i="5"/>
  <c r="BK196" i="8"/>
  <c r="BL195" i="8"/>
  <c r="BM195" i="8" s="1"/>
  <c r="DN196" i="8"/>
  <c r="DO195" i="8"/>
  <c r="DP195" i="8" s="1"/>
  <c r="Z192" i="5"/>
  <c r="AJ191" i="5"/>
  <c r="X192" i="5"/>
  <c r="AH191" i="5"/>
  <c r="Y194" i="5"/>
  <c r="AI193" i="5"/>
  <c r="AZ193" i="5"/>
  <c r="BD192" i="5"/>
  <c r="BA192" i="5"/>
  <c r="BE191" i="5"/>
  <c r="BC193" i="5"/>
  <c r="BB192" i="5"/>
  <c r="BF191" i="5"/>
  <c r="AL192" i="5"/>
  <c r="AP191" i="5"/>
  <c r="W193" i="5" l="1"/>
  <c r="AG192" i="5"/>
  <c r="DN197" i="8"/>
  <c r="DO196" i="8"/>
  <c r="DP196" i="8" s="1"/>
  <c r="BK197" i="8"/>
  <c r="BL196" i="8"/>
  <c r="BM196" i="8" s="1"/>
  <c r="Y195" i="5"/>
  <c r="AI194" i="5"/>
  <c r="X193" i="5"/>
  <c r="AH192" i="5"/>
  <c r="AY194" i="5"/>
  <c r="BC194" i="5" s="1"/>
  <c r="Z193" i="5"/>
  <c r="AJ192" i="5"/>
  <c r="BA193" i="5"/>
  <c r="BE192" i="5"/>
  <c r="BB193" i="5"/>
  <c r="BF192" i="5"/>
  <c r="AZ194" i="5"/>
  <c r="BD193" i="5"/>
  <c r="AL193" i="5"/>
  <c r="AP192" i="5"/>
  <c r="AY195" i="5" l="1"/>
  <c r="BC195" i="5" s="1"/>
  <c r="W194" i="5"/>
  <c r="AG193" i="5"/>
  <c r="BK198" i="8"/>
  <c r="BL197" i="8"/>
  <c r="BM197" i="8" s="1"/>
  <c r="DN198" i="8"/>
  <c r="DO197" i="8"/>
  <c r="DP197" i="8" s="1"/>
  <c r="X194" i="5"/>
  <c r="AH193" i="5"/>
  <c r="Z194" i="5"/>
  <c r="AJ193" i="5"/>
  <c r="Y196" i="5"/>
  <c r="AY196" i="5" s="1"/>
  <c r="AI195" i="5"/>
  <c r="AZ195" i="5"/>
  <c r="BD194" i="5"/>
  <c r="BB194" i="5"/>
  <c r="BF193" i="5"/>
  <c r="BA194" i="5"/>
  <c r="BE193" i="5"/>
  <c r="AL194" i="5"/>
  <c r="AP193" i="5"/>
  <c r="W195" i="5" l="1"/>
  <c r="AG194" i="5"/>
  <c r="DN199" i="8"/>
  <c r="DO198" i="8"/>
  <c r="DP198" i="8" s="1"/>
  <c r="BK199" i="8"/>
  <c r="BL198" i="8"/>
  <c r="BM198" i="8" s="1"/>
  <c r="Z195" i="5"/>
  <c r="AJ194" i="5"/>
  <c r="Y197" i="5"/>
  <c r="AY197" i="5" s="1"/>
  <c r="AI196" i="5"/>
  <c r="X195" i="5"/>
  <c r="AH194" i="5"/>
  <c r="BA195" i="5"/>
  <c r="BE194" i="5"/>
  <c r="BC196" i="5"/>
  <c r="BB195" i="5"/>
  <c r="BF194" i="5"/>
  <c r="AZ196" i="5"/>
  <c r="BD195" i="5"/>
  <c r="AL195" i="5"/>
  <c r="AP194" i="5"/>
  <c r="W196" i="5" l="1"/>
  <c r="AG195" i="5"/>
  <c r="BK200" i="8"/>
  <c r="BL199" i="8"/>
  <c r="BM199" i="8" s="1"/>
  <c r="DN200" i="8"/>
  <c r="DO199" i="8"/>
  <c r="DP199" i="8" s="1"/>
  <c r="X196" i="5"/>
  <c r="AH195" i="5"/>
  <c r="Y198" i="5"/>
  <c r="AI197" i="5"/>
  <c r="Z196" i="5"/>
  <c r="AJ195" i="5"/>
  <c r="BB196" i="5"/>
  <c r="BF195" i="5"/>
  <c r="AZ197" i="5"/>
  <c r="BD196" i="5"/>
  <c r="BC197" i="5"/>
  <c r="BA196" i="5"/>
  <c r="BE195" i="5"/>
  <c r="AL196" i="5"/>
  <c r="AP195" i="5"/>
  <c r="W197" i="5" l="1"/>
  <c r="AG196" i="5"/>
  <c r="DN201" i="8"/>
  <c r="DO200" i="8"/>
  <c r="DP200" i="8" s="1"/>
  <c r="BK201" i="8"/>
  <c r="BL200" i="8"/>
  <c r="BM200" i="8" s="1"/>
  <c r="Y199" i="5"/>
  <c r="AI198" i="5"/>
  <c r="Z197" i="5"/>
  <c r="AJ196" i="5"/>
  <c r="AY198" i="5"/>
  <c r="BC198" i="5" s="1"/>
  <c r="X197" i="5"/>
  <c r="AH196" i="5"/>
  <c r="BA197" i="5"/>
  <c r="BE196" i="5"/>
  <c r="AZ198" i="5"/>
  <c r="BD197" i="5"/>
  <c r="BB197" i="5"/>
  <c r="BF196" i="5"/>
  <c r="AL197" i="5"/>
  <c r="AP196" i="5"/>
  <c r="AY199" i="5" l="1"/>
  <c r="BC199" i="5" s="1"/>
  <c r="AG197" i="5"/>
  <c r="W198" i="5"/>
  <c r="BK202" i="8"/>
  <c r="BL201" i="8"/>
  <c r="BM201" i="8" s="1"/>
  <c r="DN202" i="8"/>
  <c r="DO201" i="8"/>
  <c r="DP201" i="8" s="1"/>
  <c r="Z198" i="5"/>
  <c r="AJ197" i="5"/>
  <c r="X198" i="5"/>
  <c r="AH197" i="5"/>
  <c r="Y200" i="5"/>
  <c r="AI199" i="5"/>
  <c r="AZ199" i="5"/>
  <c r="BD198" i="5"/>
  <c r="BB198" i="5"/>
  <c r="BF197" i="5"/>
  <c r="BA198" i="5"/>
  <c r="BE197" i="5"/>
  <c r="AL198" i="5"/>
  <c r="AP197" i="5"/>
  <c r="AY200" i="5" l="1"/>
  <c r="AG198" i="5"/>
  <c r="W199" i="5"/>
  <c r="DN203" i="8"/>
  <c r="DO202" i="8"/>
  <c r="DP202" i="8" s="1"/>
  <c r="BK203" i="8"/>
  <c r="BL202" i="8"/>
  <c r="BM202" i="8" s="1"/>
  <c r="Y201" i="5"/>
  <c r="AY201" i="5" s="1"/>
  <c r="AI200" i="5"/>
  <c r="X199" i="5"/>
  <c r="AH198" i="5"/>
  <c r="Z199" i="5"/>
  <c r="AJ198" i="5"/>
  <c r="BC200" i="5"/>
  <c r="BA199" i="5"/>
  <c r="BE198" i="5"/>
  <c r="BB199" i="5"/>
  <c r="BF198" i="5"/>
  <c r="AZ200" i="5"/>
  <c r="BD199" i="5"/>
  <c r="AL199" i="5"/>
  <c r="AP198" i="5"/>
  <c r="W200" i="5" l="1"/>
  <c r="AG199" i="5"/>
  <c r="BK204" i="8"/>
  <c r="BL203" i="8"/>
  <c r="BM203" i="8" s="1"/>
  <c r="DN204" i="8"/>
  <c r="DO203" i="8"/>
  <c r="DP203" i="8" s="1"/>
  <c r="Z200" i="5"/>
  <c r="AJ199" i="5"/>
  <c r="X200" i="5"/>
  <c r="AH199" i="5"/>
  <c r="Y202" i="5"/>
  <c r="AI201" i="5"/>
  <c r="AZ201" i="5"/>
  <c r="BD200" i="5"/>
  <c r="BB200" i="5"/>
  <c r="BF199" i="5"/>
  <c r="BA200" i="5"/>
  <c r="BE199" i="5"/>
  <c r="BC201" i="5"/>
  <c r="AL200" i="5"/>
  <c r="AP199" i="5"/>
  <c r="W201" i="5" l="1"/>
  <c r="AG200" i="5"/>
  <c r="DN205" i="8"/>
  <c r="DO204" i="8"/>
  <c r="DP204" i="8" s="1"/>
  <c r="BK205" i="8"/>
  <c r="BL204" i="8"/>
  <c r="BM204" i="8" s="1"/>
  <c r="Y203" i="5"/>
  <c r="AI202" i="5"/>
  <c r="AY202" i="5"/>
  <c r="BC202" i="5" s="1"/>
  <c r="X201" i="5"/>
  <c r="AH200" i="5"/>
  <c r="Z201" i="5"/>
  <c r="AJ200" i="5"/>
  <c r="BA201" i="5"/>
  <c r="BE200" i="5"/>
  <c r="BB201" i="5"/>
  <c r="BF200" i="5"/>
  <c r="AZ202" i="5"/>
  <c r="BD201" i="5"/>
  <c r="AL201" i="5"/>
  <c r="AP200" i="5"/>
  <c r="AY203" i="5" l="1"/>
  <c r="BC203" i="5" s="1"/>
  <c r="W202" i="5"/>
  <c r="AG201" i="5"/>
  <c r="BK206" i="8"/>
  <c r="BL205" i="8"/>
  <c r="BM205" i="8" s="1"/>
  <c r="DN206" i="8"/>
  <c r="DO205" i="8"/>
  <c r="DP205" i="8" s="1"/>
  <c r="Z202" i="5"/>
  <c r="AJ201" i="5"/>
  <c r="X202" i="5"/>
  <c r="AH201" i="5"/>
  <c r="Y204" i="5"/>
  <c r="AI203" i="5"/>
  <c r="AZ203" i="5"/>
  <c r="BD202" i="5"/>
  <c r="BB202" i="5"/>
  <c r="BF201" i="5"/>
  <c r="BA202" i="5"/>
  <c r="BE201" i="5"/>
  <c r="AL202" i="5"/>
  <c r="AP201" i="5"/>
  <c r="W203" i="5" l="1"/>
  <c r="AG202" i="5"/>
  <c r="DN207" i="8"/>
  <c r="DO206" i="8"/>
  <c r="DP206" i="8" s="1"/>
  <c r="BK207" i="8"/>
  <c r="BL206" i="8"/>
  <c r="BM206" i="8" s="1"/>
  <c r="Y205" i="5"/>
  <c r="AI204" i="5"/>
  <c r="AY204" i="5"/>
  <c r="BC204" i="5" s="1"/>
  <c r="X203" i="5"/>
  <c r="AH202" i="5"/>
  <c r="Z203" i="5"/>
  <c r="AJ202" i="5"/>
  <c r="BA203" i="5"/>
  <c r="BE202" i="5"/>
  <c r="BB203" i="5"/>
  <c r="BF202" i="5"/>
  <c r="AZ204" i="5"/>
  <c r="BD203" i="5"/>
  <c r="AL203" i="5"/>
  <c r="AP202" i="5"/>
  <c r="AY205" i="5" l="1"/>
  <c r="BC205" i="5" s="1"/>
  <c r="W204" i="5"/>
  <c r="AG203" i="5"/>
  <c r="BK208" i="8"/>
  <c r="BL207" i="8"/>
  <c r="BM207" i="8" s="1"/>
  <c r="DN208" i="8"/>
  <c r="DO207" i="8"/>
  <c r="DP207" i="8" s="1"/>
  <c r="Z204" i="5"/>
  <c r="AJ203" i="5"/>
  <c r="X204" i="5"/>
  <c r="AH203" i="5"/>
  <c r="Y206" i="5"/>
  <c r="AY206" i="5" s="1"/>
  <c r="AI205" i="5"/>
  <c r="AZ205" i="5"/>
  <c r="BD204" i="5"/>
  <c r="BB204" i="5"/>
  <c r="BF203" i="5"/>
  <c r="BA204" i="5"/>
  <c r="BE203" i="5"/>
  <c r="AL204" i="5"/>
  <c r="AP203" i="5"/>
  <c r="W205" i="5" l="1"/>
  <c r="AG204" i="5"/>
  <c r="DN209" i="8"/>
  <c r="DO208" i="8"/>
  <c r="DP208" i="8" s="1"/>
  <c r="BK209" i="8"/>
  <c r="BL208" i="8"/>
  <c r="BM208" i="8" s="1"/>
  <c r="Y207" i="5"/>
  <c r="AY207" i="5" s="1"/>
  <c r="AI206" i="5"/>
  <c r="X205" i="5"/>
  <c r="AH204" i="5"/>
  <c r="Z205" i="5"/>
  <c r="AJ204" i="5"/>
  <c r="BA205" i="5"/>
  <c r="BE204" i="5"/>
  <c r="BC206" i="5"/>
  <c r="BB205" i="5"/>
  <c r="BF204" i="5"/>
  <c r="AZ206" i="5"/>
  <c r="BD205" i="5"/>
  <c r="AL205" i="5"/>
  <c r="AP204" i="5"/>
  <c r="W206" i="5" l="1"/>
  <c r="AG205" i="5"/>
  <c r="BK210" i="8"/>
  <c r="BL209" i="8"/>
  <c r="BM209" i="8" s="1"/>
  <c r="DN210" i="8"/>
  <c r="DO209" i="8"/>
  <c r="DP209" i="8" s="1"/>
  <c r="X206" i="5"/>
  <c r="AH205" i="5"/>
  <c r="Z206" i="5"/>
  <c r="AJ205" i="5"/>
  <c r="Y208" i="5"/>
  <c r="AI207" i="5"/>
  <c r="AZ207" i="5"/>
  <c r="BD206" i="5"/>
  <c r="BB206" i="5"/>
  <c r="BF205" i="5"/>
  <c r="BC207" i="5"/>
  <c r="BA206" i="5"/>
  <c r="BE205" i="5"/>
  <c r="AL206" i="5"/>
  <c r="AP205" i="5"/>
  <c r="W207" i="5" l="1"/>
  <c r="AG206" i="5"/>
  <c r="DN211" i="8"/>
  <c r="DO210" i="8"/>
  <c r="DP210" i="8" s="1"/>
  <c r="BK211" i="8"/>
  <c r="BL210" i="8"/>
  <c r="BM210" i="8" s="1"/>
  <c r="Z207" i="5"/>
  <c r="AJ206" i="5"/>
  <c r="Y209" i="5"/>
  <c r="AI208" i="5"/>
  <c r="AY208" i="5"/>
  <c r="BC208" i="5" s="1"/>
  <c r="X207" i="5"/>
  <c r="AH206" i="5"/>
  <c r="BA207" i="5"/>
  <c r="BE206" i="5"/>
  <c r="BB207" i="5"/>
  <c r="BF206" i="5"/>
  <c r="AZ208" i="5"/>
  <c r="BD207" i="5"/>
  <c r="AL207" i="5"/>
  <c r="AP206" i="5"/>
  <c r="AY209" i="5" l="1"/>
  <c r="BC209" i="5" s="1"/>
  <c r="W208" i="5"/>
  <c r="AG207" i="5"/>
  <c r="BK212" i="8"/>
  <c r="BL211" i="8"/>
  <c r="BM211" i="8" s="1"/>
  <c r="DN212" i="8"/>
  <c r="DO211" i="8"/>
  <c r="DP211" i="8" s="1"/>
  <c r="Y210" i="5"/>
  <c r="AY210" i="5" s="1"/>
  <c r="AI209" i="5"/>
  <c r="X208" i="5"/>
  <c r="AH207" i="5"/>
  <c r="Z208" i="5"/>
  <c r="AJ207" i="5"/>
  <c r="AZ209" i="5"/>
  <c r="BD208" i="5"/>
  <c r="BB208" i="5"/>
  <c r="BF207" i="5"/>
  <c r="BA208" i="5"/>
  <c r="BE207" i="5"/>
  <c r="AL208" i="5"/>
  <c r="AP207" i="5"/>
  <c r="W209" i="5" l="1"/>
  <c r="AG208" i="5"/>
  <c r="DN213" i="8"/>
  <c r="DO212" i="8"/>
  <c r="DP212" i="8" s="1"/>
  <c r="BK213" i="8"/>
  <c r="BL212" i="8"/>
  <c r="BM212" i="8" s="1"/>
  <c r="Z209" i="5"/>
  <c r="AJ208" i="5"/>
  <c r="X209" i="5"/>
  <c r="AH208" i="5"/>
  <c r="Y211" i="5"/>
  <c r="AY211" i="5" s="1"/>
  <c r="AI210" i="5"/>
  <c r="BC210" i="5"/>
  <c r="BA209" i="5"/>
  <c r="BE208" i="5"/>
  <c r="BB209" i="5"/>
  <c r="BF208" i="5"/>
  <c r="AZ210" i="5"/>
  <c r="BD209" i="5"/>
  <c r="AL209" i="5"/>
  <c r="AP208" i="5"/>
  <c r="AG209" i="5" l="1"/>
  <c r="W210" i="5"/>
  <c r="BK214" i="8"/>
  <c r="BL213" i="8"/>
  <c r="BM213" i="8" s="1"/>
  <c r="DN214" i="8"/>
  <c r="DO213" i="8"/>
  <c r="DP213" i="8" s="1"/>
  <c r="X210" i="5"/>
  <c r="AH209" i="5"/>
  <c r="Y212" i="5"/>
  <c r="AY212" i="5" s="1"/>
  <c r="AI211" i="5"/>
  <c r="Z210" i="5"/>
  <c r="AJ209" i="5"/>
  <c r="BB210" i="5"/>
  <c r="BF209" i="5"/>
  <c r="AZ211" i="5"/>
  <c r="BD210" i="5"/>
  <c r="BA210" i="5"/>
  <c r="BE209" i="5"/>
  <c r="BC211" i="5"/>
  <c r="AL210" i="5"/>
  <c r="AP209" i="5"/>
  <c r="W211" i="5" l="1"/>
  <c r="AG210" i="5"/>
  <c r="DN215" i="8"/>
  <c r="DO214" i="8"/>
  <c r="DP214" i="8" s="1"/>
  <c r="BK215" i="8"/>
  <c r="BL214" i="8"/>
  <c r="BM214" i="8" s="1"/>
  <c r="Y213" i="5"/>
  <c r="AY213" i="5" s="1"/>
  <c r="AI212" i="5"/>
  <c r="Z211" i="5"/>
  <c r="AJ210" i="5"/>
  <c r="X211" i="5"/>
  <c r="AH210" i="5"/>
  <c r="BA211" i="5"/>
  <c r="BE210" i="5"/>
  <c r="AZ212" i="5"/>
  <c r="BD211" i="5"/>
  <c r="BC212" i="5"/>
  <c r="BB211" i="5"/>
  <c r="BF210" i="5"/>
  <c r="AL211" i="5"/>
  <c r="AP210" i="5"/>
  <c r="W212" i="5" l="1"/>
  <c r="AG211" i="5"/>
  <c r="BK216" i="8"/>
  <c r="BL215" i="8"/>
  <c r="BM215" i="8" s="1"/>
  <c r="DN216" i="8"/>
  <c r="DO215" i="8"/>
  <c r="DP215" i="8" s="1"/>
  <c r="Z212" i="5"/>
  <c r="AJ211" i="5"/>
  <c r="X212" i="5"/>
  <c r="AH211" i="5"/>
  <c r="Y214" i="5"/>
  <c r="AY214" i="5" s="1"/>
  <c r="AI213" i="5"/>
  <c r="BC213" i="5"/>
  <c r="BB212" i="5"/>
  <c r="BF211" i="5"/>
  <c r="AZ213" i="5"/>
  <c r="BD212" i="5"/>
  <c r="BA212" i="5"/>
  <c r="BE211" i="5"/>
  <c r="AL212" i="5"/>
  <c r="AP211" i="5"/>
  <c r="W213" i="5" l="1"/>
  <c r="AG212" i="5"/>
  <c r="DN217" i="8"/>
  <c r="DO216" i="8"/>
  <c r="DP216" i="8" s="1"/>
  <c r="BK217" i="8"/>
  <c r="BL216" i="8"/>
  <c r="BM216" i="8" s="1"/>
  <c r="X213" i="5"/>
  <c r="AH212" i="5"/>
  <c r="Z213" i="5"/>
  <c r="AJ212" i="5"/>
  <c r="Y215" i="5"/>
  <c r="AI214" i="5"/>
  <c r="BA213" i="5"/>
  <c r="BE212" i="5"/>
  <c r="AZ214" i="5"/>
  <c r="BD213" i="5"/>
  <c r="BB213" i="5"/>
  <c r="BF212" i="5"/>
  <c r="BC214" i="5"/>
  <c r="AL213" i="5"/>
  <c r="AP212" i="5"/>
  <c r="W214" i="5" l="1"/>
  <c r="AG213" i="5"/>
  <c r="BK218" i="8"/>
  <c r="BL217" i="8"/>
  <c r="BM217" i="8" s="1"/>
  <c r="DN218" i="8"/>
  <c r="DO217" i="8"/>
  <c r="DP217" i="8" s="1"/>
  <c r="Z214" i="5"/>
  <c r="AJ213" i="5"/>
  <c r="Y216" i="5"/>
  <c r="AI215" i="5"/>
  <c r="AY215" i="5"/>
  <c r="BC215" i="5" s="1"/>
  <c r="X214" i="5"/>
  <c r="AH213" i="5"/>
  <c r="AZ215" i="5"/>
  <c r="BD214" i="5"/>
  <c r="BB214" i="5"/>
  <c r="BF213" i="5"/>
  <c r="BA214" i="5"/>
  <c r="BE213" i="5"/>
  <c r="AL214" i="5"/>
  <c r="AP213" i="5"/>
  <c r="AY216" i="5" l="1"/>
  <c r="BC216" i="5" s="1"/>
  <c r="AG214" i="5"/>
  <c r="W215" i="5"/>
  <c r="DN219" i="8"/>
  <c r="DO218" i="8"/>
  <c r="DP218" i="8" s="1"/>
  <c r="BK219" i="8"/>
  <c r="BL218" i="8"/>
  <c r="BM218" i="8" s="1"/>
  <c r="Y217" i="5"/>
  <c r="AY217" i="5" s="1"/>
  <c r="AI216" i="5"/>
  <c r="X215" i="5"/>
  <c r="AH214" i="5"/>
  <c r="Z215" i="5"/>
  <c r="AJ214" i="5"/>
  <c r="BB215" i="5"/>
  <c r="BF214" i="5"/>
  <c r="BA215" i="5"/>
  <c r="BE214" i="5"/>
  <c r="AZ216" i="5"/>
  <c r="BD215" i="5"/>
  <c r="AL215" i="5"/>
  <c r="AP214" i="5"/>
  <c r="W216" i="5" l="1"/>
  <c r="AG215" i="5"/>
  <c r="BK220" i="8"/>
  <c r="BL219" i="8"/>
  <c r="BM219" i="8" s="1"/>
  <c r="DN220" i="8"/>
  <c r="DO219" i="8"/>
  <c r="DP219" i="8" s="1"/>
  <c r="Z216" i="5"/>
  <c r="AJ215" i="5"/>
  <c r="X216" i="5"/>
  <c r="AH215" i="5"/>
  <c r="Y218" i="5"/>
  <c r="AI217" i="5"/>
  <c r="BB216" i="5"/>
  <c r="BF215" i="5"/>
  <c r="AZ217" i="5"/>
  <c r="BD216" i="5"/>
  <c r="BA216" i="5"/>
  <c r="BE215" i="5"/>
  <c r="BC217" i="5"/>
  <c r="AL216" i="5"/>
  <c r="AP215" i="5"/>
  <c r="W217" i="5" l="1"/>
  <c r="AG216" i="5"/>
  <c r="DN221" i="8"/>
  <c r="DO220" i="8"/>
  <c r="DP220" i="8" s="1"/>
  <c r="BK221" i="8"/>
  <c r="BL220" i="8"/>
  <c r="BM220" i="8" s="1"/>
  <c r="Y219" i="5"/>
  <c r="AI218" i="5"/>
  <c r="AY218" i="5"/>
  <c r="BC218" i="5" s="1"/>
  <c r="X217" i="5"/>
  <c r="AH216" i="5"/>
  <c r="Z217" i="5"/>
  <c r="AJ216" i="5"/>
  <c r="BA217" i="5"/>
  <c r="BE216" i="5"/>
  <c r="AZ218" i="5"/>
  <c r="BD217" i="5"/>
  <c r="BB217" i="5"/>
  <c r="BF216" i="5"/>
  <c r="AL217" i="5"/>
  <c r="AP216" i="5"/>
  <c r="W218" i="5" l="1"/>
  <c r="AG217" i="5"/>
  <c r="BK222" i="8"/>
  <c r="BL221" i="8"/>
  <c r="BM221" i="8" s="1"/>
  <c r="DN222" i="8"/>
  <c r="DO221" i="8"/>
  <c r="DP221" i="8" s="1"/>
  <c r="Y220" i="5"/>
  <c r="AI219" i="5"/>
  <c r="AY219" i="5"/>
  <c r="AY220" i="5" s="1"/>
  <c r="Z218" i="5"/>
  <c r="AJ217" i="5"/>
  <c r="X218" i="5"/>
  <c r="AH217" i="5"/>
  <c r="AZ219" i="5"/>
  <c r="BD218" i="5"/>
  <c r="BA218" i="5"/>
  <c r="BE217" i="5"/>
  <c r="BB218" i="5"/>
  <c r="BF217" i="5"/>
  <c r="AL218" i="5"/>
  <c r="AP217" i="5"/>
  <c r="BC219" i="5" l="1"/>
  <c r="W219" i="5"/>
  <c r="AG218" i="5"/>
  <c r="DN223" i="8"/>
  <c r="DO222" i="8"/>
  <c r="DP222" i="8" s="1"/>
  <c r="BK223" i="8"/>
  <c r="BL222" i="8"/>
  <c r="BM222" i="8" s="1"/>
  <c r="Z219" i="5"/>
  <c r="AJ218" i="5"/>
  <c r="X219" i="5"/>
  <c r="AH218" i="5"/>
  <c r="Y221" i="5"/>
  <c r="AY221" i="5" s="1"/>
  <c r="AI220" i="5"/>
  <c r="BB219" i="5"/>
  <c r="BF218" i="5"/>
  <c r="BC220" i="5"/>
  <c r="BA219" i="5"/>
  <c r="BE218" i="5"/>
  <c r="AZ220" i="5"/>
  <c r="BD219" i="5"/>
  <c r="AL219" i="5"/>
  <c r="AP218" i="5"/>
  <c r="W220" i="5" l="1"/>
  <c r="AG219" i="5"/>
  <c r="BK224" i="8"/>
  <c r="BL223" i="8"/>
  <c r="BM223" i="8" s="1"/>
  <c r="DN224" i="8"/>
  <c r="DO223" i="8"/>
  <c r="DP223" i="8" s="1"/>
  <c r="X220" i="5"/>
  <c r="AH219" i="5"/>
  <c r="Y222" i="5"/>
  <c r="AY222" i="5" s="1"/>
  <c r="AI221" i="5"/>
  <c r="Z220" i="5"/>
  <c r="AJ219" i="5"/>
  <c r="AZ221" i="5"/>
  <c r="BD220" i="5"/>
  <c r="BA220" i="5"/>
  <c r="BE219" i="5"/>
  <c r="BC221" i="5"/>
  <c r="BB220" i="5"/>
  <c r="BF219" i="5"/>
  <c r="AL220" i="5"/>
  <c r="AP219" i="5"/>
  <c r="W221" i="5" l="1"/>
  <c r="AG220" i="5"/>
  <c r="DN225" i="8"/>
  <c r="DO224" i="8"/>
  <c r="DP224" i="8" s="1"/>
  <c r="BK225" i="8"/>
  <c r="BL224" i="8"/>
  <c r="BM224" i="8" s="1"/>
  <c r="Y223" i="5"/>
  <c r="AY223" i="5" s="1"/>
  <c r="AI222" i="5"/>
  <c r="Z221" i="5"/>
  <c r="AJ220" i="5"/>
  <c r="X221" i="5"/>
  <c r="AH220" i="5"/>
  <c r="BC222" i="5"/>
  <c r="BB221" i="5"/>
  <c r="BF220" i="5"/>
  <c r="BA221" i="5"/>
  <c r="BE220" i="5"/>
  <c r="AZ222" i="5"/>
  <c r="BD221" i="5"/>
  <c r="AL221" i="5"/>
  <c r="AP220" i="5"/>
  <c r="W222" i="5" l="1"/>
  <c r="AG221" i="5"/>
  <c r="BK226" i="8"/>
  <c r="BL225" i="8"/>
  <c r="BM225" i="8" s="1"/>
  <c r="DN226" i="8"/>
  <c r="DO225" i="8"/>
  <c r="DP225" i="8" s="1"/>
  <c r="Z222" i="5"/>
  <c r="AJ221" i="5"/>
  <c r="X222" i="5"/>
  <c r="AH221" i="5"/>
  <c r="Y224" i="5"/>
  <c r="AY224" i="5" s="1"/>
  <c r="AI223" i="5"/>
  <c r="AZ223" i="5"/>
  <c r="BD222" i="5"/>
  <c r="BA222" i="5"/>
  <c r="BE221" i="5"/>
  <c r="BB222" i="5"/>
  <c r="BF221" i="5"/>
  <c r="BC223" i="5"/>
  <c r="AL222" i="5"/>
  <c r="AP221" i="5"/>
  <c r="AG222" i="5" l="1"/>
  <c r="W223" i="5"/>
  <c r="DN227" i="8"/>
  <c r="DO226" i="8"/>
  <c r="DP226" i="8" s="1"/>
  <c r="BK227" i="8"/>
  <c r="BL226" i="8"/>
  <c r="BM226" i="8" s="1"/>
  <c r="X223" i="5"/>
  <c r="AH222" i="5"/>
  <c r="Y225" i="5"/>
  <c r="AY225" i="5" s="1"/>
  <c r="AI224" i="5"/>
  <c r="Z223" i="5"/>
  <c r="AJ222" i="5"/>
  <c r="BB223" i="5"/>
  <c r="BF222" i="5"/>
  <c r="BC224" i="5"/>
  <c r="BA223" i="5"/>
  <c r="BE222" i="5"/>
  <c r="AZ224" i="5"/>
  <c r="BD223" i="5"/>
  <c r="AL223" i="5"/>
  <c r="AP222" i="5"/>
  <c r="W224" i="5" l="1"/>
  <c r="AG223" i="5"/>
  <c r="BK228" i="8"/>
  <c r="BL227" i="8"/>
  <c r="BM227" i="8" s="1"/>
  <c r="DN228" i="8"/>
  <c r="DO227" i="8"/>
  <c r="DP227" i="8" s="1"/>
  <c r="Z224" i="5"/>
  <c r="AJ223" i="5"/>
  <c r="Y226" i="5"/>
  <c r="AY226" i="5" s="1"/>
  <c r="AI225" i="5"/>
  <c r="X224" i="5"/>
  <c r="AH223" i="5"/>
  <c r="AZ225" i="5"/>
  <c r="BD224" i="5"/>
  <c r="BA224" i="5"/>
  <c r="BE223" i="5"/>
  <c r="BC225" i="5"/>
  <c r="BB224" i="5"/>
  <c r="BF223" i="5"/>
  <c r="AL224" i="5"/>
  <c r="AP223" i="5"/>
  <c r="W225" i="5" l="1"/>
  <c r="AG224" i="5"/>
  <c r="DN229" i="8"/>
  <c r="DO228" i="8"/>
  <c r="DP228" i="8" s="1"/>
  <c r="BK229" i="8"/>
  <c r="BL228" i="8"/>
  <c r="BM228" i="8" s="1"/>
  <c r="X225" i="5"/>
  <c r="AH224" i="5"/>
  <c r="Y227" i="5"/>
  <c r="AY227" i="5" s="1"/>
  <c r="AI226" i="5"/>
  <c r="Z225" i="5"/>
  <c r="AJ224" i="5"/>
  <c r="BB225" i="5"/>
  <c r="BF224" i="5"/>
  <c r="BA225" i="5"/>
  <c r="BE224" i="5"/>
  <c r="BC226" i="5"/>
  <c r="AZ226" i="5"/>
  <c r="BD225" i="5"/>
  <c r="AL225" i="5"/>
  <c r="AP224" i="5"/>
  <c r="AG225" i="5" l="1"/>
  <c r="W226" i="5"/>
  <c r="BK230" i="8"/>
  <c r="BL229" i="8"/>
  <c r="BM229" i="8" s="1"/>
  <c r="DN230" i="8"/>
  <c r="DO229" i="8"/>
  <c r="DP229" i="8" s="1"/>
  <c r="Z226" i="5"/>
  <c r="AJ225" i="5"/>
  <c r="Y228" i="5"/>
  <c r="AI227" i="5"/>
  <c r="X226" i="5"/>
  <c r="AH225" i="5"/>
  <c r="BC227" i="5"/>
  <c r="BA226" i="5"/>
  <c r="BE225" i="5"/>
  <c r="AZ227" i="5"/>
  <c r="BD226" i="5"/>
  <c r="BB226" i="5"/>
  <c r="BF225" i="5"/>
  <c r="AL226" i="5"/>
  <c r="AP225" i="5"/>
  <c r="W227" i="5" l="1"/>
  <c r="AG226" i="5"/>
  <c r="DN231" i="8"/>
  <c r="DO230" i="8"/>
  <c r="DP230" i="8" s="1"/>
  <c r="BK231" i="8"/>
  <c r="BL230" i="8"/>
  <c r="BM230" i="8" s="1"/>
  <c r="Y229" i="5"/>
  <c r="AI228" i="5"/>
  <c r="AY228" i="5"/>
  <c r="BC228" i="5" s="1"/>
  <c r="X227" i="5"/>
  <c r="AH226" i="5"/>
  <c r="Z227" i="5"/>
  <c r="AJ226" i="5"/>
  <c r="BB227" i="5"/>
  <c r="BF226" i="5"/>
  <c r="AZ228" i="5"/>
  <c r="BD227" i="5"/>
  <c r="BA227" i="5"/>
  <c r="BE226" i="5"/>
  <c r="AL227" i="5"/>
  <c r="AP226" i="5"/>
  <c r="AY229" i="5" l="1"/>
  <c r="BC229" i="5" s="1"/>
  <c r="W228" i="5"/>
  <c r="AG227" i="5"/>
  <c r="BK232" i="8"/>
  <c r="BL231" i="8"/>
  <c r="BM231" i="8" s="1"/>
  <c r="DN232" i="8"/>
  <c r="DO231" i="8"/>
  <c r="DP231" i="8" s="1"/>
  <c r="Z228" i="5"/>
  <c r="AJ227" i="5"/>
  <c r="X228" i="5"/>
  <c r="AH227" i="5"/>
  <c r="Y230" i="5"/>
  <c r="AY230" i="5" s="1"/>
  <c r="AI229" i="5"/>
  <c r="BA228" i="5"/>
  <c r="BE227" i="5"/>
  <c r="AZ229" i="5"/>
  <c r="BD228" i="5"/>
  <c r="BB228" i="5"/>
  <c r="BF227" i="5"/>
  <c r="AL228" i="5"/>
  <c r="AP227" i="5"/>
  <c r="W229" i="5" l="1"/>
  <c r="AG228" i="5"/>
  <c r="DN233" i="8"/>
  <c r="DO232" i="8"/>
  <c r="DP232" i="8" s="1"/>
  <c r="BK233" i="8"/>
  <c r="BL232" i="8"/>
  <c r="BM232" i="8" s="1"/>
  <c r="Y231" i="5"/>
  <c r="AY231" i="5" s="1"/>
  <c r="AI230" i="5"/>
  <c r="X229" i="5"/>
  <c r="AH228" i="5"/>
  <c r="Z229" i="5"/>
  <c r="AJ228" i="5"/>
  <c r="AZ230" i="5"/>
  <c r="BD229" i="5"/>
  <c r="BA229" i="5"/>
  <c r="BE228" i="5"/>
  <c r="BB229" i="5"/>
  <c r="BF228" i="5"/>
  <c r="BC230" i="5"/>
  <c r="AL229" i="5"/>
  <c r="AP228" i="5"/>
  <c r="AG229" i="5" l="1"/>
  <c r="W230" i="5"/>
  <c r="BK234" i="8"/>
  <c r="BL233" i="8"/>
  <c r="BM233" i="8" s="1"/>
  <c r="DN234" i="8"/>
  <c r="DO233" i="8"/>
  <c r="DP233" i="8" s="1"/>
  <c r="Z230" i="5"/>
  <c r="AJ229" i="5"/>
  <c r="X230" i="5"/>
  <c r="AH229" i="5"/>
  <c r="Y232" i="5"/>
  <c r="AY232" i="5" s="1"/>
  <c r="AI231" i="5"/>
  <c r="BC231" i="5"/>
  <c r="BB230" i="5"/>
  <c r="BF229" i="5"/>
  <c r="BA230" i="5"/>
  <c r="BE229" i="5"/>
  <c r="AZ231" i="5"/>
  <c r="BD230" i="5"/>
  <c r="AL230" i="5"/>
  <c r="AP229" i="5"/>
  <c r="W231" i="5" l="1"/>
  <c r="AG230" i="5"/>
  <c r="DN235" i="8"/>
  <c r="DO234" i="8"/>
  <c r="DP234" i="8" s="1"/>
  <c r="BK235" i="8"/>
  <c r="BL234" i="8"/>
  <c r="BM234" i="8" s="1"/>
  <c r="Y233" i="5"/>
  <c r="AY233" i="5" s="1"/>
  <c r="AI232" i="5"/>
  <c r="X231" i="5"/>
  <c r="AH230" i="5"/>
  <c r="Z231" i="5"/>
  <c r="AJ230" i="5"/>
  <c r="AZ232" i="5"/>
  <c r="BD231" i="5"/>
  <c r="BA231" i="5"/>
  <c r="BE230" i="5"/>
  <c r="BB231" i="5"/>
  <c r="BF230" i="5"/>
  <c r="BC232" i="5"/>
  <c r="AL231" i="5"/>
  <c r="AP230" i="5"/>
  <c r="AG231" i="5" l="1"/>
  <c r="W232" i="5"/>
  <c r="BK236" i="8"/>
  <c r="BL235" i="8"/>
  <c r="BM235" i="8" s="1"/>
  <c r="DN236" i="8"/>
  <c r="DO235" i="8"/>
  <c r="DP235" i="8" s="1"/>
  <c r="Z232" i="5"/>
  <c r="AJ231" i="5"/>
  <c r="X232" i="5"/>
  <c r="AH231" i="5"/>
  <c r="Y234" i="5"/>
  <c r="AY234" i="5" s="1"/>
  <c r="AI233" i="5"/>
  <c r="BC233" i="5"/>
  <c r="BB232" i="5"/>
  <c r="BF231" i="5"/>
  <c r="BA232" i="5"/>
  <c r="BE231" i="5"/>
  <c r="AZ233" i="5"/>
  <c r="BD232" i="5"/>
  <c r="AL232" i="5"/>
  <c r="AP231" i="5"/>
  <c r="W233" i="5" l="1"/>
  <c r="AG232" i="5"/>
  <c r="DN237" i="8"/>
  <c r="DO236" i="8"/>
  <c r="DP236" i="8" s="1"/>
  <c r="BK237" i="8"/>
  <c r="BL236" i="8"/>
  <c r="BM236" i="8" s="1"/>
  <c r="Y235" i="5"/>
  <c r="AY235" i="5" s="1"/>
  <c r="AI234" i="5"/>
  <c r="X233" i="5"/>
  <c r="AH232" i="5"/>
  <c r="Z233" i="5"/>
  <c r="AJ232" i="5"/>
  <c r="AZ234" i="5"/>
  <c r="BD233" i="5"/>
  <c r="BA233" i="5"/>
  <c r="BE232" i="5"/>
  <c r="BB233" i="5"/>
  <c r="BF232" i="5"/>
  <c r="BC234" i="5"/>
  <c r="AL233" i="5"/>
  <c r="AP232" i="5"/>
  <c r="AG233" i="5" l="1"/>
  <c r="W234" i="5"/>
  <c r="BK238" i="8"/>
  <c r="BL237" i="8"/>
  <c r="BM237" i="8" s="1"/>
  <c r="DN238" i="8"/>
  <c r="DO237" i="8"/>
  <c r="DP237" i="8" s="1"/>
  <c r="X234" i="5"/>
  <c r="AH233" i="5"/>
  <c r="Z234" i="5"/>
  <c r="AJ233" i="5"/>
  <c r="Y236" i="5"/>
  <c r="AY236" i="5" s="1"/>
  <c r="AI235" i="5"/>
  <c r="BC235" i="5"/>
  <c r="BB234" i="5"/>
  <c r="BF233" i="5"/>
  <c r="BA234" i="5"/>
  <c r="BE233" i="5"/>
  <c r="AZ235" i="5"/>
  <c r="BD234" i="5"/>
  <c r="AL234" i="5"/>
  <c r="AP233" i="5"/>
  <c r="W235" i="5" l="1"/>
  <c r="AG234" i="5"/>
  <c r="DN239" i="8"/>
  <c r="DO238" i="8"/>
  <c r="DP238" i="8" s="1"/>
  <c r="BK239" i="8"/>
  <c r="BL238" i="8"/>
  <c r="BM238" i="8" s="1"/>
  <c r="Y237" i="5"/>
  <c r="AY237" i="5" s="1"/>
  <c r="AI236" i="5"/>
  <c r="Z235" i="5"/>
  <c r="AJ234" i="5"/>
  <c r="X235" i="5"/>
  <c r="AH234" i="5"/>
  <c r="BB235" i="5"/>
  <c r="BF234" i="5"/>
  <c r="BA235" i="5"/>
  <c r="BE234" i="5"/>
  <c r="AZ236" i="5"/>
  <c r="BD235" i="5"/>
  <c r="BC236" i="5"/>
  <c r="AL235" i="5"/>
  <c r="AP234" i="5"/>
  <c r="W236" i="5" l="1"/>
  <c r="AG235" i="5"/>
  <c r="BK240" i="8"/>
  <c r="BL239" i="8"/>
  <c r="BM239" i="8" s="1"/>
  <c r="DN240" i="8"/>
  <c r="DO239" i="8"/>
  <c r="DP239" i="8" s="1"/>
  <c r="Z236" i="5"/>
  <c r="AJ235" i="5"/>
  <c r="X236" i="5"/>
  <c r="AH235" i="5"/>
  <c r="Y238" i="5"/>
  <c r="AY238" i="5" s="1"/>
  <c r="AI237" i="5"/>
  <c r="BC237" i="5"/>
  <c r="AZ237" i="5"/>
  <c r="BD236" i="5"/>
  <c r="BA236" i="5"/>
  <c r="BE235" i="5"/>
  <c r="BB236" i="5"/>
  <c r="BF235" i="5"/>
  <c r="AL236" i="5"/>
  <c r="AP235" i="5"/>
  <c r="W237" i="5" l="1"/>
  <c r="AG236" i="5"/>
  <c r="DN241" i="8"/>
  <c r="DO240" i="8"/>
  <c r="DP240" i="8" s="1"/>
  <c r="BK241" i="8"/>
  <c r="BL240" i="8"/>
  <c r="BM240" i="8" s="1"/>
  <c r="X237" i="5"/>
  <c r="AH236" i="5"/>
  <c r="Z237" i="5"/>
  <c r="AJ236" i="5"/>
  <c r="Y239" i="5"/>
  <c r="AY239" i="5" s="1"/>
  <c r="AI238" i="5"/>
  <c r="BB237" i="5"/>
  <c r="BF236" i="5"/>
  <c r="BA237" i="5"/>
  <c r="BE236" i="5"/>
  <c r="AZ238" i="5"/>
  <c r="BD237" i="5"/>
  <c r="BC238" i="5"/>
  <c r="AL237" i="5"/>
  <c r="AP236" i="5"/>
  <c r="W238" i="5" l="1"/>
  <c r="AG237" i="5"/>
  <c r="BK242" i="8"/>
  <c r="BL241" i="8"/>
  <c r="BM241" i="8" s="1"/>
  <c r="DN242" i="8"/>
  <c r="DO241" i="8"/>
  <c r="DP241" i="8" s="1"/>
  <c r="Y240" i="5"/>
  <c r="AI239" i="5"/>
  <c r="Z238" i="5"/>
  <c r="AJ237" i="5"/>
  <c r="X238" i="5"/>
  <c r="AH237" i="5"/>
  <c r="BC239" i="5"/>
  <c r="AZ239" i="5"/>
  <c r="BD238" i="5"/>
  <c r="BA238" i="5"/>
  <c r="BE237" i="5"/>
  <c r="BB238" i="5"/>
  <c r="BF237" i="5"/>
  <c r="AL238" i="5"/>
  <c r="AP237" i="5"/>
  <c r="AG238" i="5" l="1"/>
  <c r="W239" i="5"/>
  <c r="DN243" i="8"/>
  <c r="DO242" i="8"/>
  <c r="DP242" i="8" s="1"/>
  <c r="BK243" i="8"/>
  <c r="BL242" i="8"/>
  <c r="BM242" i="8" s="1"/>
  <c r="Y241" i="5"/>
  <c r="AI240" i="5"/>
  <c r="AY240" i="5"/>
  <c r="BC240" i="5" s="1"/>
  <c r="X239" i="5"/>
  <c r="AH238" i="5"/>
  <c r="Z239" i="5"/>
  <c r="AJ238" i="5"/>
  <c r="BB239" i="5"/>
  <c r="BF238" i="5"/>
  <c r="BA239" i="5"/>
  <c r="BE238" i="5"/>
  <c r="AZ240" i="5"/>
  <c r="BD239" i="5"/>
  <c r="AL239" i="5"/>
  <c r="AP238" i="5"/>
  <c r="AY241" i="5" l="1"/>
  <c r="AG239" i="5"/>
  <c r="W240" i="5"/>
  <c r="BK244" i="8"/>
  <c r="BL243" i="8"/>
  <c r="BM243" i="8" s="1"/>
  <c r="DN244" i="8"/>
  <c r="DO243" i="8"/>
  <c r="DP243" i="8" s="1"/>
  <c r="X240" i="5"/>
  <c r="AH239" i="5"/>
  <c r="Y242" i="5"/>
  <c r="AI241" i="5"/>
  <c r="Z240" i="5"/>
  <c r="AJ239" i="5"/>
  <c r="BC241" i="5"/>
  <c r="AZ241" i="5"/>
  <c r="BD240" i="5"/>
  <c r="BA240" i="5"/>
  <c r="BE239" i="5"/>
  <c r="BB240" i="5"/>
  <c r="BF239" i="5"/>
  <c r="AL240" i="5"/>
  <c r="AP239" i="5"/>
  <c r="W241" i="5" l="1"/>
  <c r="AG240" i="5"/>
  <c r="DN245" i="8"/>
  <c r="DO244" i="8"/>
  <c r="DP244" i="8" s="1"/>
  <c r="BK245" i="8"/>
  <c r="BL244" i="8"/>
  <c r="BM244" i="8" s="1"/>
  <c r="Y243" i="5"/>
  <c r="AI242" i="5"/>
  <c r="AY242" i="5"/>
  <c r="AY243" i="5" s="1"/>
  <c r="Z241" i="5"/>
  <c r="AJ240" i="5"/>
  <c r="X241" i="5"/>
  <c r="AH240" i="5"/>
  <c r="BA241" i="5"/>
  <c r="BE240" i="5"/>
  <c r="BB241" i="5"/>
  <c r="BF240" i="5"/>
  <c r="AZ242" i="5"/>
  <c r="BD241" i="5"/>
  <c r="AL241" i="5"/>
  <c r="AP240" i="5"/>
  <c r="BC242" i="5" l="1"/>
  <c r="AG241" i="5"/>
  <c r="W242" i="5"/>
  <c r="BK246" i="8"/>
  <c r="BL245" i="8"/>
  <c r="BM245" i="8" s="1"/>
  <c r="DN246" i="8"/>
  <c r="DO245" i="8"/>
  <c r="DP245" i="8" s="1"/>
  <c r="X242" i="5"/>
  <c r="AH241" i="5"/>
  <c r="Z242" i="5"/>
  <c r="AJ241" i="5"/>
  <c r="Y244" i="5"/>
  <c r="AY244" i="5" s="1"/>
  <c r="AI243" i="5"/>
  <c r="BC243" i="5"/>
  <c r="AZ243" i="5"/>
  <c r="BD242" i="5"/>
  <c r="BB242" i="5"/>
  <c r="BF241" i="5"/>
  <c r="BA242" i="5"/>
  <c r="BE241" i="5"/>
  <c r="AL242" i="5"/>
  <c r="AP241" i="5"/>
  <c r="W243" i="5" l="1"/>
  <c r="AG242" i="5"/>
  <c r="DN247" i="8"/>
  <c r="DO246" i="8"/>
  <c r="DP246" i="8" s="1"/>
  <c r="BK247" i="8"/>
  <c r="BL246" i="8"/>
  <c r="BM246" i="8" s="1"/>
  <c r="Y245" i="5"/>
  <c r="AY245" i="5" s="1"/>
  <c r="AI244" i="5"/>
  <c r="Z243" i="5"/>
  <c r="AJ242" i="5"/>
  <c r="X243" i="5"/>
  <c r="AH242" i="5"/>
  <c r="BA243" i="5"/>
  <c r="BE242" i="5"/>
  <c r="BB243" i="5"/>
  <c r="BF242" i="5"/>
  <c r="AZ244" i="5"/>
  <c r="BD243" i="5"/>
  <c r="BC244" i="5"/>
  <c r="AL243" i="5"/>
  <c r="AP242" i="5"/>
  <c r="AG243" i="5" l="1"/>
  <c r="W244" i="5"/>
  <c r="BK248" i="8"/>
  <c r="BL247" i="8"/>
  <c r="BM247" i="8" s="1"/>
  <c r="DN248" i="8"/>
  <c r="DO247" i="8"/>
  <c r="DP247" i="8" s="1"/>
  <c r="X244" i="5"/>
  <c r="AH243" i="5"/>
  <c r="Z244" i="5"/>
  <c r="AJ243" i="5"/>
  <c r="Y246" i="5"/>
  <c r="AY246" i="5" s="1"/>
  <c r="AI245" i="5"/>
  <c r="BC245" i="5"/>
  <c r="AZ245" i="5"/>
  <c r="BD244" i="5"/>
  <c r="BB244" i="5"/>
  <c r="BF243" i="5"/>
  <c r="BA244" i="5"/>
  <c r="BE243" i="5"/>
  <c r="AL244" i="5"/>
  <c r="AP243" i="5"/>
  <c r="W245" i="5" l="1"/>
  <c r="AG244" i="5"/>
  <c r="DN249" i="8"/>
  <c r="DO248" i="8"/>
  <c r="DP248" i="8" s="1"/>
  <c r="BK249" i="8"/>
  <c r="BL248" i="8"/>
  <c r="BM248" i="8" s="1"/>
  <c r="Z245" i="5"/>
  <c r="AJ244" i="5"/>
  <c r="Y247" i="5"/>
  <c r="AY247" i="5" s="1"/>
  <c r="AI246" i="5"/>
  <c r="X245" i="5"/>
  <c r="AH244" i="5"/>
  <c r="BA245" i="5"/>
  <c r="BE244" i="5"/>
  <c r="BB245" i="5"/>
  <c r="BF244" i="5"/>
  <c r="AZ246" i="5"/>
  <c r="BD245" i="5"/>
  <c r="BC246" i="5"/>
  <c r="AL245" i="5"/>
  <c r="AP244" i="5"/>
  <c r="W246" i="5" l="1"/>
  <c r="AG245" i="5"/>
  <c r="BK250" i="8"/>
  <c r="BL249" i="8"/>
  <c r="BM249" i="8" s="1"/>
  <c r="DN250" i="8"/>
  <c r="DO249" i="8"/>
  <c r="DP249" i="8" s="1"/>
  <c r="Y248" i="5"/>
  <c r="AY248" i="5" s="1"/>
  <c r="AI247" i="5"/>
  <c r="X246" i="5"/>
  <c r="AH245" i="5"/>
  <c r="Z246" i="5"/>
  <c r="AJ245" i="5"/>
  <c r="BC247" i="5"/>
  <c r="AZ247" i="5"/>
  <c r="BD246" i="5"/>
  <c r="BB246" i="5"/>
  <c r="BF245" i="5"/>
  <c r="BA246" i="5"/>
  <c r="BE245" i="5"/>
  <c r="AL246" i="5"/>
  <c r="AP245" i="5"/>
  <c r="W247" i="5" l="1"/>
  <c r="AG246" i="5"/>
  <c r="DN251" i="8"/>
  <c r="DO250" i="8"/>
  <c r="DP250" i="8" s="1"/>
  <c r="BK251" i="8"/>
  <c r="BL250" i="8"/>
  <c r="BM250" i="8" s="1"/>
  <c r="X247" i="5"/>
  <c r="AH246" i="5"/>
  <c r="Y249" i="5"/>
  <c r="AY249" i="5" s="1"/>
  <c r="AI248" i="5"/>
  <c r="Z247" i="5"/>
  <c r="AJ246" i="5"/>
  <c r="BA247" i="5"/>
  <c r="BE246" i="5"/>
  <c r="BB247" i="5"/>
  <c r="BF246" i="5"/>
  <c r="AZ248" i="5"/>
  <c r="BD247" i="5"/>
  <c r="BC248" i="5"/>
  <c r="AL247" i="5"/>
  <c r="AP246" i="5"/>
  <c r="W248" i="5" l="1"/>
  <c r="AG247" i="5"/>
  <c r="BK252" i="8"/>
  <c r="BL251" i="8"/>
  <c r="BM251" i="8" s="1"/>
  <c r="DN252" i="8"/>
  <c r="DO251" i="8"/>
  <c r="DP251" i="8" s="1"/>
  <c r="Z248" i="5"/>
  <c r="AJ247" i="5"/>
  <c r="Y250" i="5"/>
  <c r="AY250" i="5" s="1"/>
  <c r="AI249" i="5"/>
  <c r="X248" i="5"/>
  <c r="AH247" i="5"/>
  <c r="BC249" i="5"/>
  <c r="AZ249" i="5"/>
  <c r="BD248" i="5"/>
  <c r="BB248" i="5"/>
  <c r="BF247" i="5"/>
  <c r="BA248" i="5"/>
  <c r="BE247" i="5"/>
  <c r="AL248" i="5"/>
  <c r="AP247" i="5"/>
  <c r="W249" i="5" l="1"/>
  <c r="AG248" i="5"/>
  <c r="DN253" i="8"/>
  <c r="DO253" i="8" s="1"/>
  <c r="DP253" i="8" s="1"/>
  <c r="DO252" i="8"/>
  <c r="DP252" i="8" s="1"/>
  <c r="BK253" i="8"/>
  <c r="BL253" i="8" s="1"/>
  <c r="BM253" i="8" s="1"/>
  <c r="BL252" i="8"/>
  <c r="BM252" i="8" s="1"/>
  <c r="X249" i="5"/>
  <c r="AH248" i="5"/>
  <c r="Y251" i="5"/>
  <c r="AY251" i="5" s="1"/>
  <c r="AI250" i="5"/>
  <c r="Z249" i="5"/>
  <c r="AJ248" i="5"/>
  <c r="BA249" i="5"/>
  <c r="BE248" i="5"/>
  <c r="AZ250" i="5"/>
  <c r="BD249" i="5"/>
  <c r="BB249" i="5"/>
  <c r="BF248" i="5"/>
  <c r="BC250" i="5"/>
  <c r="AL249" i="5"/>
  <c r="AP248" i="5"/>
  <c r="W250" i="5" l="1"/>
  <c r="AG249" i="5"/>
  <c r="Y252" i="5"/>
  <c r="AY252" i="5" s="1"/>
  <c r="AI251" i="5"/>
  <c r="Z250" i="5"/>
  <c r="AJ249" i="5"/>
  <c r="X250" i="5"/>
  <c r="AH249" i="5"/>
  <c r="BC251" i="5"/>
  <c r="BB250" i="5"/>
  <c r="BF249" i="5"/>
  <c r="AZ251" i="5"/>
  <c r="BD250" i="5"/>
  <c r="BA250" i="5"/>
  <c r="BE249" i="5"/>
  <c r="AL250" i="5"/>
  <c r="AP249" i="5"/>
  <c r="W251" i="5" l="1"/>
  <c r="AG250" i="5"/>
  <c r="Z251" i="5"/>
  <c r="AJ250" i="5"/>
  <c r="X251" i="5"/>
  <c r="AH250" i="5"/>
  <c r="Y253" i="5"/>
  <c r="AY253" i="5" s="1"/>
  <c r="AI252" i="5"/>
  <c r="BA251" i="5"/>
  <c r="BE250" i="5"/>
  <c r="AZ252" i="5"/>
  <c r="BD251" i="5"/>
  <c r="BB251" i="5"/>
  <c r="BF250" i="5"/>
  <c r="BC252" i="5"/>
  <c r="AL251" i="5"/>
  <c r="AP250" i="5"/>
  <c r="W252" i="5" l="1"/>
  <c r="AG251" i="5"/>
  <c r="Y254" i="5"/>
  <c r="AY254" i="5" s="1"/>
  <c r="AI253" i="5"/>
  <c r="X252" i="5"/>
  <c r="AH251" i="5"/>
  <c r="Z252" i="5"/>
  <c r="AJ251" i="5"/>
  <c r="BB252" i="5"/>
  <c r="BF251" i="5"/>
  <c r="BC253" i="5"/>
  <c r="AZ253" i="5"/>
  <c r="BD252" i="5"/>
  <c r="BA252" i="5"/>
  <c r="BE251" i="5"/>
  <c r="AL252" i="5"/>
  <c r="AP251" i="5"/>
  <c r="W253" i="5" l="1"/>
  <c r="AG252" i="5"/>
  <c r="Z253" i="5"/>
  <c r="AJ252" i="5"/>
  <c r="X253" i="5"/>
  <c r="AH252" i="5"/>
  <c r="Y255" i="5"/>
  <c r="AI255" i="5" s="1"/>
  <c r="AI254" i="5"/>
  <c r="AI257" i="5" s="1"/>
  <c r="AZ254" i="5"/>
  <c r="BD253" i="5"/>
  <c r="BA253" i="5"/>
  <c r="BE252" i="5"/>
  <c r="BC254" i="5"/>
  <c r="BB253" i="5"/>
  <c r="BF252" i="5"/>
  <c r="AL253" i="5"/>
  <c r="AP252" i="5"/>
  <c r="AY255" i="5" l="1"/>
  <c r="BC255" i="5" s="1"/>
  <c r="BG257" i="5"/>
  <c r="W254" i="5"/>
  <c r="AG253" i="5"/>
  <c r="X254" i="5"/>
  <c r="AH253" i="5"/>
  <c r="Z254" i="5"/>
  <c r="AJ253" i="5"/>
  <c r="BB254" i="5"/>
  <c r="BF253" i="5"/>
  <c r="BA254" i="5"/>
  <c r="BE253" i="5"/>
  <c r="AZ255" i="5"/>
  <c r="BD255" i="5" s="1"/>
  <c r="BD254" i="5"/>
  <c r="AL254" i="5"/>
  <c r="AP253" i="5"/>
  <c r="W255" i="5" l="1"/>
  <c r="AG255" i="5" s="1"/>
  <c r="AG254" i="5"/>
  <c r="AG257" i="5" s="1"/>
  <c r="BH257" i="5"/>
  <c r="Z255" i="5"/>
  <c r="AJ255" i="5" s="1"/>
  <c r="AJ254" i="5"/>
  <c r="AJ257" i="5" s="1"/>
  <c r="X255" i="5"/>
  <c r="AH255" i="5" s="1"/>
  <c r="AH254" i="5"/>
  <c r="AH257" i="5" s="1"/>
  <c r="BA255" i="5"/>
  <c r="BE255" i="5" s="1"/>
  <c r="BE254" i="5"/>
  <c r="BB255" i="5"/>
  <c r="BF255" i="5" s="1"/>
  <c r="BF254" i="5"/>
  <c r="AL255" i="5"/>
  <c r="AP255" i="5" s="1"/>
  <c r="AP254" i="5"/>
  <c r="BI257" i="5" l="1"/>
  <c r="BJ257" i="5"/>
</calcChain>
</file>

<file path=xl/sharedStrings.xml><?xml version="1.0" encoding="utf-8"?>
<sst xmlns="http://schemas.openxmlformats.org/spreadsheetml/2006/main" count="226" uniqueCount="109">
  <si>
    <t>Date</t>
  </si>
  <si>
    <t>AAPL (Apple Inc) / $</t>
  </si>
  <si>
    <t>AAPL (Apple Inc) / Volume</t>
  </si>
  <si>
    <t>HON (Honeywell Inc)  Volume</t>
  </si>
  <si>
    <t>HON (Honeywell Inc)  /  $</t>
  </si>
  <si>
    <t>Period</t>
  </si>
  <si>
    <t>Exp / a=0.15</t>
  </si>
  <si>
    <t>Exp / a=0.35</t>
  </si>
  <si>
    <t>Exp / a=0.55</t>
  </si>
  <si>
    <t>Exp / a=0.75</t>
  </si>
  <si>
    <t>Honeywell</t>
  </si>
  <si>
    <t>Exp. Smoothing - Apple</t>
  </si>
  <si>
    <t>Exp. Smoothing - Honeywell</t>
  </si>
  <si>
    <t>APD/MAPD - Apple</t>
  </si>
  <si>
    <t>APD a=0.15</t>
  </si>
  <si>
    <t>APD a=0.35</t>
  </si>
  <si>
    <t>APD a=0.55</t>
  </si>
  <si>
    <t>APD a=0.75</t>
  </si>
  <si>
    <t>MAD</t>
  </si>
  <si>
    <t>MAPD</t>
  </si>
  <si>
    <t>Adj. Exp. Smoothing - Apple (a=0.55)</t>
  </si>
  <si>
    <t>Trend/B=0.15</t>
  </si>
  <si>
    <t>Trend/B=0.25</t>
  </si>
  <si>
    <t>Trend/B=0.45</t>
  </si>
  <si>
    <t>Trend/B=0.85</t>
  </si>
  <si>
    <t>Adj. Exp. Smoothing - Honeywell (a=0.55)</t>
  </si>
  <si>
    <t>Adj. Exp./B=0.15</t>
  </si>
  <si>
    <t>Adj. Exp./B=0.25</t>
  </si>
  <si>
    <t>Adj. Exp./B=0.45</t>
  </si>
  <si>
    <t>Adj. Exp./B=0.85</t>
  </si>
  <si>
    <t>APD/MAPD - Honeywell</t>
  </si>
  <si>
    <t>(ii)</t>
  </si>
  <si>
    <t>(i)</t>
  </si>
  <si>
    <t>(iii)</t>
  </si>
  <si>
    <t>3-Period Weighted Moving Averages - Apple</t>
  </si>
  <si>
    <t>3 Period Weights</t>
  </si>
  <si>
    <t>Apple Averages</t>
  </si>
  <si>
    <t>3-Period Weight Averages</t>
  </si>
  <si>
    <t>Honeywell Averages</t>
  </si>
  <si>
    <t>3-Period Weighted Averages</t>
  </si>
  <si>
    <t>Linear Trend Forecast</t>
  </si>
  <si>
    <t>3-Period Weighted Moving Averages - Honeywell</t>
  </si>
  <si>
    <t>Slope</t>
  </si>
  <si>
    <t>Intercept</t>
  </si>
  <si>
    <t>Correlation R</t>
  </si>
  <si>
    <t>Determination R2</t>
  </si>
  <si>
    <r>
      <t xml:space="preserve">AAPL (Apple Inc) / $ </t>
    </r>
    <r>
      <rPr>
        <b/>
        <sz val="12"/>
        <color theme="1"/>
        <rFont val="Calibri"/>
        <family val="2"/>
        <scheme val="minor"/>
      </rPr>
      <t>(Oberserved y)</t>
    </r>
  </si>
  <si>
    <r>
      <t xml:space="preserve">Period </t>
    </r>
    <r>
      <rPr>
        <b/>
        <sz val="12"/>
        <color theme="1"/>
        <rFont val="Calibri"/>
        <family val="2"/>
        <scheme val="minor"/>
      </rPr>
      <t>(x)</t>
    </r>
  </si>
  <si>
    <t>Predicted y</t>
  </si>
  <si>
    <r>
      <t xml:space="preserve">HON (Honeywell Inc)  /  $ </t>
    </r>
    <r>
      <rPr>
        <b/>
        <sz val="12"/>
        <color theme="1"/>
        <rFont val="Calibri"/>
        <family val="2"/>
        <scheme val="minor"/>
      </rPr>
      <t>(Observed y)</t>
    </r>
  </si>
  <si>
    <t>MAPE</t>
  </si>
  <si>
    <r>
      <t xml:space="preserve">Residual=Observed - Predicted </t>
    </r>
    <r>
      <rPr>
        <b/>
        <sz val="12"/>
        <color theme="1"/>
        <rFont val="Calibri"/>
        <family val="2"/>
        <scheme val="minor"/>
      </rPr>
      <t>(Apple)</t>
    </r>
  </si>
  <si>
    <t>Residual Mean</t>
  </si>
  <si>
    <t>Residual Standard Deviation</t>
  </si>
  <si>
    <t>Residiuals Conditions</t>
  </si>
  <si>
    <t>1. Normally distributed</t>
  </si>
  <si>
    <t>2. Have a zero mean</t>
  </si>
  <si>
    <t>3. Have a constant variance</t>
  </si>
  <si>
    <t>they are homoscedastic</t>
  </si>
  <si>
    <t>4. Are independent</t>
  </si>
  <si>
    <t>Homoscedasticity</t>
  </si>
  <si>
    <t>Independence</t>
  </si>
  <si>
    <t>Bin</t>
  </si>
  <si>
    <t>More</t>
  </si>
  <si>
    <t>Frequency</t>
  </si>
  <si>
    <t>Normal Probability Plot of Residuals</t>
  </si>
  <si>
    <t>Chi-Squared Goodness of Fit Test</t>
  </si>
  <si>
    <t>Residual=Observed - Predicted (Apple)</t>
  </si>
  <si>
    <t>Z= (x - mean(s))/ (SD(x))</t>
  </si>
  <si>
    <t>Standardized Residual=Observed - Predicted (Apple)</t>
  </si>
  <si>
    <t>ranks i</t>
  </si>
  <si>
    <t>(I-0.5) / n</t>
  </si>
  <si>
    <t>Standard z values</t>
  </si>
  <si>
    <r>
      <t xml:space="preserve">Residual=Observed - Predicted </t>
    </r>
    <r>
      <rPr>
        <b/>
        <sz val="12"/>
        <color theme="1"/>
        <rFont val="Calibri"/>
        <family val="2"/>
        <scheme val="minor"/>
      </rPr>
      <t>(Honeywell)</t>
    </r>
  </si>
  <si>
    <t>Residual=Observed - Predicted (Honeywell)</t>
  </si>
  <si>
    <t>Standardized Residual=Observed - Predicted (Honeywell)</t>
  </si>
  <si>
    <t>Chi-Squared Test</t>
  </si>
  <si>
    <t>follows a normal distribution</t>
  </si>
  <si>
    <t>with a residual mean of 0 and</t>
  </si>
  <si>
    <t>a residual standard deviation</t>
  </si>
  <si>
    <t>of 17.05.</t>
  </si>
  <si>
    <t>Ho: The Honeywell stock</t>
  </si>
  <si>
    <t>Ha: The Honeywell stock does not</t>
  </si>
  <si>
    <t>Residual Mean: 0.00</t>
  </si>
  <si>
    <t>Residual Standard Deviation: 17.05</t>
  </si>
  <si>
    <t>Obs. Frequency</t>
  </si>
  <si>
    <t>Prob.</t>
  </si>
  <si>
    <t>Exp. Frequency</t>
  </si>
  <si>
    <t>Chi-Square Value</t>
  </si>
  <si>
    <t>Total:</t>
  </si>
  <si>
    <t>Df: 16-3 = 13</t>
  </si>
  <si>
    <t>Critical value: 22.362</t>
  </si>
  <si>
    <t>There is substantial evidence</t>
  </si>
  <si>
    <t>to reject the null hypothesis</t>
  </si>
  <si>
    <t>based on the chi square value</t>
  </si>
  <si>
    <t>than the critical value of 22.362</t>
  </si>
  <si>
    <t>of 21376. 75 being much larger</t>
  </si>
  <si>
    <t>Residual Mean = 0.00</t>
  </si>
  <si>
    <t>Residual SD = 17.05</t>
  </si>
  <si>
    <t>Ho: The Apple stock</t>
  </si>
  <si>
    <t>with a residual mean of 0.25 and</t>
  </si>
  <si>
    <t>of 9.94.</t>
  </si>
  <si>
    <t>Ha: The Apple stock does not</t>
  </si>
  <si>
    <t>of 6349.08 being much larger</t>
  </si>
  <si>
    <t>AdjExp ABS Error - Apple</t>
  </si>
  <si>
    <t>AdjExp ABS Error - Honeywell</t>
  </si>
  <si>
    <r>
      <t xml:space="preserve">Apple: </t>
    </r>
    <r>
      <rPr>
        <sz val="12"/>
        <color theme="1"/>
        <rFont val="Calibri"/>
        <family val="2"/>
        <scheme val="minor"/>
      </rPr>
      <t>Averages</t>
    </r>
  </si>
  <si>
    <r>
      <t xml:space="preserve">Honeywell: </t>
    </r>
    <r>
      <rPr>
        <sz val="12"/>
        <color theme="1"/>
        <rFont val="Calibri"/>
        <family val="2"/>
        <scheme val="minor"/>
      </rPr>
      <t>Averages</t>
    </r>
  </si>
  <si>
    <t>a=0.05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</si>
</sst>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0000"/>
    <numFmt numFmtId="174" formatCode="0.000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7"/>
      <color rgb="FFFFFFFF"/>
      <name val="Courier New"/>
      <family val="3"/>
    </font>
    <font>
      <i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2" fontId="0" fillId="0" borderId="0" xfId="0" applyNumberFormat="1"/>
    <xf numFmtId="0" fontId="18" fillId="0" borderId="0" xfId="0" applyFont="1"/>
    <xf numFmtId="2" fontId="16" fillId="0" borderId="0" xfId="0" applyNumberFormat="1" applyFont="1"/>
    <xf numFmtId="169" fontId="0" fillId="0" borderId="0" xfId="0" applyNumberFormat="1"/>
    <xf numFmtId="174" fontId="0" fillId="0" borderId="0" xfId="0" applyNumberFormat="1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11" xfId="0" applyFill="1" applyBorder="1" applyAlignment="1"/>
    <xf numFmtId="0" fontId="19" fillId="0" borderId="12" xfId="0" applyFont="1" applyFill="1" applyBorder="1" applyAlignment="1">
      <alignment horizontal="center"/>
    </xf>
    <xf numFmtId="2" fontId="0" fillId="0" borderId="0" xfId="0" applyNumberFormat="1" applyFill="1" applyBorder="1" applyAlignment="1"/>
    <xf numFmtId="0" fontId="18" fillId="0" borderId="0" xfId="0" applyFont="1" applyAlignment="1"/>
    <xf numFmtId="0" fontId="18" fillId="0" borderId="0" xfId="0" applyFont="1" applyAlignment="1">
      <alignment vertical="center"/>
    </xf>
    <xf numFmtId="2" fontId="0" fillId="0" borderId="11" xfId="0" applyNumberFormat="1" applyFill="1" applyBorder="1" applyAlignment="1"/>
    <xf numFmtId="0" fontId="0" fillId="0" borderId="0" xfId="0" applyFont="1" applyAlignment="1">
      <alignment horizontal="center"/>
    </xf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Apple/Honeywell</a:t>
            </a:r>
            <a:r>
              <a:rPr lang="en-US" baseline="0"/>
              <a:t> Yearly Stock Behaviors</a:t>
            </a:r>
            <a:endParaRPr lang="en-US"/>
          </a:p>
        </c:rich>
      </c:tx>
      <c:layout>
        <c:manualLayout>
          <c:xMode val="edge"/>
          <c:yMode val="edge"/>
          <c:x val="0.17508333333333337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'6050_Module3Project_Data'!$B$1</c:f>
              <c:strCache>
                <c:ptCount val="1"/>
                <c:pt idx="0">
                  <c:v>Period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'6050_Module3Project_Data'!$A$2:$A$253</c:f>
              <c:numCache>
                <c:formatCode>m/d/yyyy</c:formatCode>
                <c:ptCount val="252"/>
                <c:pt idx="0">
                  <c:v>43777</c:v>
                </c:pt>
                <c:pt idx="1">
                  <c:v>43780</c:v>
                </c:pt>
                <c:pt idx="2">
                  <c:v>43781</c:v>
                </c:pt>
                <c:pt idx="3">
                  <c:v>43782</c:v>
                </c:pt>
                <c:pt idx="4">
                  <c:v>43783</c:v>
                </c:pt>
                <c:pt idx="5">
                  <c:v>43784</c:v>
                </c:pt>
                <c:pt idx="6">
                  <c:v>43787</c:v>
                </c:pt>
                <c:pt idx="7">
                  <c:v>43788</c:v>
                </c:pt>
                <c:pt idx="8">
                  <c:v>43789</c:v>
                </c:pt>
                <c:pt idx="9">
                  <c:v>43790</c:v>
                </c:pt>
                <c:pt idx="10">
                  <c:v>43791</c:v>
                </c:pt>
                <c:pt idx="11">
                  <c:v>43794</c:v>
                </c:pt>
                <c:pt idx="12">
                  <c:v>43795</c:v>
                </c:pt>
                <c:pt idx="13">
                  <c:v>43796</c:v>
                </c:pt>
                <c:pt idx="14">
                  <c:v>43798</c:v>
                </c:pt>
                <c:pt idx="15">
                  <c:v>43801</c:v>
                </c:pt>
                <c:pt idx="16">
                  <c:v>43802</c:v>
                </c:pt>
                <c:pt idx="17">
                  <c:v>43803</c:v>
                </c:pt>
                <c:pt idx="18">
                  <c:v>43804</c:v>
                </c:pt>
                <c:pt idx="19">
                  <c:v>43805</c:v>
                </c:pt>
                <c:pt idx="20">
                  <c:v>43808</c:v>
                </c:pt>
                <c:pt idx="21">
                  <c:v>43809</c:v>
                </c:pt>
                <c:pt idx="22">
                  <c:v>43810</c:v>
                </c:pt>
                <c:pt idx="23">
                  <c:v>43811</c:v>
                </c:pt>
                <c:pt idx="24">
                  <c:v>43812</c:v>
                </c:pt>
                <c:pt idx="25">
                  <c:v>43815</c:v>
                </c:pt>
                <c:pt idx="26">
                  <c:v>43816</c:v>
                </c:pt>
                <c:pt idx="27">
                  <c:v>43817</c:v>
                </c:pt>
                <c:pt idx="28">
                  <c:v>43818</c:v>
                </c:pt>
                <c:pt idx="29">
                  <c:v>43819</c:v>
                </c:pt>
                <c:pt idx="30">
                  <c:v>43822</c:v>
                </c:pt>
                <c:pt idx="31">
                  <c:v>43823</c:v>
                </c:pt>
                <c:pt idx="32">
                  <c:v>43825</c:v>
                </c:pt>
                <c:pt idx="33">
                  <c:v>43826</c:v>
                </c:pt>
                <c:pt idx="34">
                  <c:v>43829</c:v>
                </c:pt>
                <c:pt idx="35">
                  <c:v>43830</c:v>
                </c:pt>
                <c:pt idx="36">
                  <c:v>43832</c:v>
                </c:pt>
                <c:pt idx="37">
                  <c:v>43833</c:v>
                </c:pt>
                <c:pt idx="38">
                  <c:v>43836</c:v>
                </c:pt>
                <c:pt idx="39">
                  <c:v>43837</c:v>
                </c:pt>
                <c:pt idx="40">
                  <c:v>43838</c:v>
                </c:pt>
                <c:pt idx="41">
                  <c:v>43839</c:v>
                </c:pt>
                <c:pt idx="42">
                  <c:v>43840</c:v>
                </c:pt>
                <c:pt idx="43">
                  <c:v>43843</c:v>
                </c:pt>
                <c:pt idx="44">
                  <c:v>43844</c:v>
                </c:pt>
                <c:pt idx="45">
                  <c:v>43845</c:v>
                </c:pt>
                <c:pt idx="46">
                  <c:v>43846</c:v>
                </c:pt>
                <c:pt idx="47">
                  <c:v>43847</c:v>
                </c:pt>
                <c:pt idx="48">
                  <c:v>43851</c:v>
                </c:pt>
                <c:pt idx="49">
                  <c:v>43852</c:v>
                </c:pt>
                <c:pt idx="50">
                  <c:v>43853</c:v>
                </c:pt>
                <c:pt idx="51">
                  <c:v>43854</c:v>
                </c:pt>
                <c:pt idx="52">
                  <c:v>43857</c:v>
                </c:pt>
                <c:pt idx="53">
                  <c:v>43858</c:v>
                </c:pt>
                <c:pt idx="54">
                  <c:v>43859</c:v>
                </c:pt>
                <c:pt idx="55">
                  <c:v>43860</c:v>
                </c:pt>
                <c:pt idx="56">
                  <c:v>43861</c:v>
                </c:pt>
                <c:pt idx="57">
                  <c:v>43864</c:v>
                </c:pt>
                <c:pt idx="58">
                  <c:v>43865</c:v>
                </c:pt>
                <c:pt idx="59">
                  <c:v>43866</c:v>
                </c:pt>
                <c:pt idx="60">
                  <c:v>43867</c:v>
                </c:pt>
                <c:pt idx="61">
                  <c:v>43868</c:v>
                </c:pt>
                <c:pt idx="62">
                  <c:v>43871</c:v>
                </c:pt>
                <c:pt idx="63">
                  <c:v>43872</c:v>
                </c:pt>
                <c:pt idx="64">
                  <c:v>43873</c:v>
                </c:pt>
                <c:pt idx="65">
                  <c:v>43874</c:v>
                </c:pt>
                <c:pt idx="66">
                  <c:v>43875</c:v>
                </c:pt>
                <c:pt idx="67">
                  <c:v>43879</c:v>
                </c:pt>
                <c:pt idx="68">
                  <c:v>43880</c:v>
                </c:pt>
                <c:pt idx="69">
                  <c:v>43881</c:v>
                </c:pt>
                <c:pt idx="70">
                  <c:v>43882</c:v>
                </c:pt>
                <c:pt idx="71">
                  <c:v>43885</c:v>
                </c:pt>
                <c:pt idx="72">
                  <c:v>43886</c:v>
                </c:pt>
                <c:pt idx="73">
                  <c:v>43887</c:v>
                </c:pt>
                <c:pt idx="74">
                  <c:v>43888</c:v>
                </c:pt>
                <c:pt idx="75">
                  <c:v>43889</c:v>
                </c:pt>
                <c:pt idx="76">
                  <c:v>43892</c:v>
                </c:pt>
                <c:pt idx="77">
                  <c:v>43893</c:v>
                </c:pt>
                <c:pt idx="78">
                  <c:v>43894</c:v>
                </c:pt>
                <c:pt idx="79">
                  <c:v>43895</c:v>
                </c:pt>
                <c:pt idx="80">
                  <c:v>43896</c:v>
                </c:pt>
                <c:pt idx="81">
                  <c:v>43899</c:v>
                </c:pt>
                <c:pt idx="82">
                  <c:v>43900</c:v>
                </c:pt>
                <c:pt idx="83">
                  <c:v>43901</c:v>
                </c:pt>
                <c:pt idx="84">
                  <c:v>43902</c:v>
                </c:pt>
                <c:pt idx="85">
                  <c:v>43903</c:v>
                </c:pt>
                <c:pt idx="86">
                  <c:v>43906</c:v>
                </c:pt>
                <c:pt idx="87">
                  <c:v>43907</c:v>
                </c:pt>
                <c:pt idx="88">
                  <c:v>43908</c:v>
                </c:pt>
                <c:pt idx="89">
                  <c:v>43909</c:v>
                </c:pt>
                <c:pt idx="90">
                  <c:v>43910</c:v>
                </c:pt>
                <c:pt idx="91">
                  <c:v>43913</c:v>
                </c:pt>
                <c:pt idx="92">
                  <c:v>43914</c:v>
                </c:pt>
                <c:pt idx="93">
                  <c:v>43915</c:v>
                </c:pt>
                <c:pt idx="94">
                  <c:v>43916</c:v>
                </c:pt>
                <c:pt idx="95">
                  <c:v>43917</c:v>
                </c:pt>
                <c:pt idx="96">
                  <c:v>43920</c:v>
                </c:pt>
                <c:pt idx="97">
                  <c:v>43921</c:v>
                </c:pt>
                <c:pt idx="98">
                  <c:v>43922</c:v>
                </c:pt>
                <c:pt idx="99">
                  <c:v>43923</c:v>
                </c:pt>
                <c:pt idx="100">
                  <c:v>43924</c:v>
                </c:pt>
                <c:pt idx="101">
                  <c:v>43927</c:v>
                </c:pt>
                <c:pt idx="102">
                  <c:v>43928</c:v>
                </c:pt>
                <c:pt idx="103">
                  <c:v>43929</c:v>
                </c:pt>
                <c:pt idx="104">
                  <c:v>43930</c:v>
                </c:pt>
                <c:pt idx="105">
                  <c:v>43934</c:v>
                </c:pt>
                <c:pt idx="106">
                  <c:v>43935</c:v>
                </c:pt>
                <c:pt idx="107">
                  <c:v>43936</c:v>
                </c:pt>
                <c:pt idx="108">
                  <c:v>43937</c:v>
                </c:pt>
                <c:pt idx="109">
                  <c:v>43938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43948</c:v>
                </c:pt>
                <c:pt idx="116">
                  <c:v>43949</c:v>
                </c:pt>
                <c:pt idx="117">
                  <c:v>43950</c:v>
                </c:pt>
                <c:pt idx="118">
                  <c:v>43951</c:v>
                </c:pt>
                <c:pt idx="119">
                  <c:v>43952</c:v>
                </c:pt>
                <c:pt idx="120">
                  <c:v>43955</c:v>
                </c:pt>
                <c:pt idx="121">
                  <c:v>43956</c:v>
                </c:pt>
                <c:pt idx="122">
                  <c:v>43957</c:v>
                </c:pt>
                <c:pt idx="123">
                  <c:v>43958</c:v>
                </c:pt>
                <c:pt idx="124">
                  <c:v>43959</c:v>
                </c:pt>
                <c:pt idx="125">
                  <c:v>43962</c:v>
                </c:pt>
                <c:pt idx="126">
                  <c:v>43963</c:v>
                </c:pt>
                <c:pt idx="127">
                  <c:v>43964</c:v>
                </c:pt>
                <c:pt idx="128">
                  <c:v>43965</c:v>
                </c:pt>
                <c:pt idx="129">
                  <c:v>43966</c:v>
                </c:pt>
                <c:pt idx="130">
                  <c:v>43969</c:v>
                </c:pt>
                <c:pt idx="131">
                  <c:v>43970</c:v>
                </c:pt>
                <c:pt idx="132">
                  <c:v>43971</c:v>
                </c:pt>
                <c:pt idx="133">
                  <c:v>43972</c:v>
                </c:pt>
                <c:pt idx="134">
                  <c:v>43973</c:v>
                </c:pt>
                <c:pt idx="135">
                  <c:v>43977</c:v>
                </c:pt>
                <c:pt idx="136">
                  <c:v>43978</c:v>
                </c:pt>
                <c:pt idx="137">
                  <c:v>43979</c:v>
                </c:pt>
                <c:pt idx="138">
                  <c:v>43980</c:v>
                </c:pt>
                <c:pt idx="139">
                  <c:v>43983</c:v>
                </c:pt>
                <c:pt idx="140">
                  <c:v>43984</c:v>
                </c:pt>
                <c:pt idx="141">
                  <c:v>43985</c:v>
                </c:pt>
                <c:pt idx="142">
                  <c:v>43986</c:v>
                </c:pt>
                <c:pt idx="143">
                  <c:v>43987</c:v>
                </c:pt>
                <c:pt idx="144">
                  <c:v>43990</c:v>
                </c:pt>
                <c:pt idx="145">
                  <c:v>43991</c:v>
                </c:pt>
                <c:pt idx="146">
                  <c:v>43992</c:v>
                </c:pt>
                <c:pt idx="147">
                  <c:v>43993</c:v>
                </c:pt>
                <c:pt idx="148">
                  <c:v>43994</c:v>
                </c:pt>
                <c:pt idx="149">
                  <c:v>43997</c:v>
                </c:pt>
                <c:pt idx="150">
                  <c:v>43998</c:v>
                </c:pt>
                <c:pt idx="151">
                  <c:v>43999</c:v>
                </c:pt>
                <c:pt idx="152">
                  <c:v>44000</c:v>
                </c:pt>
                <c:pt idx="153">
                  <c:v>44001</c:v>
                </c:pt>
                <c:pt idx="154">
                  <c:v>44004</c:v>
                </c:pt>
                <c:pt idx="155">
                  <c:v>44005</c:v>
                </c:pt>
                <c:pt idx="156">
                  <c:v>44006</c:v>
                </c:pt>
                <c:pt idx="157">
                  <c:v>44007</c:v>
                </c:pt>
                <c:pt idx="158">
                  <c:v>44008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44018</c:v>
                </c:pt>
                <c:pt idx="164">
                  <c:v>44019</c:v>
                </c:pt>
                <c:pt idx="165">
                  <c:v>44020</c:v>
                </c:pt>
                <c:pt idx="166">
                  <c:v>44021</c:v>
                </c:pt>
                <c:pt idx="167">
                  <c:v>44022</c:v>
                </c:pt>
                <c:pt idx="168">
                  <c:v>44025</c:v>
                </c:pt>
                <c:pt idx="169">
                  <c:v>44026</c:v>
                </c:pt>
                <c:pt idx="170">
                  <c:v>44027</c:v>
                </c:pt>
                <c:pt idx="171">
                  <c:v>44028</c:v>
                </c:pt>
                <c:pt idx="172">
                  <c:v>44029</c:v>
                </c:pt>
                <c:pt idx="173">
                  <c:v>44032</c:v>
                </c:pt>
                <c:pt idx="174">
                  <c:v>44033</c:v>
                </c:pt>
                <c:pt idx="175">
                  <c:v>44034</c:v>
                </c:pt>
                <c:pt idx="176">
                  <c:v>44035</c:v>
                </c:pt>
                <c:pt idx="177">
                  <c:v>44036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44046</c:v>
                </c:pt>
                <c:pt idx="184">
                  <c:v>44047</c:v>
                </c:pt>
                <c:pt idx="185">
                  <c:v>44048</c:v>
                </c:pt>
                <c:pt idx="186">
                  <c:v>44049</c:v>
                </c:pt>
                <c:pt idx="187">
                  <c:v>44050</c:v>
                </c:pt>
                <c:pt idx="188">
                  <c:v>44053</c:v>
                </c:pt>
                <c:pt idx="189">
                  <c:v>44054</c:v>
                </c:pt>
                <c:pt idx="190">
                  <c:v>44055</c:v>
                </c:pt>
                <c:pt idx="191">
                  <c:v>44056</c:v>
                </c:pt>
                <c:pt idx="192">
                  <c:v>44057</c:v>
                </c:pt>
                <c:pt idx="193">
                  <c:v>44060</c:v>
                </c:pt>
                <c:pt idx="194">
                  <c:v>44061</c:v>
                </c:pt>
                <c:pt idx="195">
                  <c:v>44062</c:v>
                </c:pt>
                <c:pt idx="196">
                  <c:v>44063</c:v>
                </c:pt>
                <c:pt idx="197">
                  <c:v>44064</c:v>
                </c:pt>
                <c:pt idx="198">
                  <c:v>44067</c:v>
                </c:pt>
                <c:pt idx="199">
                  <c:v>44068</c:v>
                </c:pt>
                <c:pt idx="200">
                  <c:v>44069</c:v>
                </c:pt>
                <c:pt idx="201">
                  <c:v>44070</c:v>
                </c:pt>
                <c:pt idx="202">
                  <c:v>44071</c:v>
                </c:pt>
                <c:pt idx="203">
                  <c:v>44074</c:v>
                </c:pt>
                <c:pt idx="204">
                  <c:v>44075</c:v>
                </c:pt>
                <c:pt idx="205">
                  <c:v>44076</c:v>
                </c:pt>
                <c:pt idx="206">
                  <c:v>44077</c:v>
                </c:pt>
                <c:pt idx="207">
                  <c:v>44078</c:v>
                </c:pt>
                <c:pt idx="208">
                  <c:v>44082</c:v>
                </c:pt>
                <c:pt idx="209">
                  <c:v>44083</c:v>
                </c:pt>
                <c:pt idx="210">
                  <c:v>44084</c:v>
                </c:pt>
                <c:pt idx="211">
                  <c:v>44085</c:v>
                </c:pt>
                <c:pt idx="212">
                  <c:v>44088</c:v>
                </c:pt>
                <c:pt idx="213">
                  <c:v>44089</c:v>
                </c:pt>
                <c:pt idx="214">
                  <c:v>44090</c:v>
                </c:pt>
                <c:pt idx="215">
                  <c:v>44091</c:v>
                </c:pt>
                <c:pt idx="216">
                  <c:v>44092</c:v>
                </c:pt>
                <c:pt idx="217">
                  <c:v>44095</c:v>
                </c:pt>
                <c:pt idx="218">
                  <c:v>44096</c:v>
                </c:pt>
                <c:pt idx="219">
                  <c:v>44097</c:v>
                </c:pt>
                <c:pt idx="220">
                  <c:v>44098</c:v>
                </c:pt>
                <c:pt idx="221">
                  <c:v>44099</c:v>
                </c:pt>
                <c:pt idx="222">
                  <c:v>44102</c:v>
                </c:pt>
                <c:pt idx="223">
                  <c:v>44103</c:v>
                </c:pt>
                <c:pt idx="224">
                  <c:v>44104</c:v>
                </c:pt>
                <c:pt idx="225">
                  <c:v>44105</c:v>
                </c:pt>
                <c:pt idx="226">
                  <c:v>44106</c:v>
                </c:pt>
                <c:pt idx="227">
                  <c:v>44109</c:v>
                </c:pt>
                <c:pt idx="228">
                  <c:v>44110</c:v>
                </c:pt>
                <c:pt idx="229">
                  <c:v>44111</c:v>
                </c:pt>
                <c:pt idx="230">
                  <c:v>44112</c:v>
                </c:pt>
                <c:pt idx="231">
                  <c:v>44113</c:v>
                </c:pt>
                <c:pt idx="232">
                  <c:v>44116</c:v>
                </c:pt>
                <c:pt idx="233">
                  <c:v>44117</c:v>
                </c:pt>
                <c:pt idx="234">
                  <c:v>44118</c:v>
                </c:pt>
                <c:pt idx="235">
                  <c:v>44119</c:v>
                </c:pt>
                <c:pt idx="236">
                  <c:v>44120</c:v>
                </c:pt>
                <c:pt idx="237">
                  <c:v>44123</c:v>
                </c:pt>
                <c:pt idx="238">
                  <c:v>44124</c:v>
                </c:pt>
                <c:pt idx="239">
                  <c:v>44125</c:v>
                </c:pt>
                <c:pt idx="240">
                  <c:v>44126</c:v>
                </c:pt>
                <c:pt idx="241">
                  <c:v>44127</c:v>
                </c:pt>
                <c:pt idx="242">
                  <c:v>44130</c:v>
                </c:pt>
                <c:pt idx="243">
                  <c:v>44131</c:v>
                </c:pt>
                <c:pt idx="244">
                  <c:v>44132</c:v>
                </c:pt>
                <c:pt idx="245">
                  <c:v>44133</c:v>
                </c:pt>
                <c:pt idx="246">
                  <c:v>44134</c:v>
                </c:pt>
                <c:pt idx="247">
                  <c:v>44137</c:v>
                </c:pt>
                <c:pt idx="248">
                  <c:v>44138</c:v>
                </c:pt>
                <c:pt idx="249">
                  <c:v>44139</c:v>
                </c:pt>
                <c:pt idx="250">
                  <c:v>44140</c:v>
                </c:pt>
                <c:pt idx="251">
                  <c:v>44141</c:v>
                </c:pt>
              </c:numCache>
            </c:numRef>
          </c:cat>
          <c:val>
            <c:numRef>
              <c:f>'6050_Module3Project_Data'!$B$2:$B$253</c:f>
              <c:numCache>
                <c:formatCode>General</c:formatCode>
                <c:ptCount val="2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78-4A78-B54B-5D16D23F6C95}"/>
            </c:ext>
          </c:extLst>
        </c:ser>
        <c:ser>
          <c:idx val="1"/>
          <c:order val="1"/>
          <c:tx>
            <c:strRef>
              <c:f>'6050_Module3Project_Data'!$C$1</c:f>
              <c:strCache>
                <c:ptCount val="1"/>
                <c:pt idx="0">
                  <c:v>AAPL (Apple Inc) / $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'6050_Module3Project_Data'!$A$2:$A$253</c:f>
              <c:numCache>
                <c:formatCode>m/d/yyyy</c:formatCode>
                <c:ptCount val="252"/>
                <c:pt idx="0">
                  <c:v>43777</c:v>
                </c:pt>
                <c:pt idx="1">
                  <c:v>43780</c:v>
                </c:pt>
                <c:pt idx="2">
                  <c:v>43781</c:v>
                </c:pt>
                <c:pt idx="3">
                  <c:v>43782</c:v>
                </c:pt>
                <c:pt idx="4">
                  <c:v>43783</c:v>
                </c:pt>
                <c:pt idx="5">
                  <c:v>43784</c:v>
                </c:pt>
                <c:pt idx="6">
                  <c:v>43787</c:v>
                </c:pt>
                <c:pt idx="7">
                  <c:v>43788</c:v>
                </c:pt>
                <c:pt idx="8">
                  <c:v>43789</c:v>
                </c:pt>
                <c:pt idx="9">
                  <c:v>43790</c:v>
                </c:pt>
                <c:pt idx="10">
                  <c:v>43791</c:v>
                </c:pt>
                <c:pt idx="11">
                  <c:v>43794</c:v>
                </c:pt>
                <c:pt idx="12">
                  <c:v>43795</c:v>
                </c:pt>
                <c:pt idx="13">
                  <c:v>43796</c:v>
                </c:pt>
                <c:pt idx="14">
                  <c:v>43798</c:v>
                </c:pt>
                <c:pt idx="15">
                  <c:v>43801</c:v>
                </c:pt>
                <c:pt idx="16">
                  <c:v>43802</c:v>
                </c:pt>
                <c:pt idx="17">
                  <c:v>43803</c:v>
                </c:pt>
                <c:pt idx="18">
                  <c:v>43804</c:v>
                </c:pt>
                <c:pt idx="19">
                  <c:v>43805</c:v>
                </c:pt>
                <c:pt idx="20">
                  <c:v>43808</c:v>
                </c:pt>
                <c:pt idx="21">
                  <c:v>43809</c:v>
                </c:pt>
                <c:pt idx="22">
                  <c:v>43810</c:v>
                </c:pt>
                <c:pt idx="23">
                  <c:v>43811</c:v>
                </c:pt>
                <c:pt idx="24">
                  <c:v>43812</c:v>
                </c:pt>
                <c:pt idx="25">
                  <c:v>43815</c:v>
                </c:pt>
                <c:pt idx="26">
                  <c:v>43816</c:v>
                </c:pt>
                <c:pt idx="27">
                  <c:v>43817</c:v>
                </c:pt>
                <c:pt idx="28">
                  <c:v>43818</c:v>
                </c:pt>
                <c:pt idx="29">
                  <c:v>43819</c:v>
                </c:pt>
                <c:pt idx="30">
                  <c:v>43822</c:v>
                </c:pt>
                <c:pt idx="31">
                  <c:v>43823</c:v>
                </c:pt>
                <c:pt idx="32">
                  <c:v>43825</c:v>
                </c:pt>
                <c:pt idx="33">
                  <c:v>43826</c:v>
                </c:pt>
                <c:pt idx="34">
                  <c:v>43829</c:v>
                </c:pt>
                <c:pt idx="35">
                  <c:v>43830</c:v>
                </c:pt>
                <c:pt idx="36">
                  <c:v>43832</c:v>
                </c:pt>
                <c:pt idx="37">
                  <c:v>43833</c:v>
                </c:pt>
                <c:pt idx="38">
                  <c:v>43836</c:v>
                </c:pt>
                <c:pt idx="39">
                  <c:v>43837</c:v>
                </c:pt>
                <c:pt idx="40">
                  <c:v>43838</c:v>
                </c:pt>
                <c:pt idx="41">
                  <c:v>43839</c:v>
                </c:pt>
                <c:pt idx="42">
                  <c:v>43840</c:v>
                </c:pt>
                <c:pt idx="43">
                  <c:v>43843</c:v>
                </c:pt>
                <c:pt idx="44">
                  <c:v>43844</c:v>
                </c:pt>
                <c:pt idx="45">
                  <c:v>43845</c:v>
                </c:pt>
                <c:pt idx="46">
                  <c:v>43846</c:v>
                </c:pt>
                <c:pt idx="47">
                  <c:v>43847</c:v>
                </c:pt>
                <c:pt idx="48">
                  <c:v>43851</c:v>
                </c:pt>
                <c:pt idx="49">
                  <c:v>43852</c:v>
                </c:pt>
                <c:pt idx="50">
                  <c:v>43853</c:v>
                </c:pt>
                <c:pt idx="51">
                  <c:v>43854</c:v>
                </c:pt>
                <c:pt idx="52">
                  <c:v>43857</c:v>
                </c:pt>
                <c:pt idx="53">
                  <c:v>43858</c:v>
                </c:pt>
                <c:pt idx="54">
                  <c:v>43859</c:v>
                </c:pt>
                <c:pt idx="55">
                  <c:v>43860</c:v>
                </c:pt>
                <c:pt idx="56">
                  <c:v>43861</c:v>
                </c:pt>
                <c:pt idx="57">
                  <c:v>43864</c:v>
                </c:pt>
                <c:pt idx="58">
                  <c:v>43865</c:v>
                </c:pt>
                <c:pt idx="59">
                  <c:v>43866</c:v>
                </c:pt>
                <c:pt idx="60">
                  <c:v>43867</c:v>
                </c:pt>
                <c:pt idx="61">
                  <c:v>43868</c:v>
                </c:pt>
                <c:pt idx="62">
                  <c:v>43871</c:v>
                </c:pt>
                <c:pt idx="63">
                  <c:v>43872</c:v>
                </c:pt>
                <c:pt idx="64">
                  <c:v>43873</c:v>
                </c:pt>
                <c:pt idx="65">
                  <c:v>43874</c:v>
                </c:pt>
                <c:pt idx="66">
                  <c:v>43875</c:v>
                </c:pt>
                <c:pt idx="67">
                  <c:v>43879</c:v>
                </c:pt>
                <c:pt idx="68">
                  <c:v>43880</c:v>
                </c:pt>
                <c:pt idx="69">
                  <c:v>43881</c:v>
                </c:pt>
                <c:pt idx="70">
                  <c:v>43882</c:v>
                </c:pt>
                <c:pt idx="71">
                  <c:v>43885</c:v>
                </c:pt>
                <c:pt idx="72">
                  <c:v>43886</c:v>
                </c:pt>
                <c:pt idx="73">
                  <c:v>43887</c:v>
                </c:pt>
                <c:pt idx="74">
                  <c:v>43888</c:v>
                </c:pt>
                <c:pt idx="75">
                  <c:v>43889</c:v>
                </c:pt>
                <c:pt idx="76">
                  <c:v>43892</c:v>
                </c:pt>
                <c:pt idx="77">
                  <c:v>43893</c:v>
                </c:pt>
                <c:pt idx="78">
                  <c:v>43894</c:v>
                </c:pt>
                <c:pt idx="79">
                  <c:v>43895</c:v>
                </c:pt>
                <c:pt idx="80">
                  <c:v>43896</c:v>
                </c:pt>
                <c:pt idx="81">
                  <c:v>43899</c:v>
                </c:pt>
                <c:pt idx="82">
                  <c:v>43900</c:v>
                </c:pt>
                <c:pt idx="83">
                  <c:v>43901</c:v>
                </c:pt>
                <c:pt idx="84">
                  <c:v>43902</c:v>
                </c:pt>
                <c:pt idx="85">
                  <c:v>43903</c:v>
                </c:pt>
                <c:pt idx="86">
                  <c:v>43906</c:v>
                </c:pt>
                <c:pt idx="87">
                  <c:v>43907</c:v>
                </c:pt>
                <c:pt idx="88">
                  <c:v>43908</c:v>
                </c:pt>
                <c:pt idx="89">
                  <c:v>43909</c:v>
                </c:pt>
                <c:pt idx="90">
                  <c:v>43910</c:v>
                </c:pt>
                <c:pt idx="91">
                  <c:v>43913</c:v>
                </c:pt>
                <c:pt idx="92">
                  <c:v>43914</c:v>
                </c:pt>
                <c:pt idx="93">
                  <c:v>43915</c:v>
                </c:pt>
                <c:pt idx="94">
                  <c:v>43916</c:v>
                </c:pt>
                <c:pt idx="95">
                  <c:v>43917</c:v>
                </c:pt>
                <c:pt idx="96">
                  <c:v>43920</c:v>
                </c:pt>
                <c:pt idx="97">
                  <c:v>43921</c:v>
                </c:pt>
                <c:pt idx="98">
                  <c:v>43922</c:v>
                </c:pt>
                <c:pt idx="99">
                  <c:v>43923</c:v>
                </c:pt>
                <c:pt idx="100">
                  <c:v>43924</c:v>
                </c:pt>
                <c:pt idx="101">
                  <c:v>43927</c:v>
                </c:pt>
                <c:pt idx="102">
                  <c:v>43928</c:v>
                </c:pt>
                <c:pt idx="103">
                  <c:v>43929</c:v>
                </c:pt>
                <c:pt idx="104">
                  <c:v>43930</c:v>
                </c:pt>
                <c:pt idx="105">
                  <c:v>43934</c:v>
                </c:pt>
                <c:pt idx="106">
                  <c:v>43935</c:v>
                </c:pt>
                <c:pt idx="107">
                  <c:v>43936</c:v>
                </c:pt>
                <c:pt idx="108">
                  <c:v>43937</c:v>
                </c:pt>
                <c:pt idx="109">
                  <c:v>43938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43948</c:v>
                </c:pt>
                <c:pt idx="116">
                  <c:v>43949</c:v>
                </c:pt>
                <c:pt idx="117">
                  <c:v>43950</c:v>
                </c:pt>
                <c:pt idx="118">
                  <c:v>43951</c:v>
                </c:pt>
                <c:pt idx="119">
                  <c:v>43952</c:v>
                </c:pt>
                <c:pt idx="120">
                  <c:v>43955</c:v>
                </c:pt>
                <c:pt idx="121">
                  <c:v>43956</c:v>
                </c:pt>
                <c:pt idx="122">
                  <c:v>43957</c:v>
                </c:pt>
                <c:pt idx="123">
                  <c:v>43958</c:v>
                </c:pt>
                <c:pt idx="124">
                  <c:v>43959</c:v>
                </c:pt>
                <c:pt idx="125">
                  <c:v>43962</c:v>
                </c:pt>
                <c:pt idx="126">
                  <c:v>43963</c:v>
                </c:pt>
                <c:pt idx="127">
                  <c:v>43964</c:v>
                </c:pt>
                <c:pt idx="128">
                  <c:v>43965</c:v>
                </c:pt>
                <c:pt idx="129">
                  <c:v>43966</c:v>
                </c:pt>
                <c:pt idx="130">
                  <c:v>43969</c:v>
                </c:pt>
                <c:pt idx="131">
                  <c:v>43970</c:v>
                </c:pt>
                <c:pt idx="132">
                  <c:v>43971</c:v>
                </c:pt>
                <c:pt idx="133">
                  <c:v>43972</c:v>
                </c:pt>
                <c:pt idx="134">
                  <c:v>43973</c:v>
                </c:pt>
                <c:pt idx="135">
                  <c:v>43977</c:v>
                </c:pt>
                <c:pt idx="136">
                  <c:v>43978</c:v>
                </c:pt>
                <c:pt idx="137">
                  <c:v>43979</c:v>
                </c:pt>
                <c:pt idx="138">
                  <c:v>43980</c:v>
                </c:pt>
                <c:pt idx="139">
                  <c:v>43983</c:v>
                </c:pt>
                <c:pt idx="140">
                  <c:v>43984</c:v>
                </c:pt>
                <c:pt idx="141">
                  <c:v>43985</c:v>
                </c:pt>
                <c:pt idx="142">
                  <c:v>43986</c:v>
                </c:pt>
                <c:pt idx="143">
                  <c:v>43987</c:v>
                </c:pt>
                <c:pt idx="144">
                  <c:v>43990</c:v>
                </c:pt>
                <c:pt idx="145">
                  <c:v>43991</c:v>
                </c:pt>
                <c:pt idx="146">
                  <c:v>43992</c:v>
                </c:pt>
                <c:pt idx="147">
                  <c:v>43993</c:v>
                </c:pt>
                <c:pt idx="148">
                  <c:v>43994</c:v>
                </c:pt>
                <c:pt idx="149">
                  <c:v>43997</c:v>
                </c:pt>
                <c:pt idx="150">
                  <c:v>43998</c:v>
                </c:pt>
                <c:pt idx="151">
                  <c:v>43999</c:v>
                </c:pt>
                <c:pt idx="152">
                  <c:v>44000</c:v>
                </c:pt>
                <c:pt idx="153">
                  <c:v>44001</c:v>
                </c:pt>
                <c:pt idx="154">
                  <c:v>44004</c:v>
                </c:pt>
                <c:pt idx="155">
                  <c:v>44005</c:v>
                </c:pt>
                <c:pt idx="156">
                  <c:v>44006</c:v>
                </c:pt>
                <c:pt idx="157">
                  <c:v>44007</c:v>
                </c:pt>
                <c:pt idx="158">
                  <c:v>44008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44018</c:v>
                </c:pt>
                <c:pt idx="164">
                  <c:v>44019</c:v>
                </c:pt>
                <c:pt idx="165">
                  <c:v>44020</c:v>
                </c:pt>
                <c:pt idx="166">
                  <c:v>44021</c:v>
                </c:pt>
                <c:pt idx="167">
                  <c:v>44022</c:v>
                </c:pt>
                <c:pt idx="168">
                  <c:v>44025</c:v>
                </c:pt>
                <c:pt idx="169">
                  <c:v>44026</c:v>
                </c:pt>
                <c:pt idx="170">
                  <c:v>44027</c:v>
                </c:pt>
                <c:pt idx="171">
                  <c:v>44028</c:v>
                </c:pt>
                <c:pt idx="172">
                  <c:v>44029</c:v>
                </c:pt>
                <c:pt idx="173">
                  <c:v>44032</c:v>
                </c:pt>
                <c:pt idx="174">
                  <c:v>44033</c:v>
                </c:pt>
                <c:pt idx="175">
                  <c:v>44034</c:v>
                </c:pt>
                <c:pt idx="176">
                  <c:v>44035</c:v>
                </c:pt>
                <c:pt idx="177">
                  <c:v>44036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44046</c:v>
                </c:pt>
                <c:pt idx="184">
                  <c:v>44047</c:v>
                </c:pt>
                <c:pt idx="185">
                  <c:v>44048</c:v>
                </c:pt>
                <c:pt idx="186">
                  <c:v>44049</c:v>
                </c:pt>
                <c:pt idx="187">
                  <c:v>44050</c:v>
                </c:pt>
                <c:pt idx="188">
                  <c:v>44053</c:v>
                </c:pt>
                <c:pt idx="189">
                  <c:v>44054</c:v>
                </c:pt>
                <c:pt idx="190">
                  <c:v>44055</c:v>
                </c:pt>
                <c:pt idx="191">
                  <c:v>44056</c:v>
                </c:pt>
                <c:pt idx="192">
                  <c:v>44057</c:v>
                </c:pt>
                <c:pt idx="193">
                  <c:v>44060</c:v>
                </c:pt>
                <c:pt idx="194">
                  <c:v>44061</c:v>
                </c:pt>
                <c:pt idx="195">
                  <c:v>44062</c:v>
                </c:pt>
                <c:pt idx="196">
                  <c:v>44063</c:v>
                </c:pt>
                <c:pt idx="197">
                  <c:v>44064</c:v>
                </c:pt>
                <c:pt idx="198">
                  <c:v>44067</c:v>
                </c:pt>
                <c:pt idx="199">
                  <c:v>44068</c:v>
                </c:pt>
                <c:pt idx="200">
                  <c:v>44069</c:v>
                </c:pt>
                <c:pt idx="201">
                  <c:v>44070</c:v>
                </c:pt>
                <c:pt idx="202">
                  <c:v>44071</c:v>
                </c:pt>
                <c:pt idx="203">
                  <c:v>44074</c:v>
                </c:pt>
                <c:pt idx="204">
                  <c:v>44075</c:v>
                </c:pt>
                <c:pt idx="205">
                  <c:v>44076</c:v>
                </c:pt>
                <c:pt idx="206">
                  <c:v>44077</c:v>
                </c:pt>
                <c:pt idx="207">
                  <c:v>44078</c:v>
                </c:pt>
                <c:pt idx="208">
                  <c:v>44082</c:v>
                </c:pt>
                <c:pt idx="209">
                  <c:v>44083</c:v>
                </c:pt>
                <c:pt idx="210">
                  <c:v>44084</c:v>
                </c:pt>
                <c:pt idx="211">
                  <c:v>44085</c:v>
                </c:pt>
                <c:pt idx="212">
                  <c:v>44088</c:v>
                </c:pt>
                <c:pt idx="213">
                  <c:v>44089</c:v>
                </c:pt>
                <c:pt idx="214">
                  <c:v>44090</c:v>
                </c:pt>
                <c:pt idx="215">
                  <c:v>44091</c:v>
                </c:pt>
                <c:pt idx="216">
                  <c:v>44092</c:v>
                </c:pt>
                <c:pt idx="217">
                  <c:v>44095</c:v>
                </c:pt>
                <c:pt idx="218">
                  <c:v>44096</c:v>
                </c:pt>
                <c:pt idx="219">
                  <c:v>44097</c:v>
                </c:pt>
                <c:pt idx="220">
                  <c:v>44098</c:v>
                </c:pt>
                <c:pt idx="221">
                  <c:v>44099</c:v>
                </c:pt>
                <c:pt idx="222">
                  <c:v>44102</c:v>
                </c:pt>
                <c:pt idx="223">
                  <c:v>44103</c:v>
                </c:pt>
                <c:pt idx="224">
                  <c:v>44104</c:v>
                </c:pt>
                <c:pt idx="225">
                  <c:v>44105</c:v>
                </c:pt>
                <c:pt idx="226">
                  <c:v>44106</c:v>
                </c:pt>
                <c:pt idx="227">
                  <c:v>44109</c:v>
                </c:pt>
                <c:pt idx="228">
                  <c:v>44110</c:v>
                </c:pt>
                <c:pt idx="229">
                  <c:v>44111</c:v>
                </c:pt>
                <c:pt idx="230">
                  <c:v>44112</c:v>
                </c:pt>
                <c:pt idx="231">
                  <c:v>44113</c:v>
                </c:pt>
                <c:pt idx="232">
                  <c:v>44116</c:v>
                </c:pt>
                <c:pt idx="233">
                  <c:v>44117</c:v>
                </c:pt>
                <c:pt idx="234">
                  <c:v>44118</c:v>
                </c:pt>
                <c:pt idx="235">
                  <c:v>44119</c:v>
                </c:pt>
                <c:pt idx="236">
                  <c:v>44120</c:v>
                </c:pt>
                <c:pt idx="237">
                  <c:v>44123</c:v>
                </c:pt>
                <c:pt idx="238">
                  <c:v>44124</c:v>
                </c:pt>
                <c:pt idx="239">
                  <c:v>44125</c:v>
                </c:pt>
                <c:pt idx="240">
                  <c:v>44126</c:v>
                </c:pt>
                <c:pt idx="241">
                  <c:v>44127</c:v>
                </c:pt>
                <c:pt idx="242">
                  <c:v>44130</c:v>
                </c:pt>
                <c:pt idx="243">
                  <c:v>44131</c:v>
                </c:pt>
                <c:pt idx="244">
                  <c:v>44132</c:v>
                </c:pt>
                <c:pt idx="245">
                  <c:v>44133</c:v>
                </c:pt>
                <c:pt idx="246">
                  <c:v>44134</c:v>
                </c:pt>
                <c:pt idx="247">
                  <c:v>44137</c:v>
                </c:pt>
                <c:pt idx="248">
                  <c:v>44138</c:v>
                </c:pt>
                <c:pt idx="249">
                  <c:v>44139</c:v>
                </c:pt>
                <c:pt idx="250">
                  <c:v>44140</c:v>
                </c:pt>
                <c:pt idx="251">
                  <c:v>44141</c:v>
                </c:pt>
              </c:numCache>
            </c:numRef>
          </c:cat>
          <c:val>
            <c:numRef>
              <c:f>'6050_Module3Project_Data'!$C$2:$C$253</c:f>
              <c:numCache>
                <c:formatCode>0.00</c:formatCode>
                <c:ptCount val="252"/>
                <c:pt idx="0">
                  <c:v>63.954543999999999</c:v>
                </c:pt>
                <c:pt idx="1">
                  <c:v>64.460991000000007</c:v>
                </c:pt>
                <c:pt idx="2">
                  <c:v>64.401978</c:v>
                </c:pt>
                <c:pt idx="3">
                  <c:v>65.019051000000005</c:v>
                </c:pt>
                <c:pt idx="4">
                  <c:v>64.569159999999997</c:v>
                </c:pt>
                <c:pt idx="5">
                  <c:v>65.336212000000003</c:v>
                </c:pt>
                <c:pt idx="6">
                  <c:v>65.665633999999997</c:v>
                </c:pt>
                <c:pt idx="7">
                  <c:v>65.466507000000007</c:v>
                </c:pt>
                <c:pt idx="8">
                  <c:v>64.704375999999996</c:v>
                </c:pt>
                <c:pt idx="9">
                  <c:v>64.414268000000007</c:v>
                </c:pt>
                <c:pt idx="10">
                  <c:v>64.357726999999997</c:v>
                </c:pt>
                <c:pt idx="11">
                  <c:v>65.486168000000006</c:v>
                </c:pt>
                <c:pt idx="12">
                  <c:v>64.974815000000007</c:v>
                </c:pt>
                <c:pt idx="13">
                  <c:v>65.847565000000003</c:v>
                </c:pt>
                <c:pt idx="14">
                  <c:v>65.702515000000005</c:v>
                </c:pt>
                <c:pt idx="15">
                  <c:v>64.942841000000001</c:v>
                </c:pt>
                <c:pt idx="16">
                  <c:v>63.784916000000003</c:v>
                </c:pt>
                <c:pt idx="17">
                  <c:v>64.347892999999999</c:v>
                </c:pt>
                <c:pt idx="18">
                  <c:v>65.291945999999996</c:v>
                </c:pt>
                <c:pt idx="19">
                  <c:v>66.553130999999993</c:v>
                </c:pt>
                <c:pt idx="20">
                  <c:v>65.621384000000006</c:v>
                </c:pt>
                <c:pt idx="21">
                  <c:v>66.004897999999997</c:v>
                </c:pt>
                <c:pt idx="22">
                  <c:v>66.567886000000001</c:v>
                </c:pt>
                <c:pt idx="23">
                  <c:v>66.737517999999994</c:v>
                </c:pt>
                <c:pt idx="24">
                  <c:v>67.644706999999997</c:v>
                </c:pt>
                <c:pt idx="25">
                  <c:v>68.802634999999995</c:v>
                </c:pt>
                <c:pt idx="26">
                  <c:v>68.937850999999995</c:v>
                </c:pt>
                <c:pt idx="27">
                  <c:v>68.773132000000004</c:v>
                </c:pt>
                <c:pt idx="28">
                  <c:v>68.841965000000002</c:v>
                </c:pt>
                <c:pt idx="29">
                  <c:v>68.699387000000002</c:v>
                </c:pt>
                <c:pt idx="30">
                  <c:v>69.820442</c:v>
                </c:pt>
                <c:pt idx="31">
                  <c:v>69.886818000000005</c:v>
                </c:pt>
                <c:pt idx="32">
                  <c:v>71.273392000000001</c:v>
                </c:pt>
                <c:pt idx="33">
                  <c:v>71.246352999999999</c:v>
                </c:pt>
                <c:pt idx="34">
                  <c:v>71.669212000000002</c:v>
                </c:pt>
                <c:pt idx="35">
                  <c:v>72.192863000000003</c:v>
                </c:pt>
                <c:pt idx="36">
                  <c:v>73.840041999999997</c:v>
                </c:pt>
                <c:pt idx="37">
                  <c:v>73.122153999999995</c:v>
                </c:pt>
                <c:pt idx="38">
                  <c:v>73.704819000000001</c:v>
                </c:pt>
                <c:pt idx="39">
                  <c:v>73.358185000000006</c:v>
                </c:pt>
                <c:pt idx="40">
                  <c:v>74.538239000000004</c:v>
                </c:pt>
                <c:pt idx="41">
                  <c:v>76.121498000000003</c:v>
                </c:pt>
                <c:pt idx="42">
                  <c:v>76.293578999999994</c:v>
                </c:pt>
                <c:pt idx="43">
                  <c:v>77.923537999999994</c:v>
                </c:pt>
                <c:pt idx="44">
                  <c:v>76.871323000000004</c:v>
                </c:pt>
                <c:pt idx="45">
                  <c:v>76.541884999999994</c:v>
                </c:pt>
                <c:pt idx="46">
                  <c:v>77.500693999999996</c:v>
                </c:pt>
                <c:pt idx="47">
                  <c:v>78.358695999999995</c:v>
                </c:pt>
                <c:pt idx="48">
                  <c:v>77.827667000000005</c:v>
                </c:pt>
                <c:pt idx="49">
                  <c:v>78.105475999999996</c:v>
                </c:pt>
                <c:pt idx="50">
                  <c:v>78.481621000000004</c:v>
                </c:pt>
                <c:pt idx="51">
                  <c:v>78.255439999999993</c:v>
                </c:pt>
                <c:pt idx="52">
                  <c:v>75.954314999999994</c:v>
                </c:pt>
                <c:pt idx="53">
                  <c:v>78.103012000000007</c:v>
                </c:pt>
                <c:pt idx="54">
                  <c:v>79.737899999999996</c:v>
                </c:pt>
                <c:pt idx="55">
                  <c:v>79.622337000000002</c:v>
                </c:pt>
                <c:pt idx="56">
                  <c:v>76.091994999999997</c:v>
                </c:pt>
                <c:pt idx="57">
                  <c:v>75.883018000000007</c:v>
                </c:pt>
                <c:pt idx="58">
                  <c:v>78.388199</c:v>
                </c:pt>
                <c:pt idx="59">
                  <c:v>79.027405000000002</c:v>
                </c:pt>
                <c:pt idx="60">
                  <c:v>79.951774999999998</c:v>
                </c:pt>
                <c:pt idx="61">
                  <c:v>78.865020999999999</c:v>
                </c:pt>
                <c:pt idx="62">
                  <c:v>79.239593999999997</c:v>
                </c:pt>
                <c:pt idx="63">
                  <c:v>78.761520000000004</c:v>
                </c:pt>
                <c:pt idx="64">
                  <c:v>80.631927000000005</c:v>
                </c:pt>
                <c:pt idx="65">
                  <c:v>80.057738999999998</c:v>
                </c:pt>
                <c:pt idx="66">
                  <c:v>80.077461</c:v>
                </c:pt>
                <c:pt idx="67">
                  <c:v>78.611198000000002</c:v>
                </c:pt>
                <c:pt idx="68">
                  <c:v>79.749701999999999</c:v>
                </c:pt>
                <c:pt idx="69">
                  <c:v>78.931563999999995</c:v>
                </c:pt>
                <c:pt idx="70">
                  <c:v>77.144942999999998</c:v>
                </c:pt>
                <c:pt idx="71">
                  <c:v>73.480521999999993</c:v>
                </c:pt>
                <c:pt idx="72">
                  <c:v>70.991577000000007</c:v>
                </c:pt>
                <c:pt idx="73">
                  <c:v>72.117767000000001</c:v>
                </c:pt>
                <c:pt idx="74">
                  <c:v>67.403557000000006</c:v>
                </c:pt>
                <c:pt idx="75">
                  <c:v>67.364127999999994</c:v>
                </c:pt>
                <c:pt idx="76">
                  <c:v>73.635773</c:v>
                </c:pt>
                <c:pt idx="77">
                  <c:v>71.297156999999999</c:v>
                </c:pt>
                <c:pt idx="78">
                  <c:v>74.604240000000004</c:v>
                </c:pt>
                <c:pt idx="79">
                  <c:v>72.184303</c:v>
                </c:pt>
                <c:pt idx="80">
                  <c:v>71.225684999999999</c:v>
                </c:pt>
                <c:pt idx="81">
                  <c:v>65.592308000000003</c:v>
                </c:pt>
                <c:pt idx="82">
                  <c:v>70.316367999999997</c:v>
                </c:pt>
                <c:pt idx="83">
                  <c:v>67.874245000000002</c:v>
                </c:pt>
                <c:pt idx="84">
                  <c:v>61.171340999999998</c:v>
                </c:pt>
                <c:pt idx="85">
                  <c:v>68.500174999999999</c:v>
                </c:pt>
                <c:pt idx="86">
                  <c:v>59.687832</c:v>
                </c:pt>
                <c:pt idx="87">
                  <c:v>62.312308999999999</c:v>
                </c:pt>
                <c:pt idx="88">
                  <c:v>60.786911000000003</c:v>
                </c:pt>
                <c:pt idx="89">
                  <c:v>60.321156000000002</c:v>
                </c:pt>
                <c:pt idx="90">
                  <c:v>56.491633999999998</c:v>
                </c:pt>
                <c:pt idx="91">
                  <c:v>55.291519000000001</c:v>
                </c:pt>
                <c:pt idx="92">
                  <c:v>60.838661000000002</c:v>
                </c:pt>
                <c:pt idx="93">
                  <c:v>60.503517000000002</c:v>
                </c:pt>
                <c:pt idx="94">
                  <c:v>63.687393</c:v>
                </c:pt>
                <c:pt idx="95">
                  <c:v>61.050593999999997</c:v>
                </c:pt>
                <c:pt idx="96">
                  <c:v>62.792850000000001</c:v>
                </c:pt>
                <c:pt idx="97">
                  <c:v>62.664707</c:v>
                </c:pt>
                <c:pt idx="98">
                  <c:v>59.367474000000001</c:v>
                </c:pt>
                <c:pt idx="99">
                  <c:v>60.35812</c:v>
                </c:pt>
                <c:pt idx="100">
                  <c:v>59.490692000000003</c:v>
                </c:pt>
                <c:pt idx="101">
                  <c:v>64.680503999999999</c:v>
                </c:pt>
                <c:pt idx="102">
                  <c:v>63.931355000000003</c:v>
                </c:pt>
                <c:pt idx="103">
                  <c:v>65.567656999999997</c:v>
                </c:pt>
                <c:pt idx="104">
                  <c:v>66.040801999999999</c:v>
                </c:pt>
                <c:pt idx="105">
                  <c:v>67.337029000000001</c:v>
                </c:pt>
                <c:pt idx="106">
                  <c:v>70.737755000000007</c:v>
                </c:pt>
                <c:pt idx="107">
                  <c:v>70.092110000000005</c:v>
                </c:pt>
                <c:pt idx="108">
                  <c:v>70.649039999999999</c:v>
                </c:pt>
                <c:pt idx="109">
                  <c:v>69.690421999999998</c:v>
                </c:pt>
                <c:pt idx="110">
                  <c:v>68.243881000000002</c:v>
                </c:pt>
                <c:pt idx="111">
                  <c:v>66.134438000000003</c:v>
                </c:pt>
                <c:pt idx="112">
                  <c:v>68.039351999999994</c:v>
                </c:pt>
                <c:pt idx="113">
                  <c:v>67.775672999999998</c:v>
                </c:pt>
                <c:pt idx="114">
                  <c:v>69.732322999999994</c:v>
                </c:pt>
                <c:pt idx="115">
                  <c:v>69.781609000000003</c:v>
                </c:pt>
                <c:pt idx="116">
                  <c:v>68.650490000000005</c:v>
                </c:pt>
                <c:pt idx="117">
                  <c:v>70.905333999999996</c:v>
                </c:pt>
                <c:pt idx="118">
                  <c:v>72.401154000000005</c:v>
                </c:pt>
                <c:pt idx="119">
                  <c:v>71.235541999999995</c:v>
                </c:pt>
                <c:pt idx="120">
                  <c:v>72.243446000000006</c:v>
                </c:pt>
                <c:pt idx="121">
                  <c:v>73.327736000000002</c:v>
                </c:pt>
                <c:pt idx="122">
                  <c:v>74.084282000000002</c:v>
                </c:pt>
                <c:pt idx="123">
                  <c:v>74.850669999999994</c:v>
                </c:pt>
                <c:pt idx="124">
                  <c:v>77.259674000000004</c:v>
                </c:pt>
                <c:pt idx="125">
                  <c:v>78.475371999999993</c:v>
                </c:pt>
                <c:pt idx="126">
                  <c:v>77.578536999999997</c:v>
                </c:pt>
                <c:pt idx="127">
                  <c:v>76.641852999999998</c:v>
                </c:pt>
                <c:pt idx="128">
                  <c:v>77.112685999999997</c:v>
                </c:pt>
                <c:pt idx="129">
                  <c:v>76.656791999999996</c:v>
                </c:pt>
                <c:pt idx="130">
                  <c:v>78.462913999999998</c:v>
                </c:pt>
                <c:pt idx="131">
                  <c:v>78.009521000000007</c:v>
                </c:pt>
                <c:pt idx="132">
                  <c:v>79.526664999999994</c:v>
                </c:pt>
                <c:pt idx="133">
                  <c:v>78.933753999999993</c:v>
                </c:pt>
                <c:pt idx="134">
                  <c:v>79.441963000000001</c:v>
                </c:pt>
                <c:pt idx="135">
                  <c:v>78.903862000000004</c:v>
                </c:pt>
                <c:pt idx="136">
                  <c:v>79.247642999999997</c:v>
                </c:pt>
                <c:pt idx="137">
                  <c:v>79.282523999999995</c:v>
                </c:pt>
                <c:pt idx="138">
                  <c:v>79.205298999999997</c:v>
                </c:pt>
                <c:pt idx="139">
                  <c:v>80.179359000000005</c:v>
                </c:pt>
                <c:pt idx="140">
                  <c:v>80.550545</c:v>
                </c:pt>
                <c:pt idx="141">
                  <c:v>80.993979999999993</c:v>
                </c:pt>
                <c:pt idx="142">
                  <c:v>80.296447999999998</c:v>
                </c:pt>
                <c:pt idx="143">
                  <c:v>82.583374000000006</c:v>
                </c:pt>
                <c:pt idx="144">
                  <c:v>83.071640000000002</c:v>
                </c:pt>
                <c:pt idx="145">
                  <c:v>85.694878000000003</c:v>
                </c:pt>
                <c:pt idx="146">
                  <c:v>87.899590000000003</c:v>
                </c:pt>
                <c:pt idx="147">
                  <c:v>83.679496999999998</c:v>
                </c:pt>
                <c:pt idx="148">
                  <c:v>84.401947000000007</c:v>
                </c:pt>
                <c:pt idx="149">
                  <c:v>85.445755000000005</c:v>
                </c:pt>
                <c:pt idx="150">
                  <c:v>87.710257999999996</c:v>
                </c:pt>
                <c:pt idx="151">
                  <c:v>87.588195999999996</c:v>
                </c:pt>
                <c:pt idx="152">
                  <c:v>87.623076999999995</c:v>
                </c:pt>
                <c:pt idx="153">
                  <c:v>87.122337000000002</c:v>
                </c:pt>
                <c:pt idx="154">
                  <c:v>89.401786999999999</c:v>
                </c:pt>
                <c:pt idx="155">
                  <c:v>91.310051000000001</c:v>
                </c:pt>
                <c:pt idx="156">
                  <c:v>89.698241999999993</c:v>
                </c:pt>
                <c:pt idx="157">
                  <c:v>90.889037999999999</c:v>
                </c:pt>
                <c:pt idx="158">
                  <c:v>88.096405000000004</c:v>
                </c:pt>
                <c:pt idx="159">
                  <c:v>90.126732000000004</c:v>
                </c:pt>
                <c:pt idx="160">
                  <c:v>90.879065999999995</c:v>
                </c:pt>
                <c:pt idx="161">
                  <c:v>90.707176000000004</c:v>
                </c:pt>
                <c:pt idx="162">
                  <c:v>90.707176000000004</c:v>
                </c:pt>
                <c:pt idx="163">
                  <c:v>93.133613999999994</c:v>
                </c:pt>
                <c:pt idx="164">
                  <c:v>92.844634999999997</c:v>
                </c:pt>
                <c:pt idx="165">
                  <c:v>95.006996000000001</c:v>
                </c:pt>
                <c:pt idx="166">
                  <c:v>95.415558000000004</c:v>
                </c:pt>
                <c:pt idx="167">
                  <c:v>95.582465999999997</c:v>
                </c:pt>
                <c:pt idx="168">
                  <c:v>95.141525000000001</c:v>
                </c:pt>
                <c:pt idx="169">
                  <c:v>96.715964999999997</c:v>
                </c:pt>
                <c:pt idx="170">
                  <c:v>97.381111000000004</c:v>
                </c:pt>
                <c:pt idx="171">
                  <c:v>96.182845999999998</c:v>
                </c:pt>
                <c:pt idx="172">
                  <c:v>95.988533000000004</c:v>
                </c:pt>
                <c:pt idx="173">
                  <c:v>98.011391000000003</c:v>
                </c:pt>
                <c:pt idx="174">
                  <c:v>96.658660999999995</c:v>
                </c:pt>
                <c:pt idx="175">
                  <c:v>96.930199000000002</c:v>
                </c:pt>
                <c:pt idx="176">
                  <c:v>92.518287999999998</c:v>
                </c:pt>
                <c:pt idx="177">
                  <c:v>92.289092999999994</c:v>
                </c:pt>
                <c:pt idx="178">
                  <c:v>94.476364000000004</c:v>
                </c:pt>
                <c:pt idx="179">
                  <c:v>92.924355000000006</c:v>
                </c:pt>
                <c:pt idx="180">
                  <c:v>94.705558999999994</c:v>
                </c:pt>
                <c:pt idx="181">
                  <c:v>95.851517000000001</c:v>
                </c:pt>
                <c:pt idx="182">
                  <c:v>105.88608600000001</c:v>
                </c:pt>
                <c:pt idx="183">
                  <c:v>108.554153</c:v>
                </c:pt>
                <c:pt idx="184">
                  <c:v>109.279099</c:v>
                </c:pt>
                <c:pt idx="185">
                  <c:v>109.675194</c:v>
                </c:pt>
                <c:pt idx="186">
                  <c:v>113.501678</c:v>
                </c:pt>
                <c:pt idx="187">
                  <c:v>110.92113500000001</c:v>
                </c:pt>
                <c:pt idx="188">
                  <c:v>112.533356</c:v>
                </c:pt>
                <c:pt idx="189">
                  <c:v>109.186623</c:v>
                </c:pt>
                <c:pt idx="190">
                  <c:v>112.815369</c:v>
                </c:pt>
                <c:pt idx="191">
                  <c:v>114.81192</c:v>
                </c:pt>
                <c:pt idx="192">
                  <c:v>114.709602</c:v>
                </c:pt>
                <c:pt idx="193">
                  <c:v>114.41011</c:v>
                </c:pt>
                <c:pt idx="194">
                  <c:v>115.363472</c:v>
                </c:pt>
                <c:pt idx="195">
                  <c:v>115.508217</c:v>
                </c:pt>
                <c:pt idx="196">
                  <c:v>118.071297</c:v>
                </c:pt>
                <c:pt idx="197">
                  <c:v>124.1558</c:v>
                </c:pt>
                <c:pt idx="198">
                  <c:v>125.640739</c:v>
                </c:pt>
                <c:pt idx="199">
                  <c:v>124.610016</c:v>
                </c:pt>
                <c:pt idx="200">
                  <c:v>126.304596</c:v>
                </c:pt>
                <c:pt idx="201">
                  <c:v>124.794701</c:v>
                </c:pt>
                <c:pt idx="202">
                  <c:v>124.592552</c:v>
                </c:pt>
                <c:pt idx="203">
                  <c:v>128.81774899999999</c:v>
                </c:pt>
                <c:pt idx="204">
                  <c:v>133.94889800000001</c:v>
                </c:pt>
                <c:pt idx="205">
                  <c:v>131.17369099999999</c:v>
                </c:pt>
                <c:pt idx="206">
                  <c:v>120.671806</c:v>
                </c:pt>
                <c:pt idx="207">
                  <c:v>120.751671</c:v>
                </c:pt>
                <c:pt idx="208">
                  <c:v>112.625694</c:v>
                </c:pt>
                <c:pt idx="209">
                  <c:v>117.117943</c:v>
                </c:pt>
                <c:pt idx="210">
                  <c:v>113.29454</c:v>
                </c:pt>
                <c:pt idx="211">
                  <c:v>111.807106</c:v>
                </c:pt>
                <c:pt idx="212">
                  <c:v>115.161316</c:v>
                </c:pt>
                <c:pt idx="213">
                  <c:v>115.34101099999999</c:v>
                </c:pt>
                <c:pt idx="214">
                  <c:v>111.936882</c:v>
                </c:pt>
                <c:pt idx="215">
                  <c:v>110.149963</c:v>
                </c:pt>
                <c:pt idx="216">
                  <c:v>106.655991</c:v>
                </c:pt>
                <c:pt idx="217">
                  <c:v>109.890411</c:v>
                </c:pt>
                <c:pt idx="218">
                  <c:v>111.61743199999999</c:v>
                </c:pt>
                <c:pt idx="219">
                  <c:v>106.935509</c:v>
                </c:pt>
                <c:pt idx="220">
                  <c:v>108.033615</c:v>
                </c:pt>
                <c:pt idx="221">
                  <c:v>112.086624</c:v>
                </c:pt>
                <c:pt idx="222">
                  <c:v>114.76200900000001</c:v>
                </c:pt>
                <c:pt idx="223">
                  <c:v>113.893501</c:v>
                </c:pt>
                <c:pt idx="224">
                  <c:v>115.610542</c:v>
                </c:pt>
                <c:pt idx="225">
                  <c:v>116.58886</c:v>
                </c:pt>
                <c:pt idx="226">
                  <c:v>112.82534800000001</c:v>
                </c:pt>
                <c:pt idx="227">
                  <c:v>116.29935500000001</c:v>
                </c:pt>
                <c:pt idx="228">
                  <c:v>112.96511099999999</c:v>
                </c:pt>
                <c:pt idx="229">
                  <c:v>114.881805</c:v>
                </c:pt>
                <c:pt idx="230">
                  <c:v>114.77198799999999</c:v>
                </c:pt>
                <c:pt idx="231">
                  <c:v>116.768547</c:v>
                </c:pt>
                <c:pt idx="232">
                  <c:v>124.18575300000001</c:v>
                </c:pt>
                <c:pt idx="233">
                  <c:v>120.891434</c:v>
                </c:pt>
                <c:pt idx="234">
                  <c:v>120.98127700000001</c:v>
                </c:pt>
                <c:pt idx="235">
                  <c:v>120.502106</c:v>
                </c:pt>
                <c:pt idx="236">
                  <c:v>118.81501</c:v>
                </c:pt>
                <c:pt idx="237">
                  <c:v>115.78025100000001</c:v>
                </c:pt>
                <c:pt idx="238">
                  <c:v>117.30761699999999</c:v>
                </c:pt>
                <c:pt idx="239">
                  <c:v>116.668724</c:v>
                </c:pt>
                <c:pt idx="240">
                  <c:v>115.55064400000001</c:v>
                </c:pt>
                <c:pt idx="241">
                  <c:v>114.84187300000001</c:v>
                </c:pt>
                <c:pt idx="242">
                  <c:v>114.85185199999999</c:v>
                </c:pt>
                <c:pt idx="243">
                  <c:v>116.39917800000001</c:v>
                </c:pt>
                <c:pt idx="244">
                  <c:v>111.008476</c:v>
                </c:pt>
                <c:pt idx="245">
                  <c:v>115.12138400000001</c:v>
                </c:pt>
                <c:pt idx="246">
                  <c:v>108.672516</c:v>
                </c:pt>
                <c:pt idx="247">
                  <c:v>108.58266399999999</c:v>
                </c:pt>
                <c:pt idx="248">
                  <c:v>110.24979399999999</c:v>
                </c:pt>
                <c:pt idx="249">
                  <c:v>114.752022</c:v>
                </c:pt>
                <c:pt idx="250">
                  <c:v>118.824997</c:v>
                </c:pt>
                <c:pt idx="251">
                  <c:v>118.69000200000001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78-4A78-B54B-5D16D23F6C95}"/>
            </c:ext>
          </c:extLst>
        </c:ser>
        <c:ser>
          <c:idx val="2"/>
          <c:order val="2"/>
          <c:tx>
            <c:strRef>
              <c:f>'6050_Module3Project_Data'!$D$1</c:f>
              <c:strCache>
                <c:ptCount val="1"/>
                <c:pt idx="0">
                  <c:v>AAPL (Apple Inc) / Volume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'6050_Module3Project_Data'!$A$2:$A$253</c:f>
              <c:numCache>
                <c:formatCode>m/d/yyyy</c:formatCode>
                <c:ptCount val="252"/>
                <c:pt idx="0">
                  <c:v>43777</c:v>
                </c:pt>
                <c:pt idx="1">
                  <c:v>43780</c:v>
                </c:pt>
                <c:pt idx="2">
                  <c:v>43781</c:v>
                </c:pt>
                <c:pt idx="3">
                  <c:v>43782</c:v>
                </c:pt>
                <c:pt idx="4">
                  <c:v>43783</c:v>
                </c:pt>
                <c:pt idx="5">
                  <c:v>43784</c:v>
                </c:pt>
                <c:pt idx="6">
                  <c:v>43787</c:v>
                </c:pt>
                <c:pt idx="7">
                  <c:v>43788</c:v>
                </c:pt>
                <c:pt idx="8">
                  <c:v>43789</c:v>
                </c:pt>
                <c:pt idx="9">
                  <c:v>43790</c:v>
                </c:pt>
                <c:pt idx="10">
                  <c:v>43791</c:v>
                </c:pt>
                <c:pt idx="11">
                  <c:v>43794</c:v>
                </c:pt>
                <c:pt idx="12">
                  <c:v>43795</c:v>
                </c:pt>
                <c:pt idx="13">
                  <c:v>43796</c:v>
                </c:pt>
                <c:pt idx="14">
                  <c:v>43798</c:v>
                </c:pt>
                <c:pt idx="15">
                  <c:v>43801</c:v>
                </c:pt>
                <c:pt idx="16">
                  <c:v>43802</c:v>
                </c:pt>
                <c:pt idx="17">
                  <c:v>43803</c:v>
                </c:pt>
                <c:pt idx="18">
                  <c:v>43804</c:v>
                </c:pt>
                <c:pt idx="19">
                  <c:v>43805</c:v>
                </c:pt>
                <c:pt idx="20">
                  <c:v>43808</c:v>
                </c:pt>
                <c:pt idx="21">
                  <c:v>43809</c:v>
                </c:pt>
                <c:pt idx="22">
                  <c:v>43810</c:v>
                </c:pt>
                <c:pt idx="23">
                  <c:v>43811</c:v>
                </c:pt>
                <c:pt idx="24">
                  <c:v>43812</c:v>
                </c:pt>
                <c:pt idx="25">
                  <c:v>43815</c:v>
                </c:pt>
                <c:pt idx="26">
                  <c:v>43816</c:v>
                </c:pt>
                <c:pt idx="27">
                  <c:v>43817</c:v>
                </c:pt>
                <c:pt idx="28">
                  <c:v>43818</c:v>
                </c:pt>
                <c:pt idx="29">
                  <c:v>43819</c:v>
                </c:pt>
                <c:pt idx="30">
                  <c:v>43822</c:v>
                </c:pt>
                <c:pt idx="31">
                  <c:v>43823</c:v>
                </c:pt>
                <c:pt idx="32">
                  <c:v>43825</c:v>
                </c:pt>
                <c:pt idx="33">
                  <c:v>43826</c:v>
                </c:pt>
                <c:pt idx="34">
                  <c:v>43829</c:v>
                </c:pt>
                <c:pt idx="35">
                  <c:v>43830</c:v>
                </c:pt>
                <c:pt idx="36">
                  <c:v>43832</c:v>
                </c:pt>
                <c:pt idx="37">
                  <c:v>43833</c:v>
                </c:pt>
                <c:pt idx="38">
                  <c:v>43836</c:v>
                </c:pt>
                <c:pt idx="39">
                  <c:v>43837</c:v>
                </c:pt>
                <c:pt idx="40">
                  <c:v>43838</c:v>
                </c:pt>
                <c:pt idx="41">
                  <c:v>43839</c:v>
                </c:pt>
                <c:pt idx="42">
                  <c:v>43840</c:v>
                </c:pt>
                <c:pt idx="43">
                  <c:v>43843</c:v>
                </c:pt>
                <c:pt idx="44">
                  <c:v>43844</c:v>
                </c:pt>
                <c:pt idx="45">
                  <c:v>43845</c:v>
                </c:pt>
                <c:pt idx="46">
                  <c:v>43846</c:v>
                </c:pt>
                <c:pt idx="47">
                  <c:v>43847</c:v>
                </c:pt>
                <c:pt idx="48">
                  <c:v>43851</c:v>
                </c:pt>
                <c:pt idx="49">
                  <c:v>43852</c:v>
                </c:pt>
                <c:pt idx="50">
                  <c:v>43853</c:v>
                </c:pt>
                <c:pt idx="51">
                  <c:v>43854</c:v>
                </c:pt>
                <c:pt idx="52">
                  <c:v>43857</c:v>
                </c:pt>
                <c:pt idx="53">
                  <c:v>43858</c:v>
                </c:pt>
                <c:pt idx="54">
                  <c:v>43859</c:v>
                </c:pt>
                <c:pt idx="55">
                  <c:v>43860</c:v>
                </c:pt>
                <c:pt idx="56">
                  <c:v>43861</c:v>
                </c:pt>
                <c:pt idx="57">
                  <c:v>43864</c:v>
                </c:pt>
                <c:pt idx="58">
                  <c:v>43865</c:v>
                </c:pt>
                <c:pt idx="59">
                  <c:v>43866</c:v>
                </c:pt>
                <c:pt idx="60">
                  <c:v>43867</c:v>
                </c:pt>
                <c:pt idx="61">
                  <c:v>43868</c:v>
                </c:pt>
                <c:pt idx="62">
                  <c:v>43871</c:v>
                </c:pt>
                <c:pt idx="63">
                  <c:v>43872</c:v>
                </c:pt>
                <c:pt idx="64">
                  <c:v>43873</c:v>
                </c:pt>
                <c:pt idx="65">
                  <c:v>43874</c:v>
                </c:pt>
                <c:pt idx="66">
                  <c:v>43875</c:v>
                </c:pt>
                <c:pt idx="67">
                  <c:v>43879</c:v>
                </c:pt>
                <c:pt idx="68">
                  <c:v>43880</c:v>
                </c:pt>
                <c:pt idx="69">
                  <c:v>43881</c:v>
                </c:pt>
                <c:pt idx="70">
                  <c:v>43882</c:v>
                </c:pt>
                <c:pt idx="71">
                  <c:v>43885</c:v>
                </c:pt>
                <c:pt idx="72">
                  <c:v>43886</c:v>
                </c:pt>
                <c:pt idx="73">
                  <c:v>43887</c:v>
                </c:pt>
                <c:pt idx="74">
                  <c:v>43888</c:v>
                </c:pt>
                <c:pt idx="75">
                  <c:v>43889</c:v>
                </c:pt>
                <c:pt idx="76">
                  <c:v>43892</c:v>
                </c:pt>
                <c:pt idx="77">
                  <c:v>43893</c:v>
                </c:pt>
                <c:pt idx="78">
                  <c:v>43894</c:v>
                </c:pt>
                <c:pt idx="79">
                  <c:v>43895</c:v>
                </c:pt>
                <c:pt idx="80">
                  <c:v>43896</c:v>
                </c:pt>
                <c:pt idx="81">
                  <c:v>43899</c:v>
                </c:pt>
                <c:pt idx="82">
                  <c:v>43900</c:v>
                </c:pt>
                <c:pt idx="83">
                  <c:v>43901</c:v>
                </c:pt>
                <c:pt idx="84">
                  <c:v>43902</c:v>
                </c:pt>
                <c:pt idx="85">
                  <c:v>43903</c:v>
                </c:pt>
                <c:pt idx="86">
                  <c:v>43906</c:v>
                </c:pt>
                <c:pt idx="87">
                  <c:v>43907</c:v>
                </c:pt>
                <c:pt idx="88">
                  <c:v>43908</c:v>
                </c:pt>
                <c:pt idx="89">
                  <c:v>43909</c:v>
                </c:pt>
                <c:pt idx="90">
                  <c:v>43910</c:v>
                </c:pt>
                <c:pt idx="91">
                  <c:v>43913</c:v>
                </c:pt>
                <c:pt idx="92">
                  <c:v>43914</c:v>
                </c:pt>
                <c:pt idx="93">
                  <c:v>43915</c:v>
                </c:pt>
                <c:pt idx="94">
                  <c:v>43916</c:v>
                </c:pt>
                <c:pt idx="95">
                  <c:v>43917</c:v>
                </c:pt>
                <c:pt idx="96">
                  <c:v>43920</c:v>
                </c:pt>
                <c:pt idx="97">
                  <c:v>43921</c:v>
                </c:pt>
                <c:pt idx="98">
                  <c:v>43922</c:v>
                </c:pt>
                <c:pt idx="99">
                  <c:v>43923</c:v>
                </c:pt>
                <c:pt idx="100">
                  <c:v>43924</c:v>
                </c:pt>
                <c:pt idx="101">
                  <c:v>43927</c:v>
                </c:pt>
                <c:pt idx="102">
                  <c:v>43928</c:v>
                </c:pt>
                <c:pt idx="103">
                  <c:v>43929</c:v>
                </c:pt>
                <c:pt idx="104">
                  <c:v>43930</c:v>
                </c:pt>
                <c:pt idx="105">
                  <c:v>43934</c:v>
                </c:pt>
                <c:pt idx="106">
                  <c:v>43935</c:v>
                </c:pt>
                <c:pt idx="107">
                  <c:v>43936</c:v>
                </c:pt>
                <c:pt idx="108">
                  <c:v>43937</c:v>
                </c:pt>
                <c:pt idx="109">
                  <c:v>43938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43948</c:v>
                </c:pt>
                <c:pt idx="116">
                  <c:v>43949</c:v>
                </c:pt>
                <c:pt idx="117">
                  <c:v>43950</c:v>
                </c:pt>
                <c:pt idx="118">
                  <c:v>43951</c:v>
                </c:pt>
                <c:pt idx="119">
                  <c:v>43952</c:v>
                </c:pt>
                <c:pt idx="120">
                  <c:v>43955</c:v>
                </c:pt>
                <c:pt idx="121">
                  <c:v>43956</c:v>
                </c:pt>
                <c:pt idx="122">
                  <c:v>43957</c:v>
                </c:pt>
                <c:pt idx="123">
                  <c:v>43958</c:v>
                </c:pt>
                <c:pt idx="124">
                  <c:v>43959</c:v>
                </c:pt>
                <c:pt idx="125">
                  <c:v>43962</c:v>
                </c:pt>
                <c:pt idx="126">
                  <c:v>43963</c:v>
                </c:pt>
                <c:pt idx="127">
                  <c:v>43964</c:v>
                </c:pt>
                <c:pt idx="128">
                  <c:v>43965</c:v>
                </c:pt>
                <c:pt idx="129">
                  <c:v>43966</c:v>
                </c:pt>
                <c:pt idx="130">
                  <c:v>43969</c:v>
                </c:pt>
                <c:pt idx="131">
                  <c:v>43970</c:v>
                </c:pt>
                <c:pt idx="132">
                  <c:v>43971</c:v>
                </c:pt>
                <c:pt idx="133">
                  <c:v>43972</c:v>
                </c:pt>
                <c:pt idx="134">
                  <c:v>43973</c:v>
                </c:pt>
                <c:pt idx="135">
                  <c:v>43977</c:v>
                </c:pt>
                <c:pt idx="136">
                  <c:v>43978</c:v>
                </c:pt>
                <c:pt idx="137">
                  <c:v>43979</c:v>
                </c:pt>
                <c:pt idx="138">
                  <c:v>43980</c:v>
                </c:pt>
                <c:pt idx="139">
                  <c:v>43983</c:v>
                </c:pt>
                <c:pt idx="140">
                  <c:v>43984</c:v>
                </c:pt>
                <c:pt idx="141">
                  <c:v>43985</c:v>
                </c:pt>
                <c:pt idx="142">
                  <c:v>43986</c:v>
                </c:pt>
                <c:pt idx="143">
                  <c:v>43987</c:v>
                </c:pt>
                <c:pt idx="144">
                  <c:v>43990</c:v>
                </c:pt>
                <c:pt idx="145">
                  <c:v>43991</c:v>
                </c:pt>
                <c:pt idx="146">
                  <c:v>43992</c:v>
                </c:pt>
                <c:pt idx="147">
                  <c:v>43993</c:v>
                </c:pt>
                <c:pt idx="148">
                  <c:v>43994</c:v>
                </c:pt>
                <c:pt idx="149">
                  <c:v>43997</c:v>
                </c:pt>
                <c:pt idx="150">
                  <c:v>43998</c:v>
                </c:pt>
                <c:pt idx="151">
                  <c:v>43999</c:v>
                </c:pt>
                <c:pt idx="152">
                  <c:v>44000</c:v>
                </c:pt>
                <c:pt idx="153">
                  <c:v>44001</c:v>
                </c:pt>
                <c:pt idx="154">
                  <c:v>44004</c:v>
                </c:pt>
                <c:pt idx="155">
                  <c:v>44005</c:v>
                </c:pt>
                <c:pt idx="156">
                  <c:v>44006</c:v>
                </c:pt>
                <c:pt idx="157">
                  <c:v>44007</c:v>
                </c:pt>
                <c:pt idx="158">
                  <c:v>44008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44018</c:v>
                </c:pt>
                <c:pt idx="164">
                  <c:v>44019</c:v>
                </c:pt>
                <c:pt idx="165">
                  <c:v>44020</c:v>
                </c:pt>
                <c:pt idx="166">
                  <c:v>44021</c:v>
                </c:pt>
                <c:pt idx="167">
                  <c:v>44022</c:v>
                </c:pt>
                <c:pt idx="168">
                  <c:v>44025</c:v>
                </c:pt>
                <c:pt idx="169">
                  <c:v>44026</c:v>
                </c:pt>
                <c:pt idx="170">
                  <c:v>44027</c:v>
                </c:pt>
                <c:pt idx="171">
                  <c:v>44028</c:v>
                </c:pt>
                <c:pt idx="172">
                  <c:v>44029</c:v>
                </c:pt>
                <c:pt idx="173">
                  <c:v>44032</c:v>
                </c:pt>
                <c:pt idx="174">
                  <c:v>44033</c:v>
                </c:pt>
                <c:pt idx="175">
                  <c:v>44034</c:v>
                </c:pt>
                <c:pt idx="176">
                  <c:v>44035</c:v>
                </c:pt>
                <c:pt idx="177">
                  <c:v>44036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44046</c:v>
                </c:pt>
                <c:pt idx="184">
                  <c:v>44047</c:v>
                </c:pt>
                <c:pt idx="185">
                  <c:v>44048</c:v>
                </c:pt>
                <c:pt idx="186">
                  <c:v>44049</c:v>
                </c:pt>
                <c:pt idx="187">
                  <c:v>44050</c:v>
                </c:pt>
                <c:pt idx="188">
                  <c:v>44053</c:v>
                </c:pt>
                <c:pt idx="189">
                  <c:v>44054</c:v>
                </c:pt>
                <c:pt idx="190">
                  <c:v>44055</c:v>
                </c:pt>
                <c:pt idx="191">
                  <c:v>44056</c:v>
                </c:pt>
                <c:pt idx="192">
                  <c:v>44057</c:v>
                </c:pt>
                <c:pt idx="193">
                  <c:v>44060</c:v>
                </c:pt>
                <c:pt idx="194">
                  <c:v>44061</c:v>
                </c:pt>
                <c:pt idx="195">
                  <c:v>44062</c:v>
                </c:pt>
                <c:pt idx="196">
                  <c:v>44063</c:v>
                </c:pt>
                <c:pt idx="197">
                  <c:v>44064</c:v>
                </c:pt>
                <c:pt idx="198">
                  <c:v>44067</c:v>
                </c:pt>
                <c:pt idx="199">
                  <c:v>44068</c:v>
                </c:pt>
                <c:pt idx="200">
                  <c:v>44069</c:v>
                </c:pt>
                <c:pt idx="201">
                  <c:v>44070</c:v>
                </c:pt>
                <c:pt idx="202">
                  <c:v>44071</c:v>
                </c:pt>
                <c:pt idx="203">
                  <c:v>44074</c:v>
                </c:pt>
                <c:pt idx="204">
                  <c:v>44075</c:v>
                </c:pt>
                <c:pt idx="205">
                  <c:v>44076</c:v>
                </c:pt>
                <c:pt idx="206">
                  <c:v>44077</c:v>
                </c:pt>
                <c:pt idx="207">
                  <c:v>44078</c:v>
                </c:pt>
                <c:pt idx="208">
                  <c:v>44082</c:v>
                </c:pt>
                <c:pt idx="209">
                  <c:v>44083</c:v>
                </c:pt>
                <c:pt idx="210">
                  <c:v>44084</c:v>
                </c:pt>
                <c:pt idx="211">
                  <c:v>44085</c:v>
                </c:pt>
                <c:pt idx="212">
                  <c:v>44088</c:v>
                </c:pt>
                <c:pt idx="213">
                  <c:v>44089</c:v>
                </c:pt>
                <c:pt idx="214">
                  <c:v>44090</c:v>
                </c:pt>
                <c:pt idx="215">
                  <c:v>44091</c:v>
                </c:pt>
                <c:pt idx="216">
                  <c:v>44092</c:v>
                </c:pt>
                <c:pt idx="217">
                  <c:v>44095</c:v>
                </c:pt>
                <c:pt idx="218">
                  <c:v>44096</c:v>
                </c:pt>
                <c:pt idx="219">
                  <c:v>44097</c:v>
                </c:pt>
                <c:pt idx="220">
                  <c:v>44098</c:v>
                </c:pt>
                <c:pt idx="221">
                  <c:v>44099</c:v>
                </c:pt>
                <c:pt idx="222">
                  <c:v>44102</c:v>
                </c:pt>
                <c:pt idx="223">
                  <c:v>44103</c:v>
                </c:pt>
                <c:pt idx="224">
                  <c:v>44104</c:v>
                </c:pt>
                <c:pt idx="225">
                  <c:v>44105</c:v>
                </c:pt>
                <c:pt idx="226">
                  <c:v>44106</c:v>
                </c:pt>
                <c:pt idx="227">
                  <c:v>44109</c:v>
                </c:pt>
                <c:pt idx="228">
                  <c:v>44110</c:v>
                </c:pt>
                <c:pt idx="229">
                  <c:v>44111</c:v>
                </c:pt>
                <c:pt idx="230">
                  <c:v>44112</c:v>
                </c:pt>
                <c:pt idx="231">
                  <c:v>44113</c:v>
                </c:pt>
                <c:pt idx="232">
                  <c:v>44116</c:v>
                </c:pt>
                <c:pt idx="233">
                  <c:v>44117</c:v>
                </c:pt>
                <c:pt idx="234">
                  <c:v>44118</c:v>
                </c:pt>
                <c:pt idx="235">
                  <c:v>44119</c:v>
                </c:pt>
                <c:pt idx="236">
                  <c:v>44120</c:v>
                </c:pt>
                <c:pt idx="237">
                  <c:v>44123</c:v>
                </c:pt>
                <c:pt idx="238">
                  <c:v>44124</c:v>
                </c:pt>
                <c:pt idx="239">
                  <c:v>44125</c:v>
                </c:pt>
                <c:pt idx="240">
                  <c:v>44126</c:v>
                </c:pt>
                <c:pt idx="241">
                  <c:v>44127</c:v>
                </c:pt>
                <c:pt idx="242">
                  <c:v>44130</c:v>
                </c:pt>
                <c:pt idx="243">
                  <c:v>44131</c:v>
                </c:pt>
                <c:pt idx="244">
                  <c:v>44132</c:v>
                </c:pt>
                <c:pt idx="245">
                  <c:v>44133</c:v>
                </c:pt>
                <c:pt idx="246">
                  <c:v>44134</c:v>
                </c:pt>
                <c:pt idx="247">
                  <c:v>44137</c:v>
                </c:pt>
                <c:pt idx="248">
                  <c:v>44138</c:v>
                </c:pt>
                <c:pt idx="249">
                  <c:v>44139</c:v>
                </c:pt>
                <c:pt idx="250">
                  <c:v>44140</c:v>
                </c:pt>
                <c:pt idx="251">
                  <c:v>44141</c:v>
                </c:pt>
              </c:numCache>
            </c:numRef>
          </c:cat>
          <c:val>
            <c:numRef>
              <c:f>'6050_Module3Project_Data'!$D$2:$D$253</c:f>
              <c:numCache>
                <c:formatCode>General</c:formatCode>
                <c:ptCount val="252"/>
                <c:pt idx="0">
                  <c:v>69986400</c:v>
                </c:pt>
                <c:pt idx="1">
                  <c:v>81821200</c:v>
                </c:pt>
                <c:pt idx="2">
                  <c:v>87388800</c:v>
                </c:pt>
                <c:pt idx="3">
                  <c:v>102734400</c:v>
                </c:pt>
                <c:pt idx="4">
                  <c:v>89182800</c:v>
                </c:pt>
                <c:pt idx="5">
                  <c:v>100206400</c:v>
                </c:pt>
                <c:pt idx="6">
                  <c:v>86703200</c:v>
                </c:pt>
                <c:pt idx="7">
                  <c:v>76167200</c:v>
                </c:pt>
                <c:pt idx="8">
                  <c:v>106234400</c:v>
                </c:pt>
                <c:pt idx="9">
                  <c:v>121395200</c:v>
                </c:pt>
                <c:pt idx="10">
                  <c:v>65325200</c:v>
                </c:pt>
                <c:pt idx="11">
                  <c:v>84020400</c:v>
                </c:pt>
                <c:pt idx="12">
                  <c:v>105207600</c:v>
                </c:pt>
                <c:pt idx="13">
                  <c:v>65235600</c:v>
                </c:pt>
                <c:pt idx="14">
                  <c:v>46617600</c:v>
                </c:pt>
                <c:pt idx="15">
                  <c:v>94487200</c:v>
                </c:pt>
                <c:pt idx="16">
                  <c:v>114430400</c:v>
                </c:pt>
                <c:pt idx="17">
                  <c:v>67181600</c:v>
                </c:pt>
                <c:pt idx="18">
                  <c:v>74424400</c:v>
                </c:pt>
                <c:pt idx="19">
                  <c:v>106075600</c:v>
                </c:pt>
                <c:pt idx="20">
                  <c:v>128042400</c:v>
                </c:pt>
                <c:pt idx="21">
                  <c:v>90420400</c:v>
                </c:pt>
                <c:pt idx="22">
                  <c:v>78756800</c:v>
                </c:pt>
                <c:pt idx="23">
                  <c:v>137310400</c:v>
                </c:pt>
                <c:pt idx="24">
                  <c:v>133587600</c:v>
                </c:pt>
                <c:pt idx="25">
                  <c:v>128186000</c:v>
                </c:pt>
                <c:pt idx="26">
                  <c:v>114158400</c:v>
                </c:pt>
                <c:pt idx="27">
                  <c:v>116028400</c:v>
                </c:pt>
                <c:pt idx="28">
                  <c:v>98369200</c:v>
                </c:pt>
                <c:pt idx="29">
                  <c:v>275978000</c:v>
                </c:pt>
                <c:pt idx="30">
                  <c:v>98572000</c:v>
                </c:pt>
                <c:pt idx="31">
                  <c:v>48478800</c:v>
                </c:pt>
                <c:pt idx="32">
                  <c:v>93121200</c:v>
                </c:pt>
                <c:pt idx="33">
                  <c:v>146266000</c:v>
                </c:pt>
                <c:pt idx="34">
                  <c:v>144114400</c:v>
                </c:pt>
                <c:pt idx="35">
                  <c:v>100805600</c:v>
                </c:pt>
                <c:pt idx="36">
                  <c:v>135480400</c:v>
                </c:pt>
                <c:pt idx="37">
                  <c:v>146322800</c:v>
                </c:pt>
                <c:pt idx="38">
                  <c:v>118387200</c:v>
                </c:pt>
                <c:pt idx="39">
                  <c:v>108872000</c:v>
                </c:pt>
                <c:pt idx="40">
                  <c:v>132079200</c:v>
                </c:pt>
                <c:pt idx="41">
                  <c:v>170108400</c:v>
                </c:pt>
                <c:pt idx="42">
                  <c:v>140644800</c:v>
                </c:pt>
                <c:pt idx="43">
                  <c:v>121532000</c:v>
                </c:pt>
                <c:pt idx="44">
                  <c:v>161954400</c:v>
                </c:pt>
                <c:pt idx="45">
                  <c:v>121923600</c:v>
                </c:pt>
                <c:pt idx="46">
                  <c:v>108829200</c:v>
                </c:pt>
                <c:pt idx="47">
                  <c:v>137816400</c:v>
                </c:pt>
                <c:pt idx="48">
                  <c:v>110843200</c:v>
                </c:pt>
                <c:pt idx="49">
                  <c:v>101832400</c:v>
                </c:pt>
                <c:pt idx="50">
                  <c:v>104472000</c:v>
                </c:pt>
                <c:pt idx="51">
                  <c:v>146537600</c:v>
                </c:pt>
                <c:pt idx="52">
                  <c:v>161940000</c:v>
                </c:pt>
                <c:pt idx="53">
                  <c:v>162234000</c:v>
                </c:pt>
                <c:pt idx="54">
                  <c:v>216229200</c:v>
                </c:pt>
                <c:pt idx="55">
                  <c:v>126743200</c:v>
                </c:pt>
                <c:pt idx="56">
                  <c:v>199588400</c:v>
                </c:pt>
                <c:pt idx="57">
                  <c:v>173985600</c:v>
                </c:pt>
                <c:pt idx="58">
                  <c:v>136616400</c:v>
                </c:pt>
                <c:pt idx="59">
                  <c:v>118826800</c:v>
                </c:pt>
                <c:pt idx="60">
                  <c:v>105425600</c:v>
                </c:pt>
                <c:pt idx="61">
                  <c:v>117684000</c:v>
                </c:pt>
                <c:pt idx="62">
                  <c:v>109348800</c:v>
                </c:pt>
                <c:pt idx="63">
                  <c:v>94323200</c:v>
                </c:pt>
                <c:pt idx="64">
                  <c:v>113730400</c:v>
                </c:pt>
                <c:pt idx="65">
                  <c:v>94747600</c:v>
                </c:pt>
                <c:pt idx="66">
                  <c:v>80113600</c:v>
                </c:pt>
                <c:pt idx="67">
                  <c:v>152531200</c:v>
                </c:pt>
                <c:pt idx="68">
                  <c:v>93984000</c:v>
                </c:pt>
                <c:pt idx="69">
                  <c:v>100566000</c:v>
                </c:pt>
                <c:pt idx="70">
                  <c:v>129554000</c:v>
                </c:pt>
                <c:pt idx="71">
                  <c:v>222195200</c:v>
                </c:pt>
                <c:pt idx="72">
                  <c:v>230673600</c:v>
                </c:pt>
                <c:pt idx="73">
                  <c:v>198054800</c:v>
                </c:pt>
                <c:pt idx="74">
                  <c:v>320605600</c:v>
                </c:pt>
                <c:pt idx="75">
                  <c:v>426884800</c:v>
                </c:pt>
                <c:pt idx="76">
                  <c:v>341397200</c:v>
                </c:pt>
                <c:pt idx="77">
                  <c:v>319475600</c:v>
                </c:pt>
                <c:pt idx="78">
                  <c:v>219178400</c:v>
                </c:pt>
                <c:pt idx="79">
                  <c:v>187572800</c:v>
                </c:pt>
                <c:pt idx="80">
                  <c:v>226176800</c:v>
                </c:pt>
                <c:pt idx="81">
                  <c:v>286744800</c:v>
                </c:pt>
                <c:pt idx="82">
                  <c:v>285290000</c:v>
                </c:pt>
                <c:pt idx="83">
                  <c:v>255598800</c:v>
                </c:pt>
                <c:pt idx="84">
                  <c:v>418474000</c:v>
                </c:pt>
                <c:pt idx="85">
                  <c:v>370732000</c:v>
                </c:pt>
                <c:pt idx="86">
                  <c:v>322423600</c:v>
                </c:pt>
                <c:pt idx="87">
                  <c:v>324056000</c:v>
                </c:pt>
                <c:pt idx="88">
                  <c:v>300233600</c:v>
                </c:pt>
                <c:pt idx="89">
                  <c:v>271857200</c:v>
                </c:pt>
                <c:pt idx="90">
                  <c:v>401693200</c:v>
                </c:pt>
                <c:pt idx="91">
                  <c:v>336752800</c:v>
                </c:pt>
                <c:pt idx="92">
                  <c:v>287531200</c:v>
                </c:pt>
                <c:pt idx="93">
                  <c:v>303602000</c:v>
                </c:pt>
                <c:pt idx="94">
                  <c:v>252087200</c:v>
                </c:pt>
                <c:pt idx="95">
                  <c:v>204216800</c:v>
                </c:pt>
                <c:pt idx="96">
                  <c:v>167976400</c:v>
                </c:pt>
                <c:pt idx="97">
                  <c:v>197002000</c:v>
                </c:pt>
                <c:pt idx="98">
                  <c:v>176218400</c:v>
                </c:pt>
                <c:pt idx="99">
                  <c:v>165934000</c:v>
                </c:pt>
                <c:pt idx="100">
                  <c:v>129880000</c:v>
                </c:pt>
                <c:pt idx="101">
                  <c:v>201820400</c:v>
                </c:pt>
                <c:pt idx="102">
                  <c:v>202887200</c:v>
                </c:pt>
                <c:pt idx="103">
                  <c:v>168895200</c:v>
                </c:pt>
                <c:pt idx="104">
                  <c:v>162116400</c:v>
                </c:pt>
                <c:pt idx="105">
                  <c:v>131022800</c:v>
                </c:pt>
                <c:pt idx="106">
                  <c:v>194994800</c:v>
                </c:pt>
                <c:pt idx="107">
                  <c:v>131154400</c:v>
                </c:pt>
                <c:pt idx="108">
                  <c:v>157125200</c:v>
                </c:pt>
                <c:pt idx="109">
                  <c:v>215250000</c:v>
                </c:pt>
                <c:pt idx="110">
                  <c:v>130015200</c:v>
                </c:pt>
                <c:pt idx="111">
                  <c:v>180991600</c:v>
                </c:pt>
                <c:pt idx="112">
                  <c:v>117057200</c:v>
                </c:pt>
                <c:pt idx="113">
                  <c:v>124814400</c:v>
                </c:pt>
                <c:pt idx="114">
                  <c:v>126508800</c:v>
                </c:pt>
                <c:pt idx="115">
                  <c:v>117087600</c:v>
                </c:pt>
                <c:pt idx="116">
                  <c:v>112004800</c:v>
                </c:pt>
                <c:pt idx="117">
                  <c:v>137280800</c:v>
                </c:pt>
                <c:pt idx="118">
                  <c:v>183064000</c:v>
                </c:pt>
                <c:pt idx="119">
                  <c:v>60154200</c:v>
                </c:pt>
                <c:pt idx="120">
                  <c:v>33392000</c:v>
                </c:pt>
                <c:pt idx="121">
                  <c:v>36937800</c:v>
                </c:pt>
                <c:pt idx="122">
                  <c:v>35583400</c:v>
                </c:pt>
                <c:pt idx="123">
                  <c:v>28803800</c:v>
                </c:pt>
                <c:pt idx="124">
                  <c:v>33459600</c:v>
                </c:pt>
                <c:pt idx="125">
                  <c:v>145946400</c:v>
                </c:pt>
                <c:pt idx="126">
                  <c:v>162301200</c:v>
                </c:pt>
                <c:pt idx="127">
                  <c:v>200622400</c:v>
                </c:pt>
                <c:pt idx="128">
                  <c:v>158929200</c:v>
                </c:pt>
                <c:pt idx="129">
                  <c:v>166348400</c:v>
                </c:pt>
                <c:pt idx="130">
                  <c:v>135372400</c:v>
                </c:pt>
                <c:pt idx="131">
                  <c:v>101729600</c:v>
                </c:pt>
                <c:pt idx="132">
                  <c:v>111504800</c:v>
                </c:pt>
                <c:pt idx="133">
                  <c:v>102688800</c:v>
                </c:pt>
                <c:pt idx="134">
                  <c:v>81803200</c:v>
                </c:pt>
                <c:pt idx="135">
                  <c:v>125522000</c:v>
                </c:pt>
                <c:pt idx="136">
                  <c:v>112945200</c:v>
                </c:pt>
                <c:pt idx="137">
                  <c:v>133560800</c:v>
                </c:pt>
                <c:pt idx="138">
                  <c:v>153598000</c:v>
                </c:pt>
                <c:pt idx="139">
                  <c:v>80791200</c:v>
                </c:pt>
                <c:pt idx="140">
                  <c:v>87642800</c:v>
                </c:pt>
                <c:pt idx="141">
                  <c:v>104491200</c:v>
                </c:pt>
                <c:pt idx="142">
                  <c:v>87560400</c:v>
                </c:pt>
                <c:pt idx="143">
                  <c:v>137250400</c:v>
                </c:pt>
                <c:pt idx="144">
                  <c:v>95654400</c:v>
                </c:pt>
                <c:pt idx="145">
                  <c:v>147712400</c:v>
                </c:pt>
                <c:pt idx="146">
                  <c:v>166651600</c:v>
                </c:pt>
                <c:pt idx="147">
                  <c:v>201662400</c:v>
                </c:pt>
                <c:pt idx="148">
                  <c:v>200146000</c:v>
                </c:pt>
                <c:pt idx="149">
                  <c:v>138808800</c:v>
                </c:pt>
                <c:pt idx="150">
                  <c:v>165428800</c:v>
                </c:pt>
                <c:pt idx="151">
                  <c:v>114406400</c:v>
                </c:pt>
                <c:pt idx="152">
                  <c:v>96820400</c:v>
                </c:pt>
                <c:pt idx="153">
                  <c:v>264476000</c:v>
                </c:pt>
                <c:pt idx="154">
                  <c:v>135445200</c:v>
                </c:pt>
                <c:pt idx="155">
                  <c:v>212155600</c:v>
                </c:pt>
                <c:pt idx="156">
                  <c:v>192623200</c:v>
                </c:pt>
                <c:pt idx="157">
                  <c:v>137522400</c:v>
                </c:pt>
                <c:pt idx="158">
                  <c:v>205256800</c:v>
                </c:pt>
                <c:pt idx="159">
                  <c:v>130646000</c:v>
                </c:pt>
                <c:pt idx="160">
                  <c:v>140223200</c:v>
                </c:pt>
                <c:pt idx="161">
                  <c:v>110737200</c:v>
                </c:pt>
                <c:pt idx="162">
                  <c:v>114041600</c:v>
                </c:pt>
                <c:pt idx="163">
                  <c:v>118655600</c:v>
                </c:pt>
                <c:pt idx="164">
                  <c:v>112424400</c:v>
                </c:pt>
                <c:pt idx="165">
                  <c:v>117092000</c:v>
                </c:pt>
                <c:pt idx="166">
                  <c:v>125642800</c:v>
                </c:pt>
                <c:pt idx="167">
                  <c:v>90257200</c:v>
                </c:pt>
                <c:pt idx="168">
                  <c:v>191649200</c:v>
                </c:pt>
                <c:pt idx="169">
                  <c:v>170989200</c:v>
                </c:pt>
                <c:pt idx="170">
                  <c:v>153198000</c:v>
                </c:pt>
                <c:pt idx="171">
                  <c:v>110577600</c:v>
                </c:pt>
                <c:pt idx="172">
                  <c:v>92186800</c:v>
                </c:pt>
                <c:pt idx="173">
                  <c:v>90318000</c:v>
                </c:pt>
                <c:pt idx="174">
                  <c:v>103646000</c:v>
                </c:pt>
                <c:pt idx="175">
                  <c:v>89001600</c:v>
                </c:pt>
                <c:pt idx="176">
                  <c:v>197004400</c:v>
                </c:pt>
                <c:pt idx="177">
                  <c:v>185438800</c:v>
                </c:pt>
                <c:pt idx="178">
                  <c:v>121214000</c:v>
                </c:pt>
                <c:pt idx="179">
                  <c:v>103625600</c:v>
                </c:pt>
                <c:pt idx="180">
                  <c:v>90329200</c:v>
                </c:pt>
                <c:pt idx="181">
                  <c:v>158130000</c:v>
                </c:pt>
                <c:pt idx="182">
                  <c:v>374336800</c:v>
                </c:pt>
                <c:pt idx="183">
                  <c:v>308151200</c:v>
                </c:pt>
                <c:pt idx="184">
                  <c:v>173071600</c:v>
                </c:pt>
                <c:pt idx="185">
                  <c:v>121992000</c:v>
                </c:pt>
                <c:pt idx="186">
                  <c:v>202428800</c:v>
                </c:pt>
                <c:pt idx="187">
                  <c:v>198045600</c:v>
                </c:pt>
                <c:pt idx="188">
                  <c:v>212403600</c:v>
                </c:pt>
                <c:pt idx="189">
                  <c:v>187902400</c:v>
                </c:pt>
                <c:pt idx="190">
                  <c:v>165944800</c:v>
                </c:pt>
                <c:pt idx="191">
                  <c:v>210082000</c:v>
                </c:pt>
                <c:pt idx="192">
                  <c:v>165565200</c:v>
                </c:pt>
                <c:pt idx="193">
                  <c:v>119561600</c:v>
                </c:pt>
                <c:pt idx="194">
                  <c:v>105633600</c:v>
                </c:pt>
                <c:pt idx="195">
                  <c:v>145538000</c:v>
                </c:pt>
                <c:pt idx="196">
                  <c:v>126907200</c:v>
                </c:pt>
                <c:pt idx="197">
                  <c:v>338054800</c:v>
                </c:pt>
                <c:pt idx="198">
                  <c:v>345937600</c:v>
                </c:pt>
                <c:pt idx="199">
                  <c:v>211495600</c:v>
                </c:pt>
                <c:pt idx="200">
                  <c:v>163022400</c:v>
                </c:pt>
                <c:pt idx="201">
                  <c:v>155552400</c:v>
                </c:pt>
                <c:pt idx="202">
                  <c:v>187630000</c:v>
                </c:pt>
                <c:pt idx="203">
                  <c:v>225702700</c:v>
                </c:pt>
                <c:pt idx="204">
                  <c:v>152470100</c:v>
                </c:pt>
                <c:pt idx="205">
                  <c:v>200119000</c:v>
                </c:pt>
                <c:pt idx="206">
                  <c:v>257599600</c:v>
                </c:pt>
                <c:pt idx="207">
                  <c:v>332607200</c:v>
                </c:pt>
                <c:pt idx="208">
                  <c:v>231366600</c:v>
                </c:pt>
                <c:pt idx="209">
                  <c:v>176940500</c:v>
                </c:pt>
                <c:pt idx="210">
                  <c:v>182274400</c:v>
                </c:pt>
                <c:pt idx="211">
                  <c:v>180860300</c:v>
                </c:pt>
                <c:pt idx="212">
                  <c:v>140150100</c:v>
                </c:pt>
                <c:pt idx="213">
                  <c:v>184642000</c:v>
                </c:pt>
                <c:pt idx="214">
                  <c:v>154679000</c:v>
                </c:pt>
                <c:pt idx="215">
                  <c:v>178011000</c:v>
                </c:pt>
                <c:pt idx="216">
                  <c:v>287104900</c:v>
                </c:pt>
                <c:pt idx="217">
                  <c:v>195713800</c:v>
                </c:pt>
                <c:pt idx="218">
                  <c:v>183055400</c:v>
                </c:pt>
                <c:pt idx="219">
                  <c:v>150718700</c:v>
                </c:pt>
                <c:pt idx="220">
                  <c:v>167743300</c:v>
                </c:pt>
                <c:pt idx="221">
                  <c:v>149981400</c:v>
                </c:pt>
                <c:pt idx="222">
                  <c:v>137672400</c:v>
                </c:pt>
                <c:pt idx="223">
                  <c:v>99382200</c:v>
                </c:pt>
                <c:pt idx="224">
                  <c:v>142675200</c:v>
                </c:pt>
                <c:pt idx="225">
                  <c:v>116120400</c:v>
                </c:pt>
                <c:pt idx="226">
                  <c:v>144712000</c:v>
                </c:pt>
                <c:pt idx="227">
                  <c:v>106243800</c:v>
                </c:pt>
                <c:pt idx="228">
                  <c:v>161498200</c:v>
                </c:pt>
                <c:pt idx="229">
                  <c:v>96849000</c:v>
                </c:pt>
                <c:pt idx="230">
                  <c:v>83477200</c:v>
                </c:pt>
                <c:pt idx="231">
                  <c:v>100506900</c:v>
                </c:pt>
                <c:pt idx="232">
                  <c:v>240226800</c:v>
                </c:pt>
                <c:pt idx="233">
                  <c:v>262330500</c:v>
                </c:pt>
                <c:pt idx="234">
                  <c:v>151062300</c:v>
                </c:pt>
                <c:pt idx="235">
                  <c:v>112559200</c:v>
                </c:pt>
                <c:pt idx="236">
                  <c:v>115393800</c:v>
                </c:pt>
                <c:pt idx="237">
                  <c:v>120639300</c:v>
                </c:pt>
                <c:pt idx="238">
                  <c:v>124423700</c:v>
                </c:pt>
                <c:pt idx="239">
                  <c:v>89946000</c:v>
                </c:pt>
                <c:pt idx="240">
                  <c:v>101988000</c:v>
                </c:pt>
                <c:pt idx="241">
                  <c:v>82572600</c:v>
                </c:pt>
                <c:pt idx="242">
                  <c:v>111850700</c:v>
                </c:pt>
                <c:pt idx="243">
                  <c:v>92276800</c:v>
                </c:pt>
                <c:pt idx="244">
                  <c:v>143937800</c:v>
                </c:pt>
                <c:pt idx="245">
                  <c:v>146129200</c:v>
                </c:pt>
                <c:pt idx="246">
                  <c:v>190272600</c:v>
                </c:pt>
                <c:pt idx="247">
                  <c:v>122866900</c:v>
                </c:pt>
                <c:pt idx="248">
                  <c:v>107624400</c:v>
                </c:pt>
                <c:pt idx="249">
                  <c:v>138235500</c:v>
                </c:pt>
                <c:pt idx="250">
                  <c:v>126387100</c:v>
                </c:pt>
                <c:pt idx="251">
                  <c:v>114283600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578-4A78-B54B-5D16D23F6C95}"/>
            </c:ext>
          </c:extLst>
        </c:ser>
        <c:ser>
          <c:idx val="3"/>
          <c:order val="3"/>
          <c:tx>
            <c:strRef>
              <c:f>'6050_Module3Project_Data'!$E$1</c:f>
              <c:strCache>
                <c:ptCount val="1"/>
                <c:pt idx="0">
                  <c:v>HON (Honeywell Inc)  /  $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'6050_Module3Project_Data'!$A$2:$A$253</c:f>
              <c:numCache>
                <c:formatCode>m/d/yyyy</c:formatCode>
                <c:ptCount val="252"/>
                <c:pt idx="0">
                  <c:v>43777</c:v>
                </c:pt>
                <c:pt idx="1">
                  <c:v>43780</c:v>
                </c:pt>
                <c:pt idx="2">
                  <c:v>43781</c:v>
                </c:pt>
                <c:pt idx="3">
                  <c:v>43782</c:v>
                </c:pt>
                <c:pt idx="4">
                  <c:v>43783</c:v>
                </c:pt>
                <c:pt idx="5">
                  <c:v>43784</c:v>
                </c:pt>
                <c:pt idx="6">
                  <c:v>43787</c:v>
                </c:pt>
                <c:pt idx="7">
                  <c:v>43788</c:v>
                </c:pt>
                <c:pt idx="8">
                  <c:v>43789</c:v>
                </c:pt>
                <c:pt idx="9">
                  <c:v>43790</c:v>
                </c:pt>
                <c:pt idx="10">
                  <c:v>43791</c:v>
                </c:pt>
                <c:pt idx="11">
                  <c:v>43794</c:v>
                </c:pt>
                <c:pt idx="12">
                  <c:v>43795</c:v>
                </c:pt>
                <c:pt idx="13">
                  <c:v>43796</c:v>
                </c:pt>
                <c:pt idx="14">
                  <c:v>43798</c:v>
                </c:pt>
                <c:pt idx="15">
                  <c:v>43801</c:v>
                </c:pt>
                <c:pt idx="16">
                  <c:v>43802</c:v>
                </c:pt>
                <c:pt idx="17">
                  <c:v>43803</c:v>
                </c:pt>
                <c:pt idx="18">
                  <c:v>43804</c:v>
                </c:pt>
                <c:pt idx="19">
                  <c:v>43805</c:v>
                </c:pt>
                <c:pt idx="20">
                  <c:v>43808</c:v>
                </c:pt>
                <c:pt idx="21">
                  <c:v>43809</c:v>
                </c:pt>
                <c:pt idx="22">
                  <c:v>43810</c:v>
                </c:pt>
                <c:pt idx="23">
                  <c:v>43811</c:v>
                </c:pt>
                <c:pt idx="24">
                  <c:v>43812</c:v>
                </c:pt>
                <c:pt idx="25">
                  <c:v>43815</c:v>
                </c:pt>
                <c:pt idx="26">
                  <c:v>43816</c:v>
                </c:pt>
                <c:pt idx="27">
                  <c:v>43817</c:v>
                </c:pt>
                <c:pt idx="28">
                  <c:v>43818</c:v>
                </c:pt>
                <c:pt idx="29">
                  <c:v>43819</c:v>
                </c:pt>
                <c:pt idx="30">
                  <c:v>43822</c:v>
                </c:pt>
                <c:pt idx="31">
                  <c:v>43823</c:v>
                </c:pt>
                <c:pt idx="32">
                  <c:v>43825</c:v>
                </c:pt>
                <c:pt idx="33">
                  <c:v>43826</c:v>
                </c:pt>
                <c:pt idx="34">
                  <c:v>43829</c:v>
                </c:pt>
                <c:pt idx="35">
                  <c:v>43830</c:v>
                </c:pt>
                <c:pt idx="36">
                  <c:v>43832</c:v>
                </c:pt>
                <c:pt idx="37">
                  <c:v>43833</c:v>
                </c:pt>
                <c:pt idx="38">
                  <c:v>43836</c:v>
                </c:pt>
                <c:pt idx="39">
                  <c:v>43837</c:v>
                </c:pt>
                <c:pt idx="40">
                  <c:v>43838</c:v>
                </c:pt>
                <c:pt idx="41">
                  <c:v>43839</c:v>
                </c:pt>
                <c:pt idx="42">
                  <c:v>43840</c:v>
                </c:pt>
                <c:pt idx="43">
                  <c:v>43843</c:v>
                </c:pt>
                <c:pt idx="44">
                  <c:v>43844</c:v>
                </c:pt>
                <c:pt idx="45">
                  <c:v>43845</c:v>
                </c:pt>
                <c:pt idx="46">
                  <c:v>43846</c:v>
                </c:pt>
                <c:pt idx="47">
                  <c:v>43847</c:v>
                </c:pt>
                <c:pt idx="48">
                  <c:v>43851</c:v>
                </c:pt>
                <c:pt idx="49">
                  <c:v>43852</c:v>
                </c:pt>
                <c:pt idx="50">
                  <c:v>43853</c:v>
                </c:pt>
                <c:pt idx="51">
                  <c:v>43854</c:v>
                </c:pt>
                <c:pt idx="52">
                  <c:v>43857</c:v>
                </c:pt>
                <c:pt idx="53">
                  <c:v>43858</c:v>
                </c:pt>
                <c:pt idx="54">
                  <c:v>43859</c:v>
                </c:pt>
                <c:pt idx="55">
                  <c:v>43860</c:v>
                </c:pt>
                <c:pt idx="56">
                  <c:v>43861</c:v>
                </c:pt>
                <c:pt idx="57">
                  <c:v>43864</c:v>
                </c:pt>
                <c:pt idx="58">
                  <c:v>43865</c:v>
                </c:pt>
                <c:pt idx="59">
                  <c:v>43866</c:v>
                </c:pt>
                <c:pt idx="60">
                  <c:v>43867</c:v>
                </c:pt>
                <c:pt idx="61">
                  <c:v>43868</c:v>
                </c:pt>
                <c:pt idx="62">
                  <c:v>43871</c:v>
                </c:pt>
                <c:pt idx="63">
                  <c:v>43872</c:v>
                </c:pt>
                <c:pt idx="64">
                  <c:v>43873</c:v>
                </c:pt>
                <c:pt idx="65">
                  <c:v>43874</c:v>
                </c:pt>
                <c:pt idx="66">
                  <c:v>43875</c:v>
                </c:pt>
                <c:pt idx="67">
                  <c:v>43879</c:v>
                </c:pt>
                <c:pt idx="68">
                  <c:v>43880</c:v>
                </c:pt>
                <c:pt idx="69">
                  <c:v>43881</c:v>
                </c:pt>
                <c:pt idx="70">
                  <c:v>43882</c:v>
                </c:pt>
                <c:pt idx="71">
                  <c:v>43885</c:v>
                </c:pt>
                <c:pt idx="72">
                  <c:v>43886</c:v>
                </c:pt>
                <c:pt idx="73">
                  <c:v>43887</c:v>
                </c:pt>
                <c:pt idx="74">
                  <c:v>43888</c:v>
                </c:pt>
                <c:pt idx="75">
                  <c:v>43889</c:v>
                </c:pt>
                <c:pt idx="76">
                  <c:v>43892</c:v>
                </c:pt>
                <c:pt idx="77">
                  <c:v>43893</c:v>
                </c:pt>
                <c:pt idx="78">
                  <c:v>43894</c:v>
                </c:pt>
                <c:pt idx="79">
                  <c:v>43895</c:v>
                </c:pt>
                <c:pt idx="80">
                  <c:v>43896</c:v>
                </c:pt>
                <c:pt idx="81">
                  <c:v>43899</c:v>
                </c:pt>
                <c:pt idx="82">
                  <c:v>43900</c:v>
                </c:pt>
                <c:pt idx="83">
                  <c:v>43901</c:v>
                </c:pt>
                <c:pt idx="84">
                  <c:v>43902</c:v>
                </c:pt>
                <c:pt idx="85">
                  <c:v>43903</c:v>
                </c:pt>
                <c:pt idx="86">
                  <c:v>43906</c:v>
                </c:pt>
                <c:pt idx="87">
                  <c:v>43907</c:v>
                </c:pt>
                <c:pt idx="88">
                  <c:v>43908</c:v>
                </c:pt>
                <c:pt idx="89">
                  <c:v>43909</c:v>
                </c:pt>
                <c:pt idx="90">
                  <c:v>43910</c:v>
                </c:pt>
                <c:pt idx="91">
                  <c:v>43913</c:v>
                </c:pt>
                <c:pt idx="92">
                  <c:v>43914</c:v>
                </c:pt>
                <c:pt idx="93">
                  <c:v>43915</c:v>
                </c:pt>
                <c:pt idx="94">
                  <c:v>43916</c:v>
                </c:pt>
                <c:pt idx="95">
                  <c:v>43917</c:v>
                </c:pt>
                <c:pt idx="96">
                  <c:v>43920</c:v>
                </c:pt>
                <c:pt idx="97">
                  <c:v>43921</c:v>
                </c:pt>
                <c:pt idx="98">
                  <c:v>43922</c:v>
                </c:pt>
                <c:pt idx="99">
                  <c:v>43923</c:v>
                </c:pt>
                <c:pt idx="100">
                  <c:v>43924</c:v>
                </c:pt>
                <c:pt idx="101">
                  <c:v>43927</c:v>
                </c:pt>
                <c:pt idx="102">
                  <c:v>43928</c:v>
                </c:pt>
                <c:pt idx="103">
                  <c:v>43929</c:v>
                </c:pt>
                <c:pt idx="104">
                  <c:v>43930</c:v>
                </c:pt>
                <c:pt idx="105">
                  <c:v>43934</c:v>
                </c:pt>
                <c:pt idx="106">
                  <c:v>43935</c:v>
                </c:pt>
                <c:pt idx="107">
                  <c:v>43936</c:v>
                </c:pt>
                <c:pt idx="108">
                  <c:v>43937</c:v>
                </c:pt>
                <c:pt idx="109">
                  <c:v>43938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43948</c:v>
                </c:pt>
                <c:pt idx="116">
                  <c:v>43949</c:v>
                </c:pt>
                <c:pt idx="117">
                  <c:v>43950</c:v>
                </c:pt>
                <c:pt idx="118">
                  <c:v>43951</c:v>
                </c:pt>
                <c:pt idx="119">
                  <c:v>43952</c:v>
                </c:pt>
                <c:pt idx="120">
                  <c:v>43955</c:v>
                </c:pt>
                <c:pt idx="121">
                  <c:v>43956</c:v>
                </c:pt>
                <c:pt idx="122">
                  <c:v>43957</c:v>
                </c:pt>
                <c:pt idx="123">
                  <c:v>43958</c:v>
                </c:pt>
                <c:pt idx="124">
                  <c:v>43959</c:v>
                </c:pt>
                <c:pt idx="125">
                  <c:v>43962</c:v>
                </c:pt>
                <c:pt idx="126">
                  <c:v>43963</c:v>
                </c:pt>
                <c:pt idx="127">
                  <c:v>43964</c:v>
                </c:pt>
                <c:pt idx="128">
                  <c:v>43965</c:v>
                </c:pt>
                <c:pt idx="129">
                  <c:v>43966</c:v>
                </c:pt>
                <c:pt idx="130">
                  <c:v>43969</c:v>
                </c:pt>
                <c:pt idx="131">
                  <c:v>43970</c:v>
                </c:pt>
                <c:pt idx="132">
                  <c:v>43971</c:v>
                </c:pt>
                <c:pt idx="133">
                  <c:v>43972</c:v>
                </c:pt>
                <c:pt idx="134">
                  <c:v>43973</c:v>
                </c:pt>
                <c:pt idx="135">
                  <c:v>43977</c:v>
                </c:pt>
                <c:pt idx="136">
                  <c:v>43978</c:v>
                </c:pt>
                <c:pt idx="137">
                  <c:v>43979</c:v>
                </c:pt>
                <c:pt idx="138">
                  <c:v>43980</c:v>
                </c:pt>
                <c:pt idx="139">
                  <c:v>43983</c:v>
                </c:pt>
                <c:pt idx="140">
                  <c:v>43984</c:v>
                </c:pt>
                <c:pt idx="141">
                  <c:v>43985</c:v>
                </c:pt>
                <c:pt idx="142">
                  <c:v>43986</c:v>
                </c:pt>
                <c:pt idx="143">
                  <c:v>43987</c:v>
                </c:pt>
                <c:pt idx="144">
                  <c:v>43990</c:v>
                </c:pt>
                <c:pt idx="145">
                  <c:v>43991</c:v>
                </c:pt>
                <c:pt idx="146">
                  <c:v>43992</c:v>
                </c:pt>
                <c:pt idx="147">
                  <c:v>43993</c:v>
                </c:pt>
                <c:pt idx="148">
                  <c:v>43994</c:v>
                </c:pt>
                <c:pt idx="149">
                  <c:v>43997</c:v>
                </c:pt>
                <c:pt idx="150">
                  <c:v>43998</c:v>
                </c:pt>
                <c:pt idx="151">
                  <c:v>43999</c:v>
                </c:pt>
                <c:pt idx="152">
                  <c:v>44000</c:v>
                </c:pt>
                <c:pt idx="153">
                  <c:v>44001</c:v>
                </c:pt>
                <c:pt idx="154">
                  <c:v>44004</c:v>
                </c:pt>
                <c:pt idx="155">
                  <c:v>44005</c:v>
                </c:pt>
                <c:pt idx="156">
                  <c:v>44006</c:v>
                </c:pt>
                <c:pt idx="157">
                  <c:v>44007</c:v>
                </c:pt>
                <c:pt idx="158">
                  <c:v>44008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44018</c:v>
                </c:pt>
                <c:pt idx="164">
                  <c:v>44019</c:v>
                </c:pt>
                <c:pt idx="165">
                  <c:v>44020</c:v>
                </c:pt>
                <c:pt idx="166">
                  <c:v>44021</c:v>
                </c:pt>
                <c:pt idx="167">
                  <c:v>44022</c:v>
                </c:pt>
                <c:pt idx="168">
                  <c:v>44025</c:v>
                </c:pt>
                <c:pt idx="169">
                  <c:v>44026</c:v>
                </c:pt>
                <c:pt idx="170">
                  <c:v>44027</c:v>
                </c:pt>
                <c:pt idx="171">
                  <c:v>44028</c:v>
                </c:pt>
                <c:pt idx="172">
                  <c:v>44029</c:v>
                </c:pt>
                <c:pt idx="173">
                  <c:v>44032</c:v>
                </c:pt>
                <c:pt idx="174">
                  <c:v>44033</c:v>
                </c:pt>
                <c:pt idx="175">
                  <c:v>44034</c:v>
                </c:pt>
                <c:pt idx="176">
                  <c:v>44035</c:v>
                </c:pt>
                <c:pt idx="177">
                  <c:v>44036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44046</c:v>
                </c:pt>
                <c:pt idx="184">
                  <c:v>44047</c:v>
                </c:pt>
                <c:pt idx="185">
                  <c:v>44048</c:v>
                </c:pt>
                <c:pt idx="186">
                  <c:v>44049</c:v>
                </c:pt>
                <c:pt idx="187">
                  <c:v>44050</c:v>
                </c:pt>
                <c:pt idx="188">
                  <c:v>44053</c:v>
                </c:pt>
                <c:pt idx="189">
                  <c:v>44054</c:v>
                </c:pt>
                <c:pt idx="190">
                  <c:v>44055</c:v>
                </c:pt>
                <c:pt idx="191">
                  <c:v>44056</c:v>
                </c:pt>
                <c:pt idx="192">
                  <c:v>44057</c:v>
                </c:pt>
                <c:pt idx="193">
                  <c:v>44060</c:v>
                </c:pt>
                <c:pt idx="194">
                  <c:v>44061</c:v>
                </c:pt>
                <c:pt idx="195">
                  <c:v>44062</c:v>
                </c:pt>
                <c:pt idx="196">
                  <c:v>44063</c:v>
                </c:pt>
                <c:pt idx="197">
                  <c:v>44064</c:v>
                </c:pt>
                <c:pt idx="198">
                  <c:v>44067</c:v>
                </c:pt>
                <c:pt idx="199">
                  <c:v>44068</c:v>
                </c:pt>
                <c:pt idx="200">
                  <c:v>44069</c:v>
                </c:pt>
                <c:pt idx="201">
                  <c:v>44070</c:v>
                </c:pt>
                <c:pt idx="202">
                  <c:v>44071</c:v>
                </c:pt>
                <c:pt idx="203">
                  <c:v>44074</c:v>
                </c:pt>
                <c:pt idx="204">
                  <c:v>44075</c:v>
                </c:pt>
                <c:pt idx="205">
                  <c:v>44076</c:v>
                </c:pt>
                <c:pt idx="206">
                  <c:v>44077</c:v>
                </c:pt>
                <c:pt idx="207">
                  <c:v>44078</c:v>
                </c:pt>
                <c:pt idx="208">
                  <c:v>44082</c:v>
                </c:pt>
                <c:pt idx="209">
                  <c:v>44083</c:v>
                </c:pt>
                <c:pt idx="210">
                  <c:v>44084</c:v>
                </c:pt>
                <c:pt idx="211">
                  <c:v>44085</c:v>
                </c:pt>
                <c:pt idx="212">
                  <c:v>44088</c:v>
                </c:pt>
                <c:pt idx="213">
                  <c:v>44089</c:v>
                </c:pt>
                <c:pt idx="214">
                  <c:v>44090</c:v>
                </c:pt>
                <c:pt idx="215">
                  <c:v>44091</c:v>
                </c:pt>
                <c:pt idx="216">
                  <c:v>44092</c:v>
                </c:pt>
                <c:pt idx="217">
                  <c:v>44095</c:v>
                </c:pt>
                <c:pt idx="218">
                  <c:v>44096</c:v>
                </c:pt>
                <c:pt idx="219">
                  <c:v>44097</c:v>
                </c:pt>
                <c:pt idx="220">
                  <c:v>44098</c:v>
                </c:pt>
                <c:pt idx="221">
                  <c:v>44099</c:v>
                </c:pt>
                <c:pt idx="222">
                  <c:v>44102</c:v>
                </c:pt>
                <c:pt idx="223">
                  <c:v>44103</c:v>
                </c:pt>
                <c:pt idx="224">
                  <c:v>44104</c:v>
                </c:pt>
                <c:pt idx="225">
                  <c:v>44105</c:v>
                </c:pt>
                <c:pt idx="226">
                  <c:v>44106</c:v>
                </c:pt>
                <c:pt idx="227">
                  <c:v>44109</c:v>
                </c:pt>
                <c:pt idx="228">
                  <c:v>44110</c:v>
                </c:pt>
                <c:pt idx="229">
                  <c:v>44111</c:v>
                </c:pt>
                <c:pt idx="230">
                  <c:v>44112</c:v>
                </c:pt>
                <c:pt idx="231">
                  <c:v>44113</c:v>
                </c:pt>
                <c:pt idx="232">
                  <c:v>44116</c:v>
                </c:pt>
                <c:pt idx="233">
                  <c:v>44117</c:v>
                </c:pt>
                <c:pt idx="234">
                  <c:v>44118</c:v>
                </c:pt>
                <c:pt idx="235">
                  <c:v>44119</c:v>
                </c:pt>
                <c:pt idx="236">
                  <c:v>44120</c:v>
                </c:pt>
                <c:pt idx="237">
                  <c:v>44123</c:v>
                </c:pt>
                <c:pt idx="238">
                  <c:v>44124</c:v>
                </c:pt>
                <c:pt idx="239">
                  <c:v>44125</c:v>
                </c:pt>
                <c:pt idx="240">
                  <c:v>44126</c:v>
                </c:pt>
                <c:pt idx="241">
                  <c:v>44127</c:v>
                </c:pt>
                <c:pt idx="242">
                  <c:v>44130</c:v>
                </c:pt>
                <c:pt idx="243">
                  <c:v>44131</c:v>
                </c:pt>
                <c:pt idx="244">
                  <c:v>44132</c:v>
                </c:pt>
                <c:pt idx="245">
                  <c:v>44133</c:v>
                </c:pt>
                <c:pt idx="246">
                  <c:v>44134</c:v>
                </c:pt>
                <c:pt idx="247">
                  <c:v>44137</c:v>
                </c:pt>
                <c:pt idx="248">
                  <c:v>44138</c:v>
                </c:pt>
                <c:pt idx="249">
                  <c:v>44139</c:v>
                </c:pt>
                <c:pt idx="250">
                  <c:v>44140</c:v>
                </c:pt>
                <c:pt idx="251">
                  <c:v>44141</c:v>
                </c:pt>
              </c:numCache>
            </c:numRef>
          </c:cat>
          <c:val>
            <c:numRef>
              <c:f>'6050_Module3Project_Data'!$E$2:$E$253</c:f>
              <c:numCache>
                <c:formatCode>0.00</c:formatCode>
                <c:ptCount val="252"/>
                <c:pt idx="0">
                  <c:v>177.02937299999999</c:v>
                </c:pt>
                <c:pt idx="1">
                  <c:v>176.658142</c:v>
                </c:pt>
                <c:pt idx="2">
                  <c:v>177.810913</c:v>
                </c:pt>
                <c:pt idx="3">
                  <c:v>177.752319</c:v>
                </c:pt>
                <c:pt idx="4">
                  <c:v>176.37780799999999</c:v>
                </c:pt>
                <c:pt idx="5">
                  <c:v>178.43956</c:v>
                </c:pt>
                <c:pt idx="6">
                  <c:v>176.52507</c:v>
                </c:pt>
                <c:pt idx="7">
                  <c:v>176.839249</c:v>
                </c:pt>
                <c:pt idx="8">
                  <c:v>173.99208100000001</c:v>
                </c:pt>
                <c:pt idx="9">
                  <c:v>173.31463600000001</c:v>
                </c:pt>
                <c:pt idx="10">
                  <c:v>173.56990099999999</c:v>
                </c:pt>
                <c:pt idx="11">
                  <c:v>173.29499799999999</c:v>
                </c:pt>
                <c:pt idx="12">
                  <c:v>175.26838699999999</c:v>
                </c:pt>
                <c:pt idx="13">
                  <c:v>176.151993</c:v>
                </c:pt>
                <c:pt idx="14">
                  <c:v>175.29785200000001</c:v>
                </c:pt>
                <c:pt idx="15">
                  <c:v>171.144913</c:v>
                </c:pt>
                <c:pt idx="16">
                  <c:v>169.40713500000001</c:v>
                </c:pt>
                <c:pt idx="17">
                  <c:v>170.055115</c:v>
                </c:pt>
                <c:pt idx="18">
                  <c:v>170.84053</c:v>
                </c:pt>
                <c:pt idx="19">
                  <c:v>172.26414500000001</c:v>
                </c:pt>
                <c:pt idx="20">
                  <c:v>171.31179800000001</c:v>
                </c:pt>
                <c:pt idx="21">
                  <c:v>170.86998</c:v>
                </c:pt>
                <c:pt idx="22">
                  <c:v>172.804092</c:v>
                </c:pt>
                <c:pt idx="23">
                  <c:v>174.15898100000001</c:v>
                </c:pt>
                <c:pt idx="24">
                  <c:v>173.756439</c:v>
                </c:pt>
                <c:pt idx="25">
                  <c:v>173.18699599999999</c:v>
                </c:pt>
                <c:pt idx="26">
                  <c:v>173.481537</c:v>
                </c:pt>
                <c:pt idx="27">
                  <c:v>171.45906099999999</c:v>
                </c:pt>
                <c:pt idx="28">
                  <c:v>173.28518700000001</c:v>
                </c:pt>
                <c:pt idx="29">
                  <c:v>173.19682299999999</c:v>
                </c:pt>
                <c:pt idx="30">
                  <c:v>173.21646100000001</c:v>
                </c:pt>
                <c:pt idx="31">
                  <c:v>173.098648</c:v>
                </c:pt>
                <c:pt idx="32">
                  <c:v>173.658264</c:v>
                </c:pt>
                <c:pt idx="33">
                  <c:v>173.26556400000001</c:v>
                </c:pt>
                <c:pt idx="34">
                  <c:v>173.20661899999999</c:v>
                </c:pt>
                <c:pt idx="35">
                  <c:v>173.776062</c:v>
                </c:pt>
                <c:pt idx="36">
                  <c:v>177.49704</c:v>
                </c:pt>
                <c:pt idx="37">
                  <c:v>175.602203</c:v>
                </c:pt>
                <c:pt idx="38">
                  <c:v>174.276794</c:v>
                </c:pt>
                <c:pt idx="39">
                  <c:v>174.37496899999999</c:v>
                </c:pt>
                <c:pt idx="40">
                  <c:v>174.522232</c:v>
                </c:pt>
                <c:pt idx="41">
                  <c:v>175.80838</c:v>
                </c:pt>
                <c:pt idx="42">
                  <c:v>175.42546100000001</c:v>
                </c:pt>
                <c:pt idx="43">
                  <c:v>177.96829199999999</c:v>
                </c:pt>
                <c:pt idx="44">
                  <c:v>177.16322299999999</c:v>
                </c:pt>
                <c:pt idx="45">
                  <c:v>177.43812600000001</c:v>
                </c:pt>
                <c:pt idx="46">
                  <c:v>178.94026199999999</c:v>
                </c:pt>
                <c:pt idx="47">
                  <c:v>179.89259300000001</c:v>
                </c:pt>
                <c:pt idx="48">
                  <c:v>177.634491</c:v>
                </c:pt>
                <c:pt idx="49">
                  <c:v>176.770523</c:v>
                </c:pt>
                <c:pt idx="50">
                  <c:v>176.30909700000001</c:v>
                </c:pt>
                <c:pt idx="51">
                  <c:v>173.903717</c:v>
                </c:pt>
                <c:pt idx="52">
                  <c:v>170.37908899999999</c:v>
                </c:pt>
                <c:pt idx="53">
                  <c:v>172.26414500000001</c:v>
                </c:pt>
                <c:pt idx="54">
                  <c:v>172.47030599999999</c:v>
                </c:pt>
                <c:pt idx="55">
                  <c:v>175.09165999999999</c:v>
                </c:pt>
                <c:pt idx="56">
                  <c:v>170.06492600000001</c:v>
                </c:pt>
                <c:pt idx="57">
                  <c:v>168.19955400000001</c:v>
                </c:pt>
                <c:pt idx="58">
                  <c:v>172.01869199999999</c:v>
                </c:pt>
                <c:pt idx="59">
                  <c:v>173.677887</c:v>
                </c:pt>
                <c:pt idx="60">
                  <c:v>173.137924</c:v>
                </c:pt>
                <c:pt idx="61">
                  <c:v>172.08738700000001</c:v>
                </c:pt>
                <c:pt idx="62">
                  <c:v>173.72699</c:v>
                </c:pt>
                <c:pt idx="63">
                  <c:v>175.88691700000001</c:v>
                </c:pt>
                <c:pt idx="64">
                  <c:v>177.879929</c:v>
                </c:pt>
                <c:pt idx="65">
                  <c:v>176.839249</c:v>
                </c:pt>
                <c:pt idx="66">
                  <c:v>177.516693</c:v>
                </c:pt>
                <c:pt idx="67">
                  <c:v>176.151993</c:v>
                </c:pt>
                <c:pt idx="68">
                  <c:v>177.565765</c:v>
                </c:pt>
                <c:pt idx="69">
                  <c:v>177.408691</c:v>
                </c:pt>
                <c:pt idx="70">
                  <c:v>176.603622</c:v>
                </c:pt>
                <c:pt idx="71">
                  <c:v>172.07759100000001</c:v>
                </c:pt>
                <c:pt idx="72">
                  <c:v>164.743652</c:v>
                </c:pt>
                <c:pt idx="73">
                  <c:v>164.134918</c:v>
                </c:pt>
                <c:pt idx="74">
                  <c:v>157.49176</c:v>
                </c:pt>
                <c:pt idx="75">
                  <c:v>160.077957</c:v>
                </c:pt>
                <c:pt idx="76">
                  <c:v>162.12127699999999</c:v>
                </c:pt>
                <c:pt idx="77">
                  <c:v>159.80157500000001</c:v>
                </c:pt>
                <c:pt idx="78">
                  <c:v>168.98161300000001</c:v>
                </c:pt>
                <c:pt idx="79">
                  <c:v>162.79248000000001</c:v>
                </c:pt>
                <c:pt idx="80">
                  <c:v>161.913971</c:v>
                </c:pt>
                <c:pt idx="81">
                  <c:v>150.88806199999999</c:v>
                </c:pt>
                <c:pt idx="82">
                  <c:v>159.60415599999999</c:v>
                </c:pt>
                <c:pt idx="83">
                  <c:v>151.411224</c:v>
                </c:pt>
                <c:pt idx="84">
                  <c:v>133.11039700000001</c:v>
                </c:pt>
                <c:pt idx="85">
                  <c:v>147.482574</c:v>
                </c:pt>
                <c:pt idx="86">
                  <c:v>133.524979</c:v>
                </c:pt>
                <c:pt idx="87">
                  <c:v>130.09974700000001</c:v>
                </c:pt>
                <c:pt idx="88">
                  <c:v>118.067001</c:v>
                </c:pt>
                <c:pt idx="89">
                  <c:v>117.42538500000001</c:v>
                </c:pt>
                <c:pt idx="90">
                  <c:v>111.048721</c:v>
                </c:pt>
                <c:pt idx="91">
                  <c:v>102.520172</c:v>
                </c:pt>
                <c:pt idx="92">
                  <c:v>117.96828499999999</c:v>
                </c:pt>
                <c:pt idx="93">
                  <c:v>127.977478</c:v>
                </c:pt>
                <c:pt idx="94">
                  <c:v>135.627487</c:v>
                </c:pt>
                <c:pt idx="95">
                  <c:v>129.57659899999999</c:v>
                </c:pt>
                <c:pt idx="96">
                  <c:v>130.05038500000001</c:v>
                </c:pt>
                <c:pt idx="97">
                  <c:v>132.06407200000001</c:v>
                </c:pt>
                <c:pt idx="98">
                  <c:v>128.03671299999999</c:v>
                </c:pt>
                <c:pt idx="99">
                  <c:v>131.09671</c:v>
                </c:pt>
                <c:pt idx="100">
                  <c:v>125.805862</c:v>
                </c:pt>
                <c:pt idx="101">
                  <c:v>132.27136200000001</c:v>
                </c:pt>
                <c:pt idx="102">
                  <c:v>133.495361</c:v>
                </c:pt>
                <c:pt idx="103">
                  <c:v>137.453644</c:v>
                </c:pt>
                <c:pt idx="104">
                  <c:v>141.579712</c:v>
                </c:pt>
                <c:pt idx="105">
                  <c:v>136.160538</c:v>
                </c:pt>
                <c:pt idx="106">
                  <c:v>138.77633700000001</c:v>
                </c:pt>
                <c:pt idx="107">
                  <c:v>133.100525</c:v>
                </c:pt>
                <c:pt idx="108">
                  <c:v>130.62290999999999</c:v>
                </c:pt>
                <c:pt idx="109">
                  <c:v>136.53564499999999</c:v>
                </c:pt>
                <c:pt idx="110">
                  <c:v>133.949432</c:v>
                </c:pt>
                <c:pt idx="111">
                  <c:v>130.29716500000001</c:v>
                </c:pt>
                <c:pt idx="112">
                  <c:v>131.313873</c:v>
                </c:pt>
                <c:pt idx="113">
                  <c:v>132.94258099999999</c:v>
                </c:pt>
                <c:pt idx="114">
                  <c:v>133.771759</c:v>
                </c:pt>
                <c:pt idx="115">
                  <c:v>138.07551599999999</c:v>
                </c:pt>
                <c:pt idx="116">
                  <c:v>140.91835</c:v>
                </c:pt>
                <c:pt idx="117">
                  <c:v>144.274506</c:v>
                </c:pt>
                <c:pt idx="118">
                  <c:v>140.06944300000001</c:v>
                </c:pt>
                <c:pt idx="119">
                  <c:v>135.47943100000001</c:v>
                </c:pt>
                <c:pt idx="120">
                  <c:v>133.45588699999999</c:v>
                </c:pt>
                <c:pt idx="121">
                  <c:v>133.13014200000001</c:v>
                </c:pt>
                <c:pt idx="122">
                  <c:v>131.323746</c:v>
                </c:pt>
                <c:pt idx="123">
                  <c:v>131.076965</c:v>
                </c:pt>
                <c:pt idx="124">
                  <c:v>135.14382900000001</c:v>
                </c:pt>
                <c:pt idx="125">
                  <c:v>132.54776000000001</c:v>
                </c:pt>
                <c:pt idx="126">
                  <c:v>125.944046</c:v>
                </c:pt>
                <c:pt idx="127">
                  <c:v>121.383652</c:v>
                </c:pt>
                <c:pt idx="128">
                  <c:v>126.335655</c:v>
                </c:pt>
                <c:pt idx="129">
                  <c:v>124.70488</c:v>
                </c:pt>
                <c:pt idx="130">
                  <c:v>135.27510100000001</c:v>
                </c:pt>
                <c:pt idx="131">
                  <c:v>131.208099</c:v>
                </c:pt>
                <c:pt idx="132">
                  <c:v>135.26516699999999</c:v>
                </c:pt>
                <c:pt idx="133">
                  <c:v>136.91583299999999</c:v>
                </c:pt>
                <c:pt idx="134">
                  <c:v>138.397446</c:v>
                </c:pt>
                <c:pt idx="135">
                  <c:v>144.12506099999999</c:v>
                </c:pt>
                <c:pt idx="136">
                  <c:v>147.75453200000001</c:v>
                </c:pt>
                <c:pt idx="137">
                  <c:v>146.73033100000001</c:v>
                </c:pt>
                <c:pt idx="138">
                  <c:v>145.02995300000001</c:v>
                </c:pt>
                <c:pt idx="139">
                  <c:v>145.358093</c:v>
                </c:pt>
                <c:pt idx="140">
                  <c:v>147.51589999999999</c:v>
                </c:pt>
                <c:pt idx="141">
                  <c:v>152.48779300000001</c:v>
                </c:pt>
                <c:pt idx="142">
                  <c:v>155.03338600000001</c:v>
                </c:pt>
                <c:pt idx="143">
                  <c:v>160.46267700000001</c:v>
                </c:pt>
                <c:pt idx="144">
                  <c:v>162.00396699999999</c:v>
                </c:pt>
                <c:pt idx="145">
                  <c:v>157.21107499999999</c:v>
                </c:pt>
                <c:pt idx="146">
                  <c:v>153.25344799999999</c:v>
                </c:pt>
                <c:pt idx="147">
                  <c:v>142.633499</c:v>
                </c:pt>
                <c:pt idx="148">
                  <c:v>143.69747899999999</c:v>
                </c:pt>
                <c:pt idx="149">
                  <c:v>145.80557300000001</c:v>
                </c:pt>
                <c:pt idx="150">
                  <c:v>148.27162200000001</c:v>
                </c:pt>
                <c:pt idx="151">
                  <c:v>147.50595100000001</c:v>
                </c:pt>
                <c:pt idx="152">
                  <c:v>147.39656099999999</c:v>
                </c:pt>
                <c:pt idx="153">
                  <c:v>144.55264299999999</c:v>
                </c:pt>
                <c:pt idx="154">
                  <c:v>144.12506099999999</c:v>
                </c:pt>
                <c:pt idx="155">
                  <c:v>144.04551699999999</c:v>
                </c:pt>
                <c:pt idx="156">
                  <c:v>137.57212799999999</c:v>
                </c:pt>
                <c:pt idx="157">
                  <c:v>141.65901199999999</c:v>
                </c:pt>
                <c:pt idx="158">
                  <c:v>137.432907</c:v>
                </c:pt>
                <c:pt idx="159">
                  <c:v>142.434631</c:v>
                </c:pt>
                <c:pt idx="160">
                  <c:v>143.77702300000001</c:v>
                </c:pt>
                <c:pt idx="161">
                  <c:v>143.29972799999999</c:v>
                </c:pt>
                <c:pt idx="162">
                  <c:v>144.20462000000001</c:v>
                </c:pt>
                <c:pt idx="163">
                  <c:v>146.39224200000001</c:v>
                </c:pt>
                <c:pt idx="164">
                  <c:v>144.15489199999999</c:v>
                </c:pt>
                <c:pt idx="165">
                  <c:v>144.77140800000001</c:v>
                </c:pt>
                <c:pt idx="166">
                  <c:v>140.57513399999999</c:v>
                </c:pt>
                <c:pt idx="167">
                  <c:v>141.64906300000001</c:v>
                </c:pt>
                <c:pt idx="168">
                  <c:v>142.68322800000001</c:v>
                </c:pt>
                <c:pt idx="169">
                  <c:v>147.267303</c:v>
                </c:pt>
                <c:pt idx="170">
                  <c:v>151.07576</c:v>
                </c:pt>
                <c:pt idx="171">
                  <c:v>152.21929900000001</c:v>
                </c:pt>
                <c:pt idx="172">
                  <c:v>154.12851000000001</c:v>
                </c:pt>
                <c:pt idx="173">
                  <c:v>152.527557</c:v>
                </c:pt>
                <c:pt idx="174">
                  <c:v>153.889847</c:v>
                </c:pt>
                <c:pt idx="175">
                  <c:v>153.740692</c:v>
                </c:pt>
                <c:pt idx="176">
                  <c:v>152.86563100000001</c:v>
                </c:pt>
                <c:pt idx="177">
                  <c:v>148.58981299999999</c:v>
                </c:pt>
                <c:pt idx="178">
                  <c:v>149.91233800000001</c:v>
                </c:pt>
                <c:pt idx="179">
                  <c:v>151.155304</c:v>
                </c:pt>
                <c:pt idx="180">
                  <c:v>153.71086099999999</c:v>
                </c:pt>
                <c:pt idx="181">
                  <c:v>148.321335</c:v>
                </c:pt>
                <c:pt idx="182">
                  <c:v>148.53015099999999</c:v>
                </c:pt>
                <c:pt idx="183">
                  <c:v>147.694885</c:v>
                </c:pt>
                <c:pt idx="184">
                  <c:v>146.501633</c:v>
                </c:pt>
                <c:pt idx="185">
                  <c:v>149.972015</c:v>
                </c:pt>
                <c:pt idx="186">
                  <c:v>151.72210699999999</c:v>
                </c:pt>
                <c:pt idx="187">
                  <c:v>154.23788500000001</c:v>
                </c:pt>
                <c:pt idx="188">
                  <c:v>158.53358499999999</c:v>
                </c:pt>
                <c:pt idx="189">
                  <c:v>159.378815</c:v>
                </c:pt>
                <c:pt idx="190">
                  <c:v>159.16999799999999</c:v>
                </c:pt>
                <c:pt idx="191">
                  <c:v>158.979996</c:v>
                </c:pt>
                <c:pt idx="192">
                  <c:v>160.279999</c:v>
                </c:pt>
                <c:pt idx="193">
                  <c:v>158.759995</c:v>
                </c:pt>
                <c:pt idx="194">
                  <c:v>157.38000500000001</c:v>
                </c:pt>
                <c:pt idx="195">
                  <c:v>156.85000600000001</c:v>
                </c:pt>
                <c:pt idx="196">
                  <c:v>156.16999799999999</c:v>
                </c:pt>
                <c:pt idx="197">
                  <c:v>157.5</c:v>
                </c:pt>
                <c:pt idx="198">
                  <c:v>159.36999499999999</c:v>
                </c:pt>
                <c:pt idx="199">
                  <c:v>164.529999</c:v>
                </c:pt>
                <c:pt idx="200">
                  <c:v>165.30999800000001</c:v>
                </c:pt>
                <c:pt idx="201">
                  <c:v>165.990005</c:v>
                </c:pt>
                <c:pt idx="202">
                  <c:v>168.38000500000001</c:v>
                </c:pt>
                <c:pt idx="203">
                  <c:v>165.550003</c:v>
                </c:pt>
                <c:pt idx="204">
                  <c:v>167.970001</c:v>
                </c:pt>
                <c:pt idx="205">
                  <c:v>172.470001</c:v>
                </c:pt>
                <c:pt idx="206">
                  <c:v>166.300003</c:v>
                </c:pt>
                <c:pt idx="207">
                  <c:v>166.69000199999999</c:v>
                </c:pt>
                <c:pt idx="208">
                  <c:v>164.270004</c:v>
                </c:pt>
                <c:pt idx="209">
                  <c:v>165.75</c:v>
                </c:pt>
                <c:pt idx="210">
                  <c:v>164.270004</c:v>
                </c:pt>
                <c:pt idx="211">
                  <c:v>166.449997</c:v>
                </c:pt>
                <c:pt idx="212">
                  <c:v>168.470001</c:v>
                </c:pt>
                <c:pt idx="213">
                  <c:v>168.300003</c:v>
                </c:pt>
                <c:pt idx="214">
                  <c:v>170</c:v>
                </c:pt>
                <c:pt idx="215">
                  <c:v>170.33999600000001</c:v>
                </c:pt>
                <c:pt idx="216">
                  <c:v>168.699997</c:v>
                </c:pt>
                <c:pt idx="217">
                  <c:v>161.36999499999999</c:v>
                </c:pt>
                <c:pt idx="218">
                  <c:v>162.679993</c:v>
                </c:pt>
                <c:pt idx="219">
                  <c:v>158.78999300000001</c:v>
                </c:pt>
                <c:pt idx="220">
                  <c:v>158.759995</c:v>
                </c:pt>
                <c:pt idx="221">
                  <c:v>161.490005</c:v>
                </c:pt>
                <c:pt idx="222">
                  <c:v>164.63999899999999</c:v>
                </c:pt>
                <c:pt idx="223">
                  <c:v>164.509995</c:v>
                </c:pt>
                <c:pt idx="224">
                  <c:v>164.61000100000001</c:v>
                </c:pt>
                <c:pt idx="225">
                  <c:v>163.679993</c:v>
                </c:pt>
                <c:pt idx="226">
                  <c:v>165.61000100000001</c:v>
                </c:pt>
                <c:pt idx="227">
                  <c:v>168.720001</c:v>
                </c:pt>
                <c:pt idx="228">
                  <c:v>166.88999899999999</c:v>
                </c:pt>
                <c:pt idx="229">
                  <c:v>171.550003</c:v>
                </c:pt>
                <c:pt idx="230">
                  <c:v>173.779999</c:v>
                </c:pt>
                <c:pt idx="231">
                  <c:v>174.38000500000001</c:v>
                </c:pt>
                <c:pt idx="232">
                  <c:v>175.36000100000001</c:v>
                </c:pt>
                <c:pt idx="233">
                  <c:v>171.550003</c:v>
                </c:pt>
                <c:pt idx="234">
                  <c:v>173.470001</c:v>
                </c:pt>
                <c:pt idx="235">
                  <c:v>172.61000100000001</c:v>
                </c:pt>
                <c:pt idx="236">
                  <c:v>174.86000100000001</c:v>
                </c:pt>
                <c:pt idx="237">
                  <c:v>171.58999600000001</c:v>
                </c:pt>
                <c:pt idx="238">
                  <c:v>173.259995</c:v>
                </c:pt>
                <c:pt idx="239">
                  <c:v>172.86999499999999</c:v>
                </c:pt>
                <c:pt idx="240">
                  <c:v>176.85000600000001</c:v>
                </c:pt>
                <c:pt idx="241">
                  <c:v>175.53999300000001</c:v>
                </c:pt>
                <c:pt idx="242">
                  <c:v>170.16999799999999</c:v>
                </c:pt>
                <c:pt idx="243">
                  <c:v>166.75</c:v>
                </c:pt>
                <c:pt idx="244">
                  <c:v>161.16000399999999</c:v>
                </c:pt>
                <c:pt idx="245">
                  <c:v>164.60000600000001</c:v>
                </c:pt>
                <c:pt idx="246">
                  <c:v>164.949997</c:v>
                </c:pt>
                <c:pt idx="247">
                  <c:v>173.61000100000001</c:v>
                </c:pt>
                <c:pt idx="248">
                  <c:v>179.21000699999999</c:v>
                </c:pt>
                <c:pt idx="249">
                  <c:v>178.91000399999999</c:v>
                </c:pt>
                <c:pt idx="250">
                  <c:v>183.279999</c:v>
                </c:pt>
                <c:pt idx="251">
                  <c:v>184.270004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578-4A78-B54B-5D16D23F6C95}"/>
            </c:ext>
          </c:extLst>
        </c:ser>
        <c:ser>
          <c:idx val="4"/>
          <c:order val="4"/>
          <c:tx>
            <c:strRef>
              <c:f>'6050_Module3Project_Data'!$F$1</c:f>
              <c:strCache>
                <c:ptCount val="1"/>
                <c:pt idx="0">
                  <c:v>HON (Honeywell Inc)  Volume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'6050_Module3Project_Data'!$A$2:$A$253</c:f>
              <c:numCache>
                <c:formatCode>m/d/yyyy</c:formatCode>
                <c:ptCount val="252"/>
                <c:pt idx="0">
                  <c:v>43777</c:v>
                </c:pt>
                <c:pt idx="1">
                  <c:v>43780</c:v>
                </c:pt>
                <c:pt idx="2">
                  <c:v>43781</c:v>
                </c:pt>
                <c:pt idx="3">
                  <c:v>43782</c:v>
                </c:pt>
                <c:pt idx="4">
                  <c:v>43783</c:v>
                </c:pt>
                <c:pt idx="5">
                  <c:v>43784</c:v>
                </c:pt>
                <c:pt idx="6">
                  <c:v>43787</c:v>
                </c:pt>
                <c:pt idx="7">
                  <c:v>43788</c:v>
                </c:pt>
                <c:pt idx="8">
                  <c:v>43789</c:v>
                </c:pt>
                <c:pt idx="9">
                  <c:v>43790</c:v>
                </c:pt>
                <c:pt idx="10">
                  <c:v>43791</c:v>
                </c:pt>
                <c:pt idx="11">
                  <c:v>43794</c:v>
                </c:pt>
                <c:pt idx="12">
                  <c:v>43795</c:v>
                </c:pt>
                <c:pt idx="13">
                  <c:v>43796</c:v>
                </c:pt>
                <c:pt idx="14">
                  <c:v>43798</c:v>
                </c:pt>
                <c:pt idx="15">
                  <c:v>43801</c:v>
                </c:pt>
                <c:pt idx="16">
                  <c:v>43802</c:v>
                </c:pt>
                <c:pt idx="17">
                  <c:v>43803</c:v>
                </c:pt>
                <c:pt idx="18">
                  <c:v>43804</c:v>
                </c:pt>
                <c:pt idx="19">
                  <c:v>43805</c:v>
                </c:pt>
                <c:pt idx="20">
                  <c:v>43808</c:v>
                </c:pt>
                <c:pt idx="21">
                  <c:v>43809</c:v>
                </c:pt>
                <c:pt idx="22">
                  <c:v>43810</c:v>
                </c:pt>
                <c:pt idx="23">
                  <c:v>43811</c:v>
                </c:pt>
                <c:pt idx="24">
                  <c:v>43812</c:v>
                </c:pt>
                <c:pt idx="25">
                  <c:v>43815</c:v>
                </c:pt>
                <c:pt idx="26">
                  <c:v>43816</c:v>
                </c:pt>
                <c:pt idx="27">
                  <c:v>43817</c:v>
                </c:pt>
                <c:pt idx="28">
                  <c:v>43818</c:v>
                </c:pt>
                <c:pt idx="29">
                  <c:v>43819</c:v>
                </c:pt>
                <c:pt idx="30">
                  <c:v>43822</c:v>
                </c:pt>
                <c:pt idx="31">
                  <c:v>43823</c:v>
                </c:pt>
                <c:pt idx="32">
                  <c:v>43825</c:v>
                </c:pt>
                <c:pt idx="33">
                  <c:v>43826</c:v>
                </c:pt>
                <c:pt idx="34">
                  <c:v>43829</c:v>
                </c:pt>
                <c:pt idx="35">
                  <c:v>43830</c:v>
                </c:pt>
                <c:pt idx="36">
                  <c:v>43832</c:v>
                </c:pt>
                <c:pt idx="37">
                  <c:v>43833</c:v>
                </c:pt>
                <c:pt idx="38">
                  <c:v>43836</c:v>
                </c:pt>
                <c:pt idx="39">
                  <c:v>43837</c:v>
                </c:pt>
                <c:pt idx="40">
                  <c:v>43838</c:v>
                </c:pt>
                <c:pt idx="41">
                  <c:v>43839</c:v>
                </c:pt>
                <c:pt idx="42">
                  <c:v>43840</c:v>
                </c:pt>
                <c:pt idx="43">
                  <c:v>43843</c:v>
                </c:pt>
                <c:pt idx="44">
                  <c:v>43844</c:v>
                </c:pt>
                <c:pt idx="45">
                  <c:v>43845</c:v>
                </c:pt>
                <c:pt idx="46">
                  <c:v>43846</c:v>
                </c:pt>
                <c:pt idx="47">
                  <c:v>43847</c:v>
                </c:pt>
                <c:pt idx="48">
                  <c:v>43851</c:v>
                </c:pt>
                <c:pt idx="49">
                  <c:v>43852</c:v>
                </c:pt>
                <c:pt idx="50">
                  <c:v>43853</c:v>
                </c:pt>
                <c:pt idx="51">
                  <c:v>43854</c:v>
                </c:pt>
                <c:pt idx="52">
                  <c:v>43857</c:v>
                </c:pt>
                <c:pt idx="53">
                  <c:v>43858</c:v>
                </c:pt>
                <c:pt idx="54">
                  <c:v>43859</c:v>
                </c:pt>
                <c:pt idx="55">
                  <c:v>43860</c:v>
                </c:pt>
                <c:pt idx="56">
                  <c:v>43861</c:v>
                </c:pt>
                <c:pt idx="57">
                  <c:v>43864</c:v>
                </c:pt>
                <c:pt idx="58">
                  <c:v>43865</c:v>
                </c:pt>
                <c:pt idx="59">
                  <c:v>43866</c:v>
                </c:pt>
                <c:pt idx="60">
                  <c:v>43867</c:v>
                </c:pt>
                <c:pt idx="61">
                  <c:v>43868</c:v>
                </c:pt>
                <c:pt idx="62">
                  <c:v>43871</c:v>
                </c:pt>
                <c:pt idx="63">
                  <c:v>43872</c:v>
                </c:pt>
                <c:pt idx="64">
                  <c:v>43873</c:v>
                </c:pt>
                <c:pt idx="65">
                  <c:v>43874</c:v>
                </c:pt>
                <c:pt idx="66">
                  <c:v>43875</c:v>
                </c:pt>
                <c:pt idx="67">
                  <c:v>43879</c:v>
                </c:pt>
                <c:pt idx="68">
                  <c:v>43880</c:v>
                </c:pt>
                <c:pt idx="69">
                  <c:v>43881</c:v>
                </c:pt>
                <c:pt idx="70">
                  <c:v>43882</c:v>
                </c:pt>
                <c:pt idx="71">
                  <c:v>43885</c:v>
                </c:pt>
                <c:pt idx="72">
                  <c:v>43886</c:v>
                </c:pt>
                <c:pt idx="73">
                  <c:v>43887</c:v>
                </c:pt>
                <c:pt idx="74">
                  <c:v>43888</c:v>
                </c:pt>
                <c:pt idx="75">
                  <c:v>43889</c:v>
                </c:pt>
                <c:pt idx="76">
                  <c:v>43892</c:v>
                </c:pt>
                <c:pt idx="77">
                  <c:v>43893</c:v>
                </c:pt>
                <c:pt idx="78">
                  <c:v>43894</c:v>
                </c:pt>
                <c:pt idx="79">
                  <c:v>43895</c:v>
                </c:pt>
                <c:pt idx="80">
                  <c:v>43896</c:v>
                </c:pt>
                <c:pt idx="81">
                  <c:v>43899</c:v>
                </c:pt>
                <c:pt idx="82">
                  <c:v>43900</c:v>
                </c:pt>
                <c:pt idx="83">
                  <c:v>43901</c:v>
                </c:pt>
                <c:pt idx="84">
                  <c:v>43902</c:v>
                </c:pt>
                <c:pt idx="85">
                  <c:v>43903</c:v>
                </c:pt>
                <c:pt idx="86">
                  <c:v>43906</c:v>
                </c:pt>
                <c:pt idx="87">
                  <c:v>43907</c:v>
                </c:pt>
                <c:pt idx="88">
                  <c:v>43908</c:v>
                </c:pt>
                <c:pt idx="89">
                  <c:v>43909</c:v>
                </c:pt>
                <c:pt idx="90">
                  <c:v>43910</c:v>
                </c:pt>
                <c:pt idx="91">
                  <c:v>43913</c:v>
                </c:pt>
                <c:pt idx="92">
                  <c:v>43914</c:v>
                </c:pt>
                <c:pt idx="93">
                  <c:v>43915</c:v>
                </c:pt>
                <c:pt idx="94">
                  <c:v>43916</c:v>
                </c:pt>
                <c:pt idx="95">
                  <c:v>43917</c:v>
                </c:pt>
                <c:pt idx="96">
                  <c:v>43920</c:v>
                </c:pt>
                <c:pt idx="97">
                  <c:v>43921</c:v>
                </c:pt>
                <c:pt idx="98">
                  <c:v>43922</c:v>
                </c:pt>
                <c:pt idx="99">
                  <c:v>43923</c:v>
                </c:pt>
                <c:pt idx="100">
                  <c:v>43924</c:v>
                </c:pt>
                <c:pt idx="101">
                  <c:v>43927</c:v>
                </c:pt>
                <c:pt idx="102">
                  <c:v>43928</c:v>
                </c:pt>
                <c:pt idx="103">
                  <c:v>43929</c:v>
                </c:pt>
                <c:pt idx="104">
                  <c:v>43930</c:v>
                </c:pt>
                <c:pt idx="105">
                  <c:v>43934</c:v>
                </c:pt>
                <c:pt idx="106">
                  <c:v>43935</c:v>
                </c:pt>
                <c:pt idx="107">
                  <c:v>43936</c:v>
                </c:pt>
                <c:pt idx="108">
                  <c:v>43937</c:v>
                </c:pt>
                <c:pt idx="109">
                  <c:v>43938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43948</c:v>
                </c:pt>
                <c:pt idx="116">
                  <c:v>43949</c:v>
                </c:pt>
                <c:pt idx="117">
                  <c:v>43950</c:v>
                </c:pt>
                <c:pt idx="118">
                  <c:v>43951</c:v>
                </c:pt>
                <c:pt idx="119">
                  <c:v>43952</c:v>
                </c:pt>
                <c:pt idx="120">
                  <c:v>43955</c:v>
                </c:pt>
                <c:pt idx="121">
                  <c:v>43956</c:v>
                </c:pt>
                <c:pt idx="122">
                  <c:v>43957</c:v>
                </c:pt>
                <c:pt idx="123">
                  <c:v>43958</c:v>
                </c:pt>
                <c:pt idx="124">
                  <c:v>43959</c:v>
                </c:pt>
                <c:pt idx="125">
                  <c:v>43962</c:v>
                </c:pt>
                <c:pt idx="126">
                  <c:v>43963</c:v>
                </c:pt>
                <c:pt idx="127">
                  <c:v>43964</c:v>
                </c:pt>
                <c:pt idx="128">
                  <c:v>43965</c:v>
                </c:pt>
                <c:pt idx="129">
                  <c:v>43966</c:v>
                </c:pt>
                <c:pt idx="130">
                  <c:v>43969</c:v>
                </c:pt>
                <c:pt idx="131">
                  <c:v>43970</c:v>
                </c:pt>
                <c:pt idx="132">
                  <c:v>43971</c:v>
                </c:pt>
                <c:pt idx="133">
                  <c:v>43972</c:v>
                </c:pt>
                <c:pt idx="134">
                  <c:v>43973</c:v>
                </c:pt>
                <c:pt idx="135">
                  <c:v>43977</c:v>
                </c:pt>
                <c:pt idx="136">
                  <c:v>43978</c:v>
                </c:pt>
                <c:pt idx="137">
                  <c:v>43979</c:v>
                </c:pt>
                <c:pt idx="138">
                  <c:v>43980</c:v>
                </c:pt>
                <c:pt idx="139">
                  <c:v>43983</c:v>
                </c:pt>
                <c:pt idx="140">
                  <c:v>43984</c:v>
                </c:pt>
                <c:pt idx="141">
                  <c:v>43985</c:v>
                </c:pt>
                <c:pt idx="142">
                  <c:v>43986</c:v>
                </c:pt>
                <c:pt idx="143">
                  <c:v>43987</c:v>
                </c:pt>
                <c:pt idx="144">
                  <c:v>43990</c:v>
                </c:pt>
                <c:pt idx="145">
                  <c:v>43991</c:v>
                </c:pt>
                <c:pt idx="146">
                  <c:v>43992</c:v>
                </c:pt>
                <c:pt idx="147">
                  <c:v>43993</c:v>
                </c:pt>
                <c:pt idx="148">
                  <c:v>43994</c:v>
                </c:pt>
                <c:pt idx="149">
                  <c:v>43997</c:v>
                </c:pt>
                <c:pt idx="150">
                  <c:v>43998</c:v>
                </c:pt>
                <c:pt idx="151">
                  <c:v>43999</c:v>
                </c:pt>
                <c:pt idx="152">
                  <c:v>44000</c:v>
                </c:pt>
                <c:pt idx="153">
                  <c:v>44001</c:v>
                </c:pt>
                <c:pt idx="154">
                  <c:v>44004</c:v>
                </c:pt>
                <c:pt idx="155">
                  <c:v>44005</c:v>
                </c:pt>
                <c:pt idx="156">
                  <c:v>44006</c:v>
                </c:pt>
                <c:pt idx="157">
                  <c:v>44007</c:v>
                </c:pt>
                <c:pt idx="158">
                  <c:v>44008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44018</c:v>
                </c:pt>
                <c:pt idx="164">
                  <c:v>44019</c:v>
                </c:pt>
                <c:pt idx="165">
                  <c:v>44020</c:v>
                </c:pt>
                <c:pt idx="166">
                  <c:v>44021</c:v>
                </c:pt>
                <c:pt idx="167">
                  <c:v>44022</c:v>
                </c:pt>
                <c:pt idx="168">
                  <c:v>44025</c:v>
                </c:pt>
                <c:pt idx="169">
                  <c:v>44026</c:v>
                </c:pt>
                <c:pt idx="170">
                  <c:v>44027</c:v>
                </c:pt>
                <c:pt idx="171">
                  <c:v>44028</c:v>
                </c:pt>
                <c:pt idx="172">
                  <c:v>44029</c:v>
                </c:pt>
                <c:pt idx="173">
                  <c:v>44032</c:v>
                </c:pt>
                <c:pt idx="174">
                  <c:v>44033</c:v>
                </c:pt>
                <c:pt idx="175">
                  <c:v>44034</c:v>
                </c:pt>
                <c:pt idx="176">
                  <c:v>44035</c:v>
                </c:pt>
                <c:pt idx="177">
                  <c:v>44036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44046</c:v>
                </c:pt>
                <c:pt idx="184">
                  <c:v>44047</c:v>
                </c:pt>
                <c:pt idx="185">
                  <c:v>44048</c:v>
                </c:pt>
                <c:pt idx="186">
                  <c:v>44049</c:v>
                </c:pt>
                <c:pt idx="187">
                  <c:v>44050</c:v>
                </c:pt>
                <c:pt idx="188">
                  <c:v>44053</c:v>
                </c:pt>
                <c:pt idx="189">
                  <c:v>44054</c:v>
                </c:pt>
                <c:pt idx="190">
                  <c:v>44055</c:v>
                </c:pt>
                <c:pt idx="191">
                  <c:v>44056</c:v>
                </c:pt>
                <c:pt idx="192">
                  <c:v>44057</c:v>
                </c:pt>
                <c:pt idx="193">
                  <c:v>44060</c:v>
                </c:pt>
                <c:pt idx="194">
                  <c:v>44061</c:v>
                </c:pt>
                <c:pt idx="195">
                  <c:v>44062</c:v>
                </c:pt>
                <c:pt idx="196">
                  <c:v>44063</c:v>
                </c:pt>
                <c:pt idx="197">
                  <c:v>44064</c:v>
                </c:pt>
                <c:pt idx="198">
                  <c:v>44067</c:v>
                </c:pt>
                <c:pt idx="199">
                  <c:v>44068</c:v>
                </c:pt>
                <c:pt idx="200">
                  <c:v>44069</c:v>
                </c:pt>
                <c:pt idx="201">
                  <c:v>44070</c:v>
                </c:pt>
                <c:pt idx="202">
                  <c:v>44071</c:v>
                </c:pt>
                <c:pt idx="203">
                  <c:v>44074</c:v>
                </c:pt>
                <c:pt idx="204">
                  <c:v>44075</c:v>
                </c:pt>
                <c:pt idx="205">
                  <c:v>44076</c:v>
                </c:pt>
                <c:pt idx="206">
                  <c:v>44077</c:v>
                </c:pt>
                <c:pt idx="207">
                  <c:v>44078</c:v>
                </c:pt>
                <c:pt idx="208">
                  <c:v>44082</c:v>
                </c:pt>
                <c:pt idx="209">
                  <c:v>44083</c:v>
                </c:pt>
                <c:pt idx="210">
                  <c:v>44084</c:v>
                </c:pt>
                <c:pt idx="211">
                  <c:v>44085</c:v>
                </c:pt>
                <c:pt idx="212">
                  <c:v>44088</c:v>
                </c:pt>
                <c:pt idx="213">
                  <c:v>44089</c:v>
                </c:pt>
                <c:pt idx="214">
                  <c:v>44090</c:v>
                </c:pt>
                <c:pt idx="215">
                  <c:v>44091</c:v>
                </c:pt>
                <c:pt idx="216">
                  <c:v>44092</c:v>
                </c:pt>
                <c:pt idx="217">
                  <c:v>44095</c:v>
                </c:pt>
                <c:pt idx="218">
                  <c:v>44096</c:v>
                </c:pt>
                <c:pt idx="219">
                  <c:v>44097</c:v>
                </c:pt>
                <c:pt idx="220">
                  <c:v>44098</c:v>
                </c:pt>
                <c:pt idx="221">
                  <c:v>44099</c:v>
                </c:pt>
                <c:pt idx="222">
                  <c:v>44102</c:v>
                </c:pt>
                <c:pt idx="223">
                  <c:v>44103</c:v>
                </c:pt>
                <c:pt idx="224">
                  <c:v>44104</c:v>
                </c:pt>
                <c:pt idx="225">
                  <c:v>44105</c:v>
                </c:pt>
                <c:pt idx="226">
                  <c:v>44106</c:v>
                </c:pt>
                <c:pt idx="227">
                  <c:v>44109</c:v>
                </c:pt>
                <c:pt idx="228">
                  <c:v>44110</c:v>
                </c:pt>
                <c:pt idx="229">
                  <c:v>44111</c:v>
                </c:pt>
                <c:pt idx="230">
                  <c:v>44112</c:v>
                </c:pt>
                <c:pt idx="231">
                  <c:v>44113</c:v>
                </c:pt>
                <c:pt idx="232">
                  <c:v>44116</c:v>
                </c:pt>
                <c:pt idx="233">
                  <c:v>44117</c:v>
                </c:pt>
                <c:pt idx="234">
                  <c:v>44118</c:v>
                </c:pt>
                <c:pt idx="235">
                  <c:v>44119</c:v>
                </c:pt>
                <c:pt idx="236">
                  <c:v>44120</c:v>
                </c:pt>
                <c:pt idx="237">
                  <c:v>44123</c:v>
                </c:pt>
                <c:pt idx="238">
                  <c:v>44124</c:v>
                </c:pt>
                <c:pt idx="239">
                  <c:v>44125</c:v>
                </c:pt>
                <c:pt idx="240">
                  <c:v>44126</c:v>
                </c:pt>
                <c:pt idx="241">
                  <c:v>44127</c:v>
                </c:pt>
                <c:pt idx="242">
                  <c:v>44130</c:v>
                </c:pt>
                <c:pt idx="243">
                  <c:v>44131</c:v>
                </c:pt>
                <c:pt idx="244">
                  <c:v>44132</c:v>
                </c:pt>
                <c:pt idx="245">
                  <c:v>44133</c:v>
                </c:pt>
                <c:pt idx="246">
                  <c:v>44134</c:v>
                </c:pt>
                <c:pt idx="247">
                  <c:v>44137</c:v>
                </c:pt>
                <c:pt idx="248">
                  <c:v>44138</c:v>
                </c:pt>
                <c:pt idx="249">
                  <c:v>44139</c:v>
                </c:pt>
                <c:pt idx="250">
                  <c:v>44140</c:v>
                </c:pt>
                <c:pt idx="251">
                  <c:v>44141</c:v>
                </c:pt>
              </c:numCache>
            </c:numRef>
          </c:cat>
          <c:val>
            <c:numRef>
              <c:f>'6050_Module3Project_Data'!$F$2:$F$253</c:f>
              <c:numCache>
                <c:formatCode>General</c:formatCode>
                <c:ptCount val="252"/>
                <c:pt idx="0">
                  <c:v>1636800</c:v>
                </c:pt>
                <c:pt idx="1">
                  <c:v>1594600</c:v>
                </c:pt>
                <c:pt idx="2">
                  <c:v>1816900</c:v>
                </c:pt>
                <c:pt idx="3">
                  <c:v>1855200</c:v>
                </c:pt>
                <c:pt idx="4">
                  <c:v>2208300</c:v>
                </c:pt>
                <c:pt idx="5">
                  <c:v>3242700</c:v>
                </c:pt>
                <c:pt idx="6">
                  <c:v>2405800</c:v>
                </c:pt>
                <c:pt idx="7">
                  <c:v>2673200</c:v>
                </c:pt>
                <c:pt idx="8">
                  <c:v>4190700</c:v>
                </c:pt>
                <c:pt idx="9">
                  <c:v>3135100</c:v>
                </c:pt>
                <c:pt idx="10">
                  <c:v>1852200</c:v>
                </c:pt>
                <c:pt idx="11">
                  <c:v>2657500</c:v>
                </c:pt>
                <c:pt idx="12">
                  <c:v>4578900</c:v>
                </c:pt>
                <c:pt idx="13">
                  <c:v>1044800</c:v>
                </c:pt>
                <c:pt idx="14">
                  <c:v>1633100</c:v>
                </c:pt>
                <c:pt idx="15">
                  <c:v>3053500</c:v>
                </c:pt>
                <c:pt idx="16">
                  <c:v>3775500</c:v>
                </c:pt>
                <c:pt idx="17">
                  <c:v>2933400</c:v>
                </c:pt>
                <c:pt idx="18">
                  <c:v>2342100</c:v>
                </c:pt>
                <c:pt idx="19">
                  <c:v>2118000</c:v>
                </c:pt>
                <c:pt idx="20">
                  <c:v>1556500</c:v>
                </c:pt>
                <c:pt idx="21">
                  <c:v>2027800</c:v>
                </c:pt>
                <c:pt idx="22">
                  <c:v>2174100</c:v>
                </c:pt>
                <c:pt idx="23">
                  <c:v>2277600</c:v>
                </c:pt>
                <c:pt idx="24">
                  <c:v>2050200</c:v>
                </c:pt>
                <c:pt idx="25">
                  <c:v>3207600</c:v>
                </c:pt>
                <c:pt idx="26">
                  <c:v>3039800</c:v>
                </c:pt>
                <c:pt idx="27">
                  <c:v>3614700</c:v>
                </c:pt>
                <c:pt idx="28">
                  <c:v>2680600</c:v>
                </c:pt>
                <c:pt idx="29">
                  <c:v>4351900</c:v>
                </c:pt>
                <c:pt idx="30">
                  <c:v>2577700</c:v>
                </c:pt>
                <c:pt idx="31">
                  <c:v>625500</c:v>
                </c:pt>
                <c:pt idx="32">
                  <c:v>1269700</c:v>
                </c:pt>
                <c:pt idx="33">
                  <c:v>1303900</c:v>
                </c:pt>
                <c:pt idx="34">
                  <c:v>1670100</c:v>
                </c:pt>
                <c:pt idx="35">
                  <c:v>1728900</c:v>
                </c:pt>
                <c:pt idx="36">
                  <c:v>2857400</c:v>
                </c:pt>
                <c:pt idx="37">
                  <c:v>2805200</c:v>
                </c:pt>
                <c:pt idx="38">
                  <c:v>3277900</c:v>
                </c:pt>
                <c:pt idx="39">
                  <c:v>3002800</c:v>
                </c:pt>
                <c:pt idx="40">
                  <c:v>2545500</c:v>
                </c:pt>
                <c:pt idx="41">
                  <c:v>1789500</c:v>
                </c:pt>
                <c:pt idx="42">
                  <c:v>1671700</c:v>
                </c:pt>
                <c:pt idx="43">
                  <c:v>2261900</c:v>
                </c:pt>
                <c:pt idx="44">
                  <c:v>2191200</c:v>
                </c:pt>
                <c:pt idx="45">
                  <c:v>2600800</c:v>
                </c:pt>
                <c:pt idx="46">
                  <c:v>2215400</c:v>
                </c:pt>
                <c:pt idx="47">
                  <c:v>2608000</c:v>
                </c:pt>
                <c:pt idx="48">
                  <c:v>2188600</c:v>
                </c:pt>
                <c:pt idx="49">
                  <c:v>1881700</c:v>
                </c:pt>
                <c:pt idx="50">
                  <c:v>2434000</c:v>
                </c:pt>
                <c:pt idx="51">
                  <c:v>2737000</c:v>
                </c:pt>
                <c:pt idx="52">
                  <c:v>2491500</c:v>
                </c:pt>
                <c:pt idx="53">
                  <c:v>2178400</c:v>
                </c:pt>
                <c:pt idx="54">
                  <c:v>2199000</c:v>
                </c:pt>
                <c:pt idx="55">
                  <c:v>3076100</c:v>
                </c:pt>
                <c:pt idx="56">
                  <c:v>5500000</c:v>
                </c:pt>
                <c:pt idx="57">
                  <c:v>3542700</c:v>
                </c:pt>
                <c:pt idx="58">
                  <c:v>2992500</c:v>
                </c:pt>
                <c:pt idx="59">
                  <c:v>2818100</c:v>
                </c:pt>
                <c:pt idx="60">
                  <c:v>2427500</c:v>
                </c:pt>
                <c:pt idx="61">
                  <c:v>3254500</c:v>
                </c:pt>
                <c:pt idx="62">
                  <c:v>2399700</c:v>
                </c:pt>
                <c:pt idx="63">
                  <c:v>2948500</c:v>
                </c:pt>
                <c:pt idx="64">
                  <c:v>2950800</c:v>
                </c:pt>
                <c:pt idx="65">
                  <c:v>1985700</c:v>
                </c:pt>
                <c:pt idx="66">
                  <c:v>2489000</c:v>
                </c:pt>
                <c:pt idx="67">
                  <c:v>1818600</c:v>
                </c:pt>
                <c:pt idx="68">
                  <c:v>2464500</c:v>
                </c:pt>
                <c:pt idx="69">
                  <c:v>2336800</c:v>
                </c:pt>
                <c:pt idx="70">
                  <c:v>1940400</c:v>
                </c:pt>
                <c:pt idx="71">
                  <c:v>3204300</c:v>
                </c:pt>
                <c:pt idx="72">
                  <c:v>4092200</c:v>
                </c:pt>
                <c:pt idx="73">
                  <c:v>3411700</c:v>
                </c:pt>
                <c:pt idx="74">
                  <c:v>3951300</c:v>
                </c:pt>
                <c:pt idx="75">
                  <c:v>9558100</c:v>
                </c:pt>
                <c:pt idx="76">
                  <c:v>6744900</c:v>
                </c:pt>
                <c:pt idx="77">
                  <c:v>6108500</c:v>
                </c:pt>
                <c:pt idx="78">
                  <c:v>4532500</c:v>
                </c:pt>
                <c:pt idx="79">
                  <c:v>5394700</c:v>
                </c:pt>
                <c:pt idx="80">
                  <c:v>5021600</c:v>
                </c:pt>
                <c:pt idx="81">
                  <c:v>5849000</c:v>
                </c:pt>
                <c:pt idx="82">
                  <c:v>5477600</c:v>
                </c:pt>
                <c:pt idx="83">
                  <c:v>4826900</c:v>
                </c:pt>
                <c:pt idx="84">
                  <c:v>7170500</c:v>
                </c:pt>
                <c:pt idx="85">
                  <c:v>6324800</c:v>
                </c:pt>
                <c:pt idx="86">
                  <c:v>5891000</c:v>
                </c:pt>
                <c:pt idx="87">
                  <c:v>8524800</c:v>
                </c:pt>
                <c:pt idx="88">
                  <c:v>7633900</c:v>
                </c:pt>
                <c:pt idx="89">
                  <c:v>6814100</c:v>
                </c:pt>
                <c:pt idx="90">
                  <c:v>6801200</c:v>
                </c:pt>
                <c:pt idx="91">
                  <c:v>8200400</c:v>
                </c:pt>
                <c:pt idx="92">
                  <c:v>5799100</c:v>
                </c:pt>
                <c:pt idx="93">
                  <c:v>7159100</c:v>
                </c:pt>
                <c:pt idx="94">
                  <c:v>5594400</c:v>
                </c:pt>
                <c:pt idx="95">
                  <c:v>3924900</c:v>
                </c:pt>
                <c:pt idx="96">
                  <c:v>5035700</c:v>
                </c:pt>
                <c:pt idx="97">
                  <c:v>5296000</c:v>
                </c:pt>
                <c:pt idx="98">
                  <c:v>4246100</c:v>
                </c:pt>
                <c:pt idx="99">
                  <c:v>3504200</c:v>
                </c:pt>
                <c:pt idx="100">
                  <c:v>4031500</c:v>
                </c:pt>
                <c:pt idx="101">
                  <c:v>4874300</c:v>
                </c:pt>
                <c:pt idx="102">
                  <c:v>4051700</c:v>
                </c:pt>
                <c:pt idx="103">
                  <c:v>3890600</c:v>
                </c:pt>
                <c:pt idx="104">
                  <c:v>4365000</c:v>
                </c:pt>
                <c:pt idx="105">
                  <c:v>3016300</c:v>
                </c:pt>
                <c:pt idx="106">
                  <c:v>3486600</c:v>
                </c:pt>
                <c:pt idx="107">
                  <c:v>3252800</c:v>
                </c:pt>
                <c:pt idx="108">
                  <c:v>4016700</c:v>
                </c:pt>
                <c:pt idx="109">
                  <c:v>4750700</c:v>
                </c:pt>
                <c:pt idx="110">
                  <c:v>2529000</c:v>
                </c:pt>
                <c:pt idx="111">
                  <c:v>2418100</c:v>
                </c:pt>
                <c:pt idx="112">
                  <c:v>2629700</c:v>
                </c:pt>
                <c:pt idx="113">
                  <c:v>2786400</c:v>
                </c:pt>
                <c:pt idx="114">
                  <c:v>2837900</c:v>
                </c:pt>
                <c:pt idx="115">
                  <c:v>3137700</c:v>
                </c:pt>
                <c:pt idx="116">
                  <c:v>3377900</c:v>
                </c:pt>
                <c:pt idx="117">
                  <c:v>2651200</c:v>
                </c:pt>
                <c:pt idx="118">
                  <c:v>4492600</c:v>
                </c:pt>
                <c:pt idx="119">
                  <c:v>3681100</c:v>
                </c:pt>
                <c:pt idx="120">
                  <c:v>4123000</c:v>
                </c:pt>
                <c:pt idx="121">
                  <c:v>3122300</c:v>
                </c:pt>
                <c:pt idx="122">
                  <c:v>2349500</c:v>
                </c:pt>
                <c:pt idx="123">
                  <c:v>3096500</c:v>
                </c:pt>
                <c:pt idx="124">
                  <c:v>2740400</c:v>
                </c:pt>
                <c:pt idx="125">
                  <c:v>2356400</c:v>
                </c:pt>
                <c:pt idx="126">
                  <c:v>4870400</c:v>
                </c:pt>
                <c:pt idx="127">
                  <c:v>5786200</c:v>
                </c:pt>
                <c:pt idx="128">
                  <c:v>5226200</c:v>
                </c:pt>
                <c:pt idx="129">
                  <c:v>4660300</c:v>
                </c:pt>
                <c:pt idx="130">
                  <c:v>6405800</c:v>
                </c:pt>
                <c:pt idx="131">
                  <c:v>4427800</c:v>
                </c:pt>
                <c:pt idx="132">
                  <c:v>2949700</c:v>
                </c:pt>
                <c:pt idx="133">
                  <c:v>2374300</c:v>
                </c:pt>
                <c:pt idx="134">
                  <c:v>2958000</c:v>
                </c:pt>
                <c:pt idx="135">
                  <c:v>4370200</c:v>
                </c:pt>
                <c:pt idx="136">
                  <c:v>4291700</c:v>
                </c:pt>
                <c:pt idx="137">
                  <c:v>3481800</c:v>
                </c:pt>
                <c:pt idx="138">
                  <c:v>4135500</c:v>
                </c:pt>
                <c:pt idx="139">
                  <c:v>2071100</c:v>
                </c:pt>
                <c:pt idx="140">
                  <c:v>3625800</c:v>
                </c:pt>
                <c:pt idx="141">
                  <c:v>2992700</c:v>
                </c:pt>
                <c:pt idx="142">
                  <c:v>3768200</c:v>
                </c:pt>
                <c:pt idx="143">
                  <c:v>4524900</c:v>
                </c:pt>
                <c:pt idx="144">
                  <c:v>3573400</c:v>
                </c:pt>
                <c:pt idx="145">
                  <c:v>3679100</c:v>
                </c:pt>
                <c:pt idx="146">
                  <c:v>3309800</c:v>
                </c:pt>
                <c:pt idx="147">
                  <c:v>4184900</c:v>
                </c:pt>
                <c:pt idx="148">
                  <c:v>3612400</c:v>
                </c:pt>
                <c:pt idx="149">
                  <c:v>3314000</c:v>
                </c:pt>
                <c:pt idx="150">
                  <c:v>3804500</c:v>
                </c:pt>
                <c:pt idx="151">
                  <c:v>3507600</c:v>
                </c:pt>
                <c:pt idx="152">
                  <c:v>2581600</c:v>
                </c:pt>
                <c:pt idx="153">
                  <c:v>5265900</c:v>
                </c:pt>
                <c:pt idx="154">
                  <c:v>2529900</c:v>
                </c:pt>
                <c:pt idx="155">
                  <c:v>2309800</c:v>
                </c:pt>
                <c:pt idx="156">
                  <c:v>3371200</c:v>
                </c:pt>
                <c:pt idx="157">
                  <c:v>4019000</c:v>
                </c:pt>
                <c:pt idx="158">
                  <c:v>10255300</c:v>
                </c:pt>
                <c:pt idx="159">
                  <c:v>2971200</c:v>
                </c:pt>
                <c:pt idx="160">
                  <c:v>3688000</c:v>
                </c:pt>
                <c:pt idx="161">
                  <c:v>2609500</c:v>
                </c:pt>
                <c:pt idx="162">
                  <c:v>2758500</c:v>
                </c:pt>
                <c:pt idx="163">
                  <c:v>2336700</c:v>
                </c:pt>
                <c:pt idx="164">
                  <c:v>2622000</c:v>
                </c:pt>
                <c:pt idx="165">
                  <c:v>3587800</c:v>
                </c:pt>
                <c:pt idx="166">
                  <c:v>3167200</c:v>
                </c:pt>
                <c:pt idx="167">
                  <c:v>2325000</c:v>
                </c:pt>
                <c:pt idx="168">
                  <c:v>2585700</c:v>
                </c:pt>
                <c:pt idx="169">
                  <c:v>2649800</c:v>
                </c:pt>
                <c:pt idx="170">
                  <c:v>2984600</c:v>
                </c:pt>
                <c:pt idx="171">
                  <c:v>3697600</c:v>
                </c:pt>
                <c:pt idx="172">
                  <c:v>4886500</c:v>
                </c:pt>
                <c:pt idx="173">
                  <c:v>4876200</c:v>
                </c:pt>
                <c:pt idx="174">
                  <c:v>2394000</c:v>
                </c:pt>
                <c:pt idx="175">
                  <c:v>1798600</c:v>
                </c:pt>
                <c:pt idx="176">
                  <c:v>2625600</c:v>
                </c:pt>
                <c:pt idx="177">
                  <c:v>4368300</c:v>
                </c:pt>
                <c:pt idx="178">
                  <c:v>3378300</c:v>
                </c:pt>
                <c:pt idx="179">
                  <c:v>3904200</c:v>
                </c:pt>
                <c:pt idx="180">
                  <c:v>3311500</c:v>
                </c:pt>
                <c:pt idx="181">
                  <c:v>2749100</c:v>
                </c:pt>
                <c:pt idx="182">
                  <c:v>4061200</c:v>
                </c:pt>
                <c:pt idx="183">
                  <c:v>2105400</c:v>
                </c:pt>
                <c:pt idx="184">
                  <c:v>3078300</c:v>
                </c:pt>
                <c:pt idx="185">
                  <c:v>4181000</c:v>
                </c:pt>
                <c:pt idx="186">
                  <c:v>2502700</c:v>
                </c:pt>
                <c:pt idx="187">
                  <c:v>2519500</c:v>
                </c:pt>
                <c:pt idx="188">
                  <c:v>2858800</c:v>
                </c:pt>
                <c:pt idx="189">
                  <c:v>3773700</c:v>
                </c:pt>
                <c:pt idx="190">
                  <c:v>2670100</c:v>
                </c:pt>
                <c:pt idx="191">
                  <c:v>2574900</c:v>
                </c:pt>
                <c:pt idx="192">
                  <c:v>2844700</c:v>
                </c:pt>
                <c:pt idx="193">
                  <c:v>2817200</c:v>
                </c:pt>
                <c:pt idx="194">
                  <c:v>1869300</c:v>
                </c:pt>
                <c:pt idx="195">
                  <c:v>2098100</c:v>
                </c:pt>
                <c:pt idx="196">
                  <c:v>1600300</c:v>
                </c:pt>
                <c:pt idx="197">
                  <c:v>2507800</c:v>
                </c:pt>
                <c:pt idx="198">
                  <c:v>2087000</c:v>
                </c:pt>
                <c:pt idx="199">
                  <c:v>7400500</c:v>
                </c:pt>
                <c:pt idx="200">
                  <c:v>3466600</c:v>
                </c:pt>
                <c:pt idx="201">
                  <c:v>4281100</c:v>
                </c:pt>
                <c:pt idx="202">
                  <c:v>13011800</c:v>
                </c:pt>
                <c:pt idx="203">
                  <c:v>4561900</c:v>
                </c:pt>
                <c:pt idx="204">
                  <c:v>3975100</c:v>
                </c:pt>
                <c:pt idx="205">
                  <c:v>4111900</c:v>
                </c:pt>
                <c:pt idx="206">
                  <c:v>3527700</c:v>
                </c:pt>
                <c:pt idx="207">
                  <c:v>3326500</c:v>
                </c:pt>
                <c:pt idx="208">
                  <c:v>2796800</c:v>
                </c:pt>
                <c:pt idx="209">
                  <c:v>2807500</c:v>
                </c:pt>
                <c:pt idx="210">
                  <c:v>2814900</c:v>
                </c:pt>
                <c:pt idx="211">
                  <c:v>2116700</c:v>
                </c:pt>
                <c:pt idx="212">
                  <c:v>2134000</c:v>
                </c:pt>
                <c:pt idx="213">
                  <c:v>1851200</c:v>
                </c:pt>
                <c:pt idx="214">
                  <c:v>3152000</c:v>
                </c:pt>
                <c:pt idx="215">
                  <c:v>2661400</c:v>
                </c:pt>
                <c:pt idx="216">
                  <c:v>4908000</c:v>
                </c:pt>
                <c:pt idx="217">
                  <c:v>4459600</c:v>
                </c:pt>
                <c:pt idx="218">
                  <c:v>2501000</c:v>
                </c:pt>
                <c:pt idx="219">
                  <c:v>2507600</c:v>
                </c:pt>
                <c:pt idx="220">
                  <c:v>2238300</c:v>
                </c:pt>
                <c:pt idx="221">
                  <c:v>2593900</c:v>
                </c:pt>
                <c:pt idx="222">
                  <c:v>2512600</c:v>
                </c:pt>
                <c:pt idx="223">
                  <c:v>2169300</c:v>
                </c:pt>
                <c:pt idx="224">
                  <c:v>2883400</c:v>
                </c:pt>
                <c:pt idx="225">
                  <c:v>2409300</c:v>
                </c:pt>
                <c:pt idx="226">
                  <c:v>2339900</c:v>
                </c:pt>
                <c:pt idx="227">
                  <c:v>1750000</c:v>
                </c:pt>
                <c:pt idx="228">
                  <c:v>2345800</c:v>
                </c:pt>
                <c:pt idx="229">
                  <c:v>2030200</c:v>
                </c:pt>
                <c:pt idx="230">
                  <c:v>1977900</c:v>
                </c:pt>
                <c:pt idx="231">
                  <c:v>2636900</c:v>
                </c:pt>
                <c:pt idx="232">
                  <c:v>3396300</c:v>
                </c:pt>
                <c:pt idx="233">
                  <c:v>2315300</c:v>
                </c:pt>
                <c:pt idx="234">
                  <c:v>2386400</c:v>
                </c:pt>
                <c:pt idx="235">
                  <c:v>2436600</c:v>
                </c:pt>
                <c:pt idx="236">
                  <c:v>3628800</c:v>
                </c:pt>
                <c:pt idx="237">
                  <c:v>2103500</c:v>
                </c:pt>
                <c:pt idx="238">
                  <c:v>1580300</c:v>
                </c:pt>
                <c:pt idx="239">
                  <c:v>1827000</c:v>
                </c:pt>
                <c:pt idx="240">
                  <c:v>1882100</c:v>
                </c:pt>
                <c:pt idx="241">
                  <c:v>1987900</c:v>
                </c:pt>
                <c:pt idx="242">
                  <c:v>2323700</c:v>
                </c:pt>
                <c:pt idx="243">
                  <c:v>2009300</c:v>
                </c:pt>
                <c:pt idx="244">
                  <c:v>3233500</c:v>
                </c:pt>
                <c:pt idx="245">
                  <c:v>3113600</c:v>
                </c:pt>
                <c:pt idx="246">
                  <c:v>4389500</c:v>
                </c:pt>
                <c:pt idx="247">
                  <c:v>4198300</c:v>
                </c:pt>
                <c:pt idx="248">
                  <c:v>3719800</c:v>
                </c:pt>
                <c:pt idx="249">
                  <c:v>4318600</c:v>
                </c:pt>
                <c:pt idx="250">
                  <c:v>4585100</c:v>
                </c:pt>
                <c:pt idx="251">
                  <c:v>3080300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578-4A78-B54B-5D16D23F6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6459119"/>
        <c:axId val="1636449039"/>
      </c:lineChart>
      <c:dateAx>
        <c:axId val="1636459119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449039"/>
        <c:crosses val="autoZero"/>
        <c:auto val="1"/>
        <c:lblOffset val="100"/>
        <c:baseTimeUnit val="days"/>
      </c:dateAx>
      <c:valAx>
        <c:axId val="1636449039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45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cap="none" baseline="0">
                <a:solidFill>
                  <a:sysClr val="windowText" lastClr="000000"/>
                </a:solidFill>
              </a:rPr>
              <a:t>Apple/Honeywell Yearly Stock Behaviors</a:t>
            </a:r>
          </a:p>
        </c:rich>
      </c:tx>
      <c:layout>
        <c:manualLayout>
          <c:xMode val="edge"/>
          <c:yMode val="edge"/>
          <c:x val="0.16531933508311464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'6050_Module3Project_Data'!$C$1</c:f>
              <c:strCache>
                <c:ptCount val="1"/>
                <c:pt idx="0">
                  <c:v>AAPL (Apple Inc) / $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'6050_Module3Project_Data'!$A$2:$A$258</c:f>
              <c:numCache>
                <c:formatCode>m/d/yyyy</c:formatCode>
                <c:ptCount val="257"/>
                <c:pt idx="0">
                  <c:v>43777</c:v>
                </c:pt>
                <c:pt idx="1">
                  <c:v>43780</c:v>
                </c:pt>
                <c:pt idx="2">
                  <c:v>43781</c:v>
                </c:pt>
                <c:pt idx="3">
                  <c:v>43782</c:v>
                </c:pt>
                <c:pt idx="4">
                  <c:v>43783</c:v>
                </c:pt>
                <c:pt idx="5">
                  <c:v>43784</c:v>
                </c:pt>
                <c:pt idx="6">
                  <c:v>43787</c:v>
                </c:pt>
                <c:pt idx="7">
                  <c:v>43788</c:v>
                </c:pt>
                <c:pt idx="8">
                  <c:v>43789</c:v>
                </c:pt>
                <c:pt idx="9">
                  <c:v>43790</c:v>
                </c:pt>
                <c:pt idx="10">
                  <c:v>43791</c:v>
                </c:pt>
                <c:pt idx="11">
                  <c:v>43794</c:v>
                </c:pt>
                <c:pt idx="12">
                  <c:v>43795</c:v>
                </c:pt>
                <c:pt idx="13">
                  <c:v>43796</c:v>
                </c:pt>
                <c:pt idx="14">
                  <c:v>43798</c:v>
                </c:pt>
                <c:pt idx="15">
                  <c:v>43801</c:v>
                </c:pt>
                <c:pt idx="16">
                  <c:v>43802</c:v>
                </c:pt>
                <c:pt idx="17">
                  <c:v>43803</c:v>
                </c:pt>
                <c:pt idx="18">
                  <c:v>43804</c:v>
                </c:pt>
                <c:pt idx="19">
                  <c:v>43805</c:v>
                </c:pt>
                <c:pt idx="20">
                  <c:v>43808</c:v>
                </c:pt>
                <c:pt idx="21">
                  <c:v>43809</c:v>
                </c:pt>
                <c:pt idx="22">
                  <c:v>43810</c:v>
                </c:pt>
                <c:pt idx="23">
                  <c:v>43811</c:v>
                </c:pt>
                <c:pt idx="24">
                  <c:v>43812</c:v>
                </c:pt>
                <c:pt idx="25">
                  <c:v>43815</c:v>
                </c:pt>
                <c:pt idx="26">
                  <c:v>43816</c:v>
                </c:pt>
                <c:pt idx="27">
                  <c:v>43817</c:v>
                </c:pt>
                <c:pt idx="28">
                  <c:v>43818</c:v>
                </c:pt>
                <c:pt idx="29">
                  <c:v>43819</c:v>
                </c:pt>
                <c:pt idx="30">
                  <c:v>43822</c:v>
                </c:pt>
                <c:pt idx="31">
                  <c:v>43823</c:v>
                </c:pt>
                <c:pt idx="32">
                  <c:v>43825</c:v>
                </c:pt>
                <c:pt idx="33">
                  <c:v>43826</c:v>
                </c:pt>
                <c:pt idx="34">
                  <c:v>43829</c:v>
                </c:pt>
                <c:pt idx="35">
                  <c:v>43830</c:v>
                </c:pt>
                <c:pt idx="36">
                  <c:v>43832</c:v>
                </c:pt>
                <c:pt idx="37">
                  <c:v>43833</c:v>
                </c:pt>
                <c:pt idx="38">
                  <c:v>43836</c:v>
                </c:pt>
                <c:pt idx="39">
                  <c:v>43837</c:v>
                </c:pt>
                <c:pt idx="40">
                  <c:v>43838</c:v>
                </c:pt>
                <c:pt idx="41">
                  <c:v>43839</c:v>
                </c:pt>
                <c:pt idx="42">
                  <c:v>43840</c:v>
                </c:pt>
                <c:pt idx="43">
                  <c:v>43843</c:v>
                </c:pt>
                <c:pt idx="44">
                  <c:v>43844</c:v>
                </c:pt>
                <c:pt idx="45">
                  <c:v>43845</c:v>
                </c:pt>
                <c:pt idx="46">
                  <c:v>43846</c:v>
                </c:pt>
                <c:pt idx="47">
                  <c:v>43847</c:v>
                </c:pt>
                <c:pt idx="48">
                  <c:v>43851</c:v>
                </c:pt>
                <c:pt idx="49">
                  <c:v>43852</c:v>
                </c:pt>
                <c:pt idx="50">
                  <c:v>43853</c:v>
                </c:pt>
                <c:pt idx="51">
                  <c:v>43854</c:v>
                </c:pt>
                <c:pt idx="52">
                  <c:v>43857</c:v>
                </c:pt>
                <c:pt idx="53">
                  <c:v>43858</c:v>
                </c:pt>
                <c:pt idx="54">
                  <c:v>43859</c:v>
                </c:pt>
                <c:pt idx="55">
                  <c:v>43860</c:v>
                </c:pt>
                <c:pt idx="56">
                  <c:v>43861</c:v>
                </c:pt>
                <c:pt idx="57">
                  <c:v>43864</c:v>
                </c:pt>
                <c:pt idx="58">
                  <c:v>43865</c:v>
                </c:pt>
                <c:pt idx="59">
                  <c:v>43866</c:v>
                </c:pt>
                <c:pt idx="60">
                  <c:v>43867</c:v>
                </c:pt>
                <c:pt idx="61">
                  <c:v>43868</c:v>
                </c:pt>
                <c:pt idx="62">
                  <c:v>43871</c:v>
                </c:pt>
                <c:pt idx="63">
                  <c:v>43872</c:v>
                </c:pt>
                <c:pt idx="64">
                  <c:v>43873</c:v>
                </c:pt>
                <c:pt idx="65">
                  <c:v>43874</c:v>
                </c:pt>
                <c:pt idx="66">
                  <c:v>43875</c:v>
                </c:pt>
                <c:pt idx="67">
                  <c:v>43879</c:v>
                </c:pt>
                <c:pt idx="68">
                  <c:v>43880</c:v>
                </c:pt>
                <c:pt idx="69">
                  <c:v>43881</c:v>
                </c:pt>
                <c:pt idx="70">
                  <c:v>43882</c:v>
                </c:pt>
                <c:pt idx="71">
                  <c:v>43885</c:v>
                </c:pt>
                <c:pt idx="72">
                  <c:v>43886</c:v>
                </c:pt>
                <c:pt idx="73">
                  <c:v>43887</c:v>
                </c:pt>
                <c:pt idx="74">
                  <c:v>43888</c:v>
                </c:pt>
                <c:pt idx="75">
                  <c:v>43889</c:v>
                </c:pt>
                <c:pt idx="76">
                  <c:v>43892</c:v>
                </c:pt>
                <c:pt idx="77">
                  <c:v>43893</c:v>
                </c:pt>
                <c:pt idx="78">
                  <c:v>43894</c:v>
                </c:pt>
                <c:pt idx="79">
                  <c:v>43895</c:v>
                </c:pt>
                <c:pt idx="80">
                  <c:v>43896</c:v>
                </c:pt>
                <c:pt idx="81">
                  <c:v>43899</c:v>
                </c:pt>
                <c:pt idx="82">
                  <c:v>43900</c:v>
                </c:pt>
                <c:pt idx="83">
                  <c:v>43901</c:v>
                </c:pt>
                <c:pt idx="84">
                  <c:v>43902</c:v>
                </c:pt>
                <c:pt idx="85">
                  <c:v>43903</c:v>
                </c:pt>
                <c:pt idx="86">
                  <c:v>43906</c:v>
                </c:pt>
                <c:pt idx="87">
                  <c:v>43907</c:v>
                </c:pt>
                <c:pt idx="88">
                  <c:v>43908</c:v>
                </c:pt>
                <c:pt idx="89">
                  <c:v>43909</c:v>
                </c:pt>
                <c:pt idx="90">
                  <c:v>43910</c:v>
                </c:pt>
                <c:pt idx="91">
                  <c:v>43913</c:v>
                </c:pt>
                <c:pt idx="92">
                  <c:v>43914</c:v>
                </c:pt>
                <c:pt idx="93">
                  <c:v>43915</c:v>
                </c:pt>
                <c:pt idx="94">
                  <c:v>43916</c:v>
                </c:pt>
                <c:pt idx="95">
                  <c:v>43917</c:v>
                </c:pt>
                <c:pt idx="96">
                  <c:v>43920</c:v>
                </c:pt>
                <c:pt idx="97">
                  <c:v>43921</c:v>
                </c:pt>
                <c:pt idx="98">
                  <c:v>43922</c:v>
                </c:pt>
                <c:pt idx="99">
                  <c:v>43923</c:v>
                </c:pt>
                <c:pt idx="100">
                  <c:v>43924</c:v>
                </c:pt>
                <c:pt idx="101">
                  <c:v>43927</c:v>
                </c:pt>
                <c:pt idx="102">
                  <c:v>43928</c:v>
                </c:pt>
                <c:pt idx="103">
                  <c:v>43929</c:v>
                </c:pt>
                <c:pt idx="104">
                  <c:v>43930</c:v>
                </c:pt>
                <c:pt idx="105">
                  <c:v>43934</c:v>
                </c:pt>
                <c:pt idx="106">
                  <c:v>43935</c:v>
                </c:pt>
                <c:pt idx="107">
                  <c:v>43936</c:v>
                </c:pt>
                <c:pt idx="108">
                  <c:v>43937</c:v>
                </c:pt>
                <c:pt idx="109">
                  <c:v>43938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43948</c:v>
                </c:pt>
                <c:pt idx="116">
                  <c:v>43949</c:v>
                </c:pt>
                <c:pt idx="117">
                  <c:v>43950</c:v>
                </c:pt>
                <c:pt idx="118">
                  <c:v>43951</c:v>
                </c:pt>
                <c:pt idx="119">
                  <c:v>43952</c:v>
                </c:pt>
                <c:pt idx="120">
                  <c:v>43955</c:v>
                </c:pt>
                <c:pt idx="121">
                  <c:v>43956</c:v>
                </c:pt>
                <c:pt idx="122">
                  <c:v>43957</c:v>
                </c:pt>
                <c:pt idx="123">
                  <c:v>43958</c:v>
                </c:pt>
                <c:pt idx="124">
                  <c:v>43959</c:v>
                </c:pt>
                <c:pt idx="125">
                  <c:v>43962</c:v>
                </c:pt>
                <c:pt idx="126">
                  <c:v>43963</c:v>
                </c:pt>
                <c:pt idx="127">
                  <c:v>43964</c:v>
                </c:pt>
                <c:pt idx="128">
                  <c:v>43965</c:v>
                </c:pt>
                <c:pt idx="129">
                  <c:v>43966</c:v>
                </c:pt>
                <c:pt idx="130">
                  <c:v>43969</c:v>
                </c:pt>
                <c:pt idx="131">
                  <c:v>43970</c:v>
                </c:pt>
                <c:pt idx="132">
                  <c:v>43971</c:v>
                </c:pt>
                <c:pt idx="133">
                  <c:v>43972</c:v>
                </c:pt>
                <c:pt idx="134">
                  <c:v>43973</c:v>
                </c:pt>
                <c:pt idx="135">
                  <c:v>43977</c:v>
                </c:pt>
                <c:pt idx="136">
                  <c:v>43978</c:v>
                </c:pt>
                <c:pt idx="137">
                  <c:v>43979</c:v>
                </c:pt>
                <c:pt idx="138">
                  <c:v>43980</c:v>
                </c:pt>
                <c:pt idx="139">
                  <c:v>43983</c:v>
                </c:pt>
                <c:pt idx="140">
                  <c:v>43984</c:v>
                </c:pt>
                <c:pt idx="141">
                  <c:v>43985</c:v>
                </c:pt>
                <c:pt idx="142">
                  <c:v>43986</c:v>
                </c:pt>
                <c:pt idx="143">
                  <c:v>43987</c:v>
                </c:pt>
                <c:pt idx="144">
                  <c:v>43990</c:v>
                </c:pt>
                <c:pt idx="145">
                  <c:v>43991</c:v>
                </c:pt>
                <c:pt idx="146">
                  <c:v>43992</c:v>
                </c:pt>
                <c:pt idx="147">
                  <c:v>43993</c:v>
                </c:pt>
                <c:pt idx="148">
                  <c:v>43994</c:v>
                </c:pt>
                <c:pt idx="149">
                  <c:v>43997</c:v>
                </c:pt>
                <c:pt idx="150">
                  <c:v>43998</c:v>
                </c:pt>
                <c:pt idx="151">
                  <c:v>43999</c:v>
                </c:pt>
                <c:pt idx="152">
                  <c:v>44000</c:v>
                </c:pt>
                <c:pt idx="153">
                  <c:v>44001</c:v>
                </c:pt>
                <c:pt idx="154">
                  <c:v>44004</c:v>
                </c:pt>
                <c:pt idx="155">
                  <c:v>44005</c:v>
                </c:pt>
                <c:pt idx="156">
                  <c:v>44006</c:v>
                </c:pt>
                <c:pt idx="157">
                  <c:v>44007</c:v>
                </c:pt>
                <c:pt idx="158">
                  <c:v>44008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44018</c:v>
                </c:pt>
                <c:pt idx="164">
                  <c:v>44019</c:v>
                </c:pt>
                <c:pt idx="165">
                  <c:v>44020</c:v>
                </c:pt>
                <c:pt idx="166">
                  <c:v>44021</c:v>
                </c:pt>
                <c:pt idx="167">
                  <c:v>44022</c:v>
                </c:pt>
                <c:pt idx="168">
                  <c:v>44025</c:v>
                </c:pt>
                <c:pt idx="169">
                  <c:v>44026</c:v>
                </c:pt>
                <c:pt idx="170">
                  <c:v>44027</c:v>
                </c:pt>
                <c:pt idx="171">
                  <c:v>44028</c:v>
                </c:pt>
                <c:pt idx="172">
                  <c:v>44029</c:v>
                </c:pt>
                <c:pt idx="173">
                  <c:v>44032</c:v>
                </c:pt>
                <c:pt idx="174">
                  <c:v>44033</c:v>
                </c:pt>
                <c:pt idx="175">
                  <c:v>44034</c:v>
                </c:pt>
                <c:pt idx="176">
                  <c:v>44035</c:v>
                </c:pt>
                <c:pt idx="177">
                  <c:v>44036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44046</c:v>
                </c:pt>
                <c:pt idx="184">
                  <c:v>44047</c:v>
                </c:pt>
                <c:pt idx="185">
                  <c:v>44048</c:v>
                </c:pt>
                <c:pt idx="186">
                  <c:v>44049</c:v>
                </c:pt>
                <c:pt idx="187">
                  <c:v>44050</c:v>
                </c:pt>
                <c:pt idx="188">
                  <c:v>44053</c:v>
                </c:pt>
                <c:pt idx="189">
                  <c:v>44054</c:v>
                </c:pt>
                <c:pt idx="190">
                  <c:v>44055</c:v>
                </c:pt>
                <c:pt idx="191">
                  <c:v>44056</c:v>
                </c:pt>
                <c:pt idx="192">
                  <c:v>44057</c:v>
                </c:pt>
                <c:pt idx="193">
                  <c:v>44060</c:v>
                </c:pt>
                <c:pt idx="194">
                  <c:v>44061</c:v>
                </c:pt>
                <c:pt idx="195">
                  <c:v>44062</c:v>
                </c:pt>
                <c:pt idx="196">
                  <c:v>44063</c:v>
                </c:pt>
                <c:pt idx="197">
                  <c:v>44064</c:v>
                </c:pt>
                <c:pt idx="198">
                  <c:v>44067</c:v>
                </c:pt>
                <c:pt idx="199">
                  <c:v>44068</c:v>
                </c:pt>
                <c:pt idx="200">
                  <c:v>44069</c:v>
                </c:pt>
                <c:pt idx="201">
                  <c:v>44070</c:v>
                </c:pt>
                <c:pt idx="202">
                  <c:v>44071</c:v>
                </c:pt>
                <c:pt idx="203">
                  <c:v>44074</c:v>
                </c:pt>
                <c:pt idx="204">
                  <c:v>44075</c:v>
                </c:pt>
                <c:pt idx="205">
                  <c:v>44076</c:v>
                </c:pt>
                <c:pt idx="206">
                  <c:v>44077</c:v>
                </c:pt>
                <c:pt idx="207">
                  <c:v>44078</c:v>
                </c:pt>
                <c:pt idx="208">
                  <c:v>44082</c:v>
                </c:pt>
                <c:pt idx="209">
                  <c:v>44083</c:v>
                </c:pt>
                <c:pt idx="210">
                  <c:v>44084</c:v>
                </c:pt>
                <c:pt idx="211">
                  <c:v>44085</c:v>
                </c:pt>
                <c:pt idx="212">
                  <c:v>44088</c:v>
                </c:pt>
                <c:pt idx="213">
                  <c:v>44089</c:v>
                </c:pt>
                <c:pt idx="214">
                  <c:v>44090</c:v>
                </c:pt>
                <c:pt idx="215">
                  <c:v>44091</c:v>
                </c:pt>
                <c:pt idx="216">
                  <c:v>44092</c:v>
                </c:pt>
                <c:pt idx="217">
                  <c:v>44095</c:v>
                </c:pt>
                <c:pt idx="218">
                  <c:v>44096</c:v>
                </c:pt>
                <c:pt idx="219">
                  <c:v>44097</c:v>
                </c:pt>
                <c:pt idx="220">
                  <c:v>44098</c:v>
                </c:pt>
                <c:pt idx="221">
                  <c:v>44099</c:v>
                </c:pt>
                <c:pt idx="222">
                  <c:v>44102</c:v>
                </c:pt>
                <c:pt idx="223">
                  <c:v>44103</c:v>
                </c:pt>
                <c:pt idx="224">
                  <c:v>44104</c:v>
                </c:pt>
                <c:pt idx="225">
                  <c:v>44105</c:v>
                </c:pt>
                <c:pt idx="226">
                  <c:v>44106</c:v>
                </c:pt>
                <c:pt idx="227">
                  <c:v>44109</c:v>
                </c:pt>
                <c:pt idx="228">
                  <c:v>44110</c:v>
                </c:pt>
                <c:pt idx="229">
                  <c:v>44111</c:v>
                </c:pt>
                <c:pt idx="230">
                  <c:v>44112</c:v>
                </c:pt>
                <c:pt idx="231">
                  <c:v>44113</c:v>
                </c:pt>
                <c:pt idx="232">
                  <c:v>44116</c:v>
                </c:pt>
                <c:pt idx="233">
                  <c:v>44117</c:v>
                </c:pt>
                <c:pt idx="234">
                  <c:v>44118</c:v>
                </c:pt>
                <c:pt idx="235">
                  <c:v>44119</c:v>
                </c:pt>
                <c:pt idx="236">
                  <c:v>44120</c:v>
                </c:pt>
                <c:pt idx="237">
                  <c:v>44123</c:v>
                </c:pt>
                <c:pt idx="238">
                  <c:v>44124</c:v>
                </c:pt>
                <c:pt idx="239">
                  <c:v>44125</c:v>
                </c:pt>
                <c:pt idx="240">
                  <c:v>44126</c:v>
                </c:pt>
                <c:pt idx="241">
                  <c:v>44127</c:v>
                </c:pt>
                <c:pt idx="242">
                  <c:v>44130</c:v>
                </c:pt>
                <c:pt idx="243">
                  <c:v>44131</c:v>
                </c:pt>
                <c:pt idx="244">
                  <c:v>44132</c:v>
                </c:pt>
                <c:pt idx="245">
                  <c:v>44133</c:v>
                </c:pt>
                <c:pt idx="246">
                  <c:v>44134</c:v>
                </c:pt>
                <c:pt idx="247">
                  <c:v>44137</c:v>
                </c:pt>
                <c:pt idx="248">
                  <c:v>44138</c:v>
                </c:pt>
                <c:pt idx="249">
                  <c:v>44139</c:v>
                </c:pt>
                <c:pt idx="250">
                  <c:v>44140</c:v>
                </c:pt>
                <c:pt idx="251">
                  <c:v>44141</c:v>
                </c:pt>
                <c:pt idx="252">
                  <c:v>44144</c:v>
                </c:pt>
                <c:pt idx="253">
                  <c:v>44145</c:v>
                </c:pt>
                <c:pt idx="254">
                  <c:v>44146</c:v>
                </c:pt>
                <c:pt idx="255">
                  <c:v>44147</c:v>
                </c:pt>
                <c:pt idx="256">
                  <c:v>44148</c:v>
                </c:pt>
              </c:numCache>
            </c:numRef>
          </c:cat>
          <c:val>
            <c:numRef>
              <c:f>'6050_Module3Project_Data'!$C$2:$C$258</c:f>
              <c:numCache>
                <c:formatCode>0.00</c:formatCode>
                <c:ptCount val="257"/>
                <c:pt idx="0">
                  <c:v>63.954543999999999</c:v>
                </c:pt>
                <c:pt idx="1">
                  <c:v>64.460991000000007</c:v>
                </c:pt>
                <c:pt idx="2">
                  <c:v>64.401978</c:v>
                </c:pt>
                <c:pt idx="3">
                  <c:v>65.019051000000005</c:v>
                </c:pt>
                <c:pt idx="4">
                  <c:v>64.569159999999997</c:v>
                </c:pt>
                <c:pt idx="5">
                  <c:v>65.336212000000003</c:v>
                </c:pt>
                <c:pt idx="6">
                  <c:v>65.665633999999997</c:v>
                </c:pt>
                <c:pt idx="7">
                  <c:v>65.466507000000007</c:v>
                </c:pt>
                <c:pt idx="8">
                  <c:v>64.704375999999996</c:v>
                </c:pt>
                <c:pt idx="9">
                  <c:v>64.414268000000007</c:v>
                </c:pt>
                <c:pt idx="10">
                  <c:v>64.357726999999997</c:v>
                </c:pt>
                <c:pt idx="11">
                  <c:v>65.486168000000006</c:v>
                </c:pt>
                <c:pt idx="12">
                  <c:v>64.974815000000007</c:v>
                </c:pt>
                <c:pt idx="13">
                  <c:v>65.847565000000003</c:v>
                </c:pt>
                <c:pt idx="14">
                  <c:v>65.702515000000005</c:v>
                </c:pt>
                <c:pt idx="15">
                  <c:v>64.942841000000001</c:v>
                </c:pt>
                <c:pt idx="16">
                  <c:v>63.784916000000003</c:v>
                </c:pt>
                <c:pt idx="17">
                  <c:v>64.347892999999999</c:v>
                </c:pt>
                <c:pt idx="18">
                  <c:v>65.291945999999996</c:v>
                </c:pt>
                <c:pt idx="19">
                  <c:v>66.553130999999993</c:v>
                </c:pt>
                <c:pt idx="20">
                  <c:v>65.621384000000006</c:v>
                </c:pt>
                <c:pt idx="21">
                  <c:v>66.004897999999997</c:v>
                </c:pt>
                <c:pt idx="22">
                  <c:v>66.567886000000001</c:v>
                </c:pt>
                <c:pt idx="23">
                  <c:v>66.737517999999994</c:v>
                </c:pt>
                <c:pt idx="24">
                  <c:v>67.644706999999997</c:v>
                </c:pt>
                <c:pt idx="25">
                  <c:v>68.802634999999995</c:v>
                </c:pt>
                <c:pt idx="26">
                  <c:v>68.937850999999995</c:v>
                </c:pt>
                <c:pt idx="27">
                  <c:v>68.773132000000004</c:v>
                </c:pt>
                <c:pt idx="28">
                  <c:v>68.841965000000002</c:v>
                </c:pt>
                <c:pt idx="29">
                  <c:v>68.699387000000002</c:v>
                </c:pt>
                <c:pt idx="30">
                  <c:v>69.820442</c:v>
                </c:pt>
                <c:pt idx="31">
                  <c:v>69.886818000000005</c:v>
                </c:pt>
                <c:pt idx="32">
                  <c:v>71.273392000000001</c:v>
                </c:pt>
                <c:pt idx="33">
                  <c:v>71.246352999999999</c:v>
                </c:pt>
                <c:pt idx="34">
                  <c:v>71.669212000000002</c:v>
                </c:pt>
                <c:pt idx="35">
                  <c:v>72.192863000000003</c:v>
                </c:pt>
                <c:pt idx="36">
                  <c:v>73.840041999999997</c:v>
                </c:pt>
                <c:pt idx="37">
                  <c:v>73.122153999999995</c:v>
                </c:pt>
                <c:pt idx="38">
                  <c:v>73.704819000000001</c:v>
                </c:pt>
                <c:pt idx="39">
                  <c:v>73.358185000000006</c:v>
                </c:pt>
                <c:pt idx="40">
                  <c:v>74.538239000000004</c:v>
                </c:pt>
                <c:pt idx="41">
                  <c:v>76.121498000000003</c:v>
                </c:pt>
                <c:pt idx="42">
                  <c:v>76.293578999999994</c:v>
                </c:pt>
                <c:pt idx="43">
                  <c:v>77.923537999999994</c:v>
                </c:pt>
                <c:pt idx="44">
                  <c:v>76.871323000000004</c:v>
                </c:pt>
                <c:pt idx="45">
                  <c:v>76.541884999999994</c:v>
                </c:pt>
                <c:pt idx="46">
                  <c:v>77.500693999999996</c:v>
                </c:pt>
                <c:pt idx="47">
                  <c:v>78.358695999999995</c:v>
                </c:pt>
                <c:pt idx="48">
                  <c:v>77.827667000000005</c:v>
                </c:pt>
                <c:pt idx="49">
                  <c:v>78.105475999999996</c:v>
                </c:pt>
                <c:pt idx="50">
                  <c:v>78.481621000000004</c:v>
                </c:pt>
                <c:pt idx="51">
                  <c:v>78.255439999999993</c:v>
                </c:pt>
                <c:pt idx="52">
                  <c:v>75.954314999999994</c:v>
                </c:pt>
                <c:pt idx="53">
                  <c:v>78.103012000000007</c:v>
                </c:pt>
                <c:pt idx="54">
                  <c:v>79.737899999999996</c:v>
                </c:pt>
                <c:pt idx="55">
                  <c:v>79.622337000000002</c:v>
                </c:pt>
                <c:pt idx="56">
                  <c:v>76.091994999999997</c:v>
                </c:pt>
                <c:pt idx="57">
                  <c:v>75.883018000000007</c:v>
                </c:pt>
                <c:pt idx="58">
                  <c:v>78.388199</c:v>
                </c:pt>
                <c:pt idx="59">
                  <c:v>79.027405000000002</c:v>
                </c:pt>
                <c:pt idx="60">
                  <c:v>79.951774999999998</c:v>
                </c:pt>
                <c:pt idx="61">
                  <c:v>78.865020999999999</c:v>
                </c:pt>
                <c:pt idx="62">
                  <c:v>79.239593999999997</c:v>
                </c:pt>
                <c:pt idx="63">
                  <c:v>78.761520000000004</c:v>
                </c:pt>
                <c:pt idx="64">
                  <c:v>80.631927000000005</c:v>
                </c:pt>
                <c:pt idx="65">
                  <c:v>80.057738999999998</c:v>
                </c:pt>
                <c:pt idx="66">
                  <c:v>80.077461</c:v>
                </c:pt>
                <c:pt idx="67">
                  <c:v>78.611198000000002</c:v>
                </c:pt>
                <c:pt idx="68">
                  <c:v>79.749701999999999</c:v>
                </c:pt>
                <c:pt idx="69">
                  <c:v>78.931563999999995</c:v>
                </c:pt>
                <c:pt idx="70">
                  <c:v>77.144942999999998</c:v>
                </c:pt>
                <c:pt idx="71">
                  <c:v>73.480521999999993</c:v>
                </c:pt>
                <c:pt idx="72">
                  <c:v>70.991577000000007</c:v>
                </c:pt>
                <c:pt idx="73">
                  <c:v>72.117767000000001</c:v>
                </c:pt>
                <c:pt idx="74">
                  <c:v>67.403557000000006</c:v>
                </c:pt>
                <c:pt idx="75">
                  <c:v>67.364127999999994</c:v>
                </c:pt>
                <c:pt idx="76">
                  <c:v>73.635773</c:v>
                </c:pt>
                <c:pt idx="77">
                  <c:v>71.297156999999999</c:v>
                </c:pt>
                <c:pt idx="78">
                  <c:v>74.604240000000004</c:v>
                </c:pt>
                <c:pt idx="79">
                  <c:v>72.184303</c:v>
                </c:pt>
                <c:pt idx="80">
                  <c:v>71.225684999999999</c:v>
                </c:pt>
                <c:pt idx="81">
                  <c:v>65.592308000000003</c:v>
                </c:pt>
                <c:pt idx="82">
                  <c:v>70.316367999999997</c:v>
                </c:pt>
                <c:pt idx="83">
                  <c:v>67.874245000000002</c:v>
                </c:pt>
                <c:pt idx="84">
                  <c:v>61.171340999999998</c:v>
                </c:pt>
                <c:pt idx="85">
                  <c:v>68.500174999999999</c:v>
                </c:pt>
                <c:pt idx="86">
                  <c:v>59.687832</c:v>
                </c:pt>
                <c:pt idx="87">
                  <c:v>62.312308999999999</c:v>
                </c:pt>
                <c:pt idx="88">
                  <c:v>60.786911000000003</c:v>
                </c:pt>
                <c:pt idx="89">
                  <c:v>60.321156000000002</c:v>
                </c:pt>
                <c:pt idx="90">
                  <c:v>56.491633999999998</c:v>
                </c:pt>
                <c:pt idx="91">
                  <c:v>55.291519000000001</c:v>
                </c:pt>
                <c:pt idx="92">
                  <c:v>60.838661000000002</c:v>
                </c:pt>
                <c:pt idx="93">
                  <c:v>60.503517000000002</c:v>
                </c:pt>
                <c:pt idx="94">
                  <c:v>63.687393</c:v>
                </c:pt>
                <c:pt idx="95">
                  <c:v>61.050593999999997</c:v>
                </c:pt>
                <c:pt idx="96">
                  <c:v>62.792850000000001</c:v>
                </c:pt>
                <c:pt idx="97">
                  <c:v>62.664707</c:v>
                </c:pt>
                <c:pt idx="98">
                  <c:v>59.367474000000001</c:v>
                </c:pt>
                <c:pt idx="99">
                  <c:v>60.35812</c:v>
                </c:pt>
                <c:pt idx="100">
                  <c:v>59.490692000000003</c:v>
                </c:pt>
                <c:pt idx="101">
                  <c:v>64.680503999999999</c:v>
                </c:pt>
                <c:pt idx="102">
                  <c:v>63.931355000000003</c:v>
                </c:pt>
                <c:pt idx="103">
                  <c:v>65.567656999999997</c:v>
                </c:pt>
                <c:pt idx="104">
                  <c:v>66.040801999999999</c:v>
                </c:pt>
                <c:pt idx="105">
                  <c:v>67.337029000000001</c:v>
                </c:pt>
                <c:pt idx="106">
                  <c:v>70.737755000000007</c:v>
                </c:pt>
                <c:pt idx="107">
                  <c:v>70.092110000000005</c:v>
                </c:pt>
                <c:pt idx="108">
                  <c:v>70.649039999999999</c:v>
                </c:pt>
                <c:pt idx="109">
                  <c:v>69.690421999999998</c:v>
                </c:pt>
                <c:pt idx="110">
                  <c:v>68.243881000000002</c:v>
                </c:pt>
                <c:pt idx="111">
                  <c:v>66.134438000000003</c:v>
                </c:pt>
                <c:pt idx="112">
                  <c:v>68.039351999999994</c:v>
                </c:pt>
                <c:pt idx="113">
                  <c:v>67.775672999999998</c:v>
                </c:pt>
                <c:pt idx="114">
                  <c:v>69.732322999999994</c:v>
                </c:pt>
                <c:pt idx="115">
                  <c:v>69.781609000000003</c:v>
                </c:pt>
                <c:pt idx="116">
                  <c:v>68.650490000000005</c:v>
                </c:pt>
                <c:pt idx="117">
                  <c:v>70.905333999999996</c:v>
                </c:pt>
                <c:pt idx="118">
                  <c:v>72.401154000000005</c:v>
                </c:pt>
                <c:pt idx="119">
                  <c:v>71.235541999999995</c:v>
                </c:pt>
                <c:pt idx="120">
                  <c:v>72.243446000000006</c:v>
                </c:pt>
                <c:pt idx="121">
                  <c:v>73.327736000000002</c:v>
                </c:pt>
                <c:pt idx="122">
                  <c:v>74.084282000000002</c:v>
                </c:pt>
                <c:pt idx="123">
                  <c:v>74.850669999999994</c:v>
                </c:pt>
                <c:pt idx="124">
                  <c:v>77.259674000000004</c:v>
                </c:pt>
                <c:pt idx="125">
                  <c:v>78.475371999999993</c:v>
                </c:pt>
                <c:pt idx="126">
                  <c:v>77.578536999999997</c:v>
                </c:pt>
                <c:pt idx="127">
                  <c:v>76.641852999999998</c:v>
                </c:pt>
                <c:pt idx="128">
                  <c:v>77.112685999999997</c:v>
                </c:pt>
                <c:pt idx="129">
                  <c:v>76.656791999999996</c:v>
                </c:pt>
                <c:pt idx="130">
                  <c:v>78.462913999999998</c:v>
                </c:pt>
                <c:pt idx="131">
                  <c:v>78.009521000000007</c:v>
                </c:pt>
                <c:pt idx="132">
                  <c:v>79.526664999999994</c:v>
                </c:pt>
                <c:pt idx="133">
                  <c:v>78.933753999999993</c:v>
                </c:pt>
                <c:pt idx="134">
                  <c:v>79.441963000000001</c:v>
                </c:pt>
                <c:pt idx="135">
                  <c:v>78.903862000000004</c:v>
                </c:pt>
                <c:pt idx="136">
                  <c:v>79.247642999999997</c:v>
                </c:pt>
                <c:pt idx="137">
                  <c:v>79.282523999999995</c:v>
                </c:pt>
                <c:pt idx="138">
                  <c:v>79.205298999999997</c:v>
                </c:pt>
                <c:pt idx="139">
                  <c:v>80.179359000000005</c:v>
                </c:pt>
                <c:pt idx="140">
                  <c:v>80.550545</c:v>
                </c:pt>
                <c:pt idx="141">
                  <c:v>80.993979999999993</c:v>
                </c:pt>
                <c:pt idx="142">
                  <c:v>80.296447999999998</c:v>
                </c:pt>
                <c:pt idx="143">
                  <c:v>82.583374000000006</c:v>
                </c:pt>
                <c:pt idx="144">
                  <c:v>83.071640000000002</c:v>
                </c:pt>
                <c:pt idx="145">
                  <c:v>85.694878000000003</c:v>
                </c:pt>
                <c:pt idx="146">
                  <c:v>87.899590000000003</c:v>
                </c:pt>
                <c:pt idx="147">
                  <c:v>83.679496999999998</c:v>
                </c:pt>
                <c:pt idx="148">
                  <c:v>84.401947000000007</c:v>
                </c:pt>
                <c:pt idx="149">
                  <c:v>85.445755000000005</c:v>
                </c:pt>
                <c:pt idx="150">
                  <c:v>87.710257999999996</c:v>
                </c:pt>
                <c:pt idx="151">
                  <c:v>87.588195999999996</c:v>
                </c:pt>
                <c:pt idx="152">
                  <c:v>87.623076999999995</c:v>
                </c:pt>
                <c:pt idx="153">
                  <c:v>87.122337000000002</c:v>
                </c:pt>
                <c:pt idx="154">
                  <c:v>89.401786999999999</c:v>
                </c:pt>
                <c:pt idx="155">
                  <c:v>91.310051000000001</c:v>
                </c:pt>
                <c:pt idx="156">
                  <c:v>89.698241999999993</c:v>
                </c:pt>
                <c:pt idx="157">
                  <c:v>90.889037999999999</c:v>
                </c:pt>
                <c:pt idx="158">
                  <c:v>88.096405000000004</c:v>
                </c:pt>
                <c:pt idx="159">
                  <c:v>90.126732000000004</c:v>
                </c:pt>
                <c:pt idx="160">
                  <c:v>90.879065999999995</c:v>
                </c:pt>
                <c:pt idx="161">
                  <c:v>90.707176000000004</c:v>
                </c:pt>
                <c:pt idx="162">
                  <c:v>90.707176000000004</c:v>
                </c:pt>
                <c:pt idx="163">
                  <c:v>93.133613999999994</c:v>
                </c:pt>
                <c:pt idx="164">
                  <c:v>92.844634999999997</c:v>
                </c:pt>
                <c:pt idx="165">
                  <c:v>95.006996000000001</c:v>
                </c:pt>
                <c:pt idx="166">
                  <c:v>95.415558000000004</c:v>
                </c:pt>
                <c:pt idx="167">
                  <c:v>95.582465999999997</c:v>
                </c:pt>
                <c:pt idx="168">
                  <c:v>95.141525000000001</c:v>
                </c:pt>
                <c:pt idx="169">
                  <c:v>96.715964999999997</c:v>
                </c:pt>
                <c:pt idx="170">
                  <c:v>97.381111000000004</c:v>
                </c:pt>
                <c:pt idx="171">
                  <c:v>96.182845999999998</c:v>
                </c:pt>
                <c:pt idx="172">
                  <c:v>95.988533000000004</c:v>
                </c:pt>
                <c:pt idx="173">
                  <c:v>98.011391000000003</c:v>
                </c:pt>
                <c:pt idx="174">
                  <c:v>96.658660999999995</c:v>
                </c:pt>
                <c:pt idx="175">
                  <c:v>96.930199000000002</c:v>
                </c:pt>
                <c:pt idx="176">
                  <c:v>92.518287999999998</c:v>
                </c:pt>
                <c:pt idx="177">
                  <c:v>92.289092999999994</c:v>
                </c:pt>
                <c:pt idx="178">
                  <c:v>94.476364000000004</c:v>
                </c:pt>
                <c:pt idx="179">
                  <c:v>92.924355000000006</c:v>
                </c:pt>
                <c:pt idx="180">
                  <c:v>94.705558999999994</c:v>
                </c:pt>
                <c:pt idx="181">
                  <c:v>95.851517000000001</c:v>
                </c:pt>
                <c:pt idx="182">
                  <c:v>105.88608600000001</c:v>
                </c:pt>
                <c:pt idx="183">
                  <c:v>108.554153</c:v>
                </c:pt>
                <c:pt idx="184">
                  <c:v>109.279099</c:v>
                </c:pt>
                <c:pt idx="185">
                  <c:v>109.675194</c:v>
                </c:pt>
                <c:pt idx="186">
                  <c:v>113.501678</c:v>
                </c:pt>
                <c:pt idx="187">
                  <c:v>110.92113500000001</c:v>
                </c:pt>
                <c:pt idx="188">
                  <c:v>112.533356</c:v>
                </c:pt>
                <c:pt idx="189">
                  <c:v>109.186623</c:v>
                </c:pt>
                <c:pt idx="190">
                  <c:v>112.815369</c:v>
                </c:pt>
                <c:pt idx="191">
                  <c:v>114.81192</c:v>
                </c:pt>
                <c:pt idx="192">
                  <c:v>114.709602</c:v>
                </c:pt>
                <c:pt idx="193">
                  <c:v>114.41011</c:v>
                </c:pt>
                <c:pt idx="194">
                  <c:v>115.363472</c:v>
                </c:pt>
                <c:pt idx="195">
                  <c:v>115.508217</c:v>
                </c:pt>
                <c:pt idx="196">
                  <c:v>118.071297</c:v>
                </c:pt>
                <c:pt idx="197">
                  <c:v>124.1558</c:v>
                </c:pt>
                <c:pt idx="198">
                  <c:v>125.640739</c:v>
                </c:pt>
                <c:pt idx="199">
                  <c:v>124.610016</c:v>
                </c:pt>
                <c:pt idx="200">
                  <c:v>126.304596</c:v>
                </c:pt>
                <c:pt idx="201">
                  <c:v>124.794701</c:v>
                </c:pt>
                <c:pt idx="202">
                  <c:v>124.592552</c:v>
                </c:pt>
                <c:pt idx="203">
                  <c:v>128.81774899999999</c:v>
                </c:pt>
                <c:pt idx="204">
                  <c:v>133.94889800000001</c:v>
                </c:pt>
                <c:pt idx="205">
                  <c:v>131.17369099999999</c:v>
                </c:pt>
                <c:pt idx="206">
                  <c:v>120.671806</c:v>
                </c:pt>
                <c:pt idx="207">
                  <c:v>120.751671</c:v>
                </c:pt>
                <c:pt idx="208">
                  <c:v>112.625694</c:v>
                </c:pt>
                <c:pt idx="209">
                  <c:v>117.117943</c:v>
                </c:pt>
                <c:pt idx="210">
                  <c:v>113.29454</c:v>
                </c:pt>
                <c:pt idx="211">
                  <c:v>111.807106</c:v>
                </c:pt>
                <c:pt idx="212">
                  <c:v>115.161316</c:v>
                </c:pt>
                <c:pt idx="213">
                  <c:v>115.34101099999999</c:v>
                </c:pt>
                <c:pt idx="214">
                  <c:v>111.936882</c:v>
                </c:pt>
                <c:pt idx="215">
                  <c:v>110.149963</c:v>
                </c:pt>
                <c:pt idx="216">
                  <c:v>106.655991</c:v>
                </c:pt>
                <c:pt idx="217">
                  <c:v>109.890411</c:v>
                </c:pt>
                <c:pt idx="218">
                  <c:v>111.61743199999999</c:v>
                </c:pt>
                <c:pt idx="219">
                  <c:v>106.935509</c:v>
                </c:pt>
                <c:pt idx="220">
                  <c:v>108.033615</c:v>
                </c:pt>
                <c:pt idx="221">
                  <c:v>112.086624</c:v>
                </c:pt>
                <c:pt idx="222">
                  <c:v>114.76200900000001</c:v>
                </c:pt>
                <c:pt idx="223">
                  <c:v>113.893501</c:v>
                </c:pt>
                <c:pt idx="224">
                  <c:v>115.610542</c:v>
                </c:pt>
                <c:pt idx="225">
                  <c:v>116.58886</c:v>
                </c:pt>
                <c:pt idx="226">
                  <c:v>112.82534800000001</c:v>
                </c:pt>
                <c:pt idx="227">
                  <c:v>116.29935500000001</c:v>
                </c:pt>
                <c:pt idx="228">
                  <c:v>112.96511099999999</c:v>
                </c:pt>
                <c:pt idx="229">
                  <c:v>114.881805</c:v>
                </c:pt>
                <c:pt idx="230">
                  <c:v>114.77198799999999</c:v>
                </c:pt>
                <c:pt idx="231">
                  <c:v>116.768547</c:v>
                </c:pt>
                <c:pt idx="232">
                  <c:v>124.18575300000001</c:v>
                </c:pt>
                <c:pt idx="233">
                  <c:v>120.891434</c:v>
                </c:pt>
                <c:pt idx="234">
                  <c:v>120.98127700000001</c:v>
                </c:pt>
                <c:pt idx="235">
                  <c:v>120.502106</c:v>
                </c:pt>
                <c:pt idx="236">
                  <c:v>118.81501</c:v>
                </c:pt>
                <c:pt idx="237">
                  <c:v>115.78025100000001</c:v>
                </c:pt>
                <c:pt idx="238">
                  <c:v>117.30761699999999</c:v>
                </c:pt>
                <c:pt idx="239">
                  <c:v>116.668724</c:v>
                </c:pt>
                <c:pt idx="240">
                  <c:v>115.55064400000001</c:v>
                </c:pt>
                <c:pt idx="241">
                  <c:v>114.84187300000001</c:v>
                </c:pt>
                <c:pt idx="242">
                  <c:v>114.85185199999999</c:v>
                </c:pt>
                <c:pt idx="243">
                  <c:v>116.39917800000001</c:v>
                </c:pt>
                <c:pt idx="244">
                  <c:v>111.008476</c:v>
                </c:pt>
                <c:pt idx="245">
                  <c:v>115.12138400000001</c:v>
                </c:pt>
                <c:pt idx="246">
                  <c:v>108.672516</c:v>
                </c:pt>
                <c:pt idx="247">
                  <c:v>108.58266399999999</c:v>
                </c:pt>
                <c:pt idx="248">
                  <c:v>110.24979399999999</c:v>
                </c:pt>
                <c:pt idx="249">
                  <c:v>114.752022</c:v>
                </c:pt>
                <c:pt idx="250">
                  <c:v>118.824997</c:v>
                </c:pt>
                <c:pt idx="251">
                  <c:v>118.69000200000001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5D-417F-BA10-C687ED3A059D}"/>
            </c:ext>
          </c:extLst>
        </c:ser>
        <c:ser>
          <c:idx val="1"/>
          <c:order val="1"/>
          <c:tx>
            <c:strRef>
              <c:f>'6050_Module3Project_Data'!$E$1</c:f>
              <c:strCache>
                <c:ptCount val="1"/>
                <c:pt idx="0">
                  <c:v>HON (Honeywell Inc)  /  $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'6050_Module3Project_Data'!$A$2:$A$258</c:f>
              <c:numCache>
                <c:formatCode>m/d/yyyy</c:formatCode>
                <c:ptCount val="257"/>
                <c:pt idx="0">
                  <c:v>43777</c:v>
                </c:pt>
                <c:pt idx="1">
                  <c:v>43780</c:v>
                </c:pt>
                <c:pt idx="2">
                  <c:v>43781</c:v>
                </c:pt>
                <c:pt idx="3">
                  <c:v>43782</c:v>
                </c:pt>
                <c:pt idx="4">
                  <c:v>43783</c:v>
                </c:pt>
                <c:pt idx="5">
                  <c:v>43784</c:v>
                </c:pt>
                <c:pt idx="6">
                  <c:v>43787</c:v>
                </c:pt>
                <c:pt idx="7">
                  <c:v>43788</c:v>
                </c:pt>
                <c:pt idx="8">
                  <c:v>43789</c:v>
                </c:pt>
                <c:pt idx="9">
                  <c:v>43790</c:v>
                </c:pt>
                <c:pt idx="10">
                  <c:v>43791</c:v>
                </c:pt>
                <c:pt idx="11">
                  <c:v>43794</c:v>
                </c:pt>
                <c:pt idx="12">
                  <c:v>43795</c:v>
                </c:pt>
                <c:pt idx="13">
                  <c:v>43796</c:v>
                </c:pt>
                <c:pt idx="14">
                  <c:v>43798</c:v>
                </c:pt>
                <c:pt idx="15">
                  <c:v>43801</c:v>
                </c:pt>
                <c:pt idx="16">
                  <c:v>43802</c:v>
                </c:pt>
                <c:pt idx="17">
                  <c:v>43803</c:v>
                </c:pt>
                <c:pt idx="18">
                  <c:v>43804</c:v>
                </c:pt>
                <c:pt idx="19">
                  <c:v>43805</c:v>
                </c:pt>
                <c:pt idx="20">
                  <c:v>43808</c:v>
                </c:pt>
                <c:pt idx="21">
                  <c:v>43809</c:v>
                </c:pt>
                <c:pt idx="22">
                  <c:v>43810</c:v>
                </c:pt>
                <c:pt idx="23">
                  <c:v>43811</c:v>
                </c:pt>
                <c:pt idx="24">
                  <c:v>43812</c:v>
                </c:pt>
                <c:pt idx="25">
                  <c:v>43815</c:v>
                </c:pt>
                <c:pt idx="26">
                  <c:v>43816</c:v>
                </c:pt>
                <c:pt idx="27">
                  <c:v>43817</c:v>
                </c:pt>
                <c:pt idx="28">
                  <c:v>43818</c:v>
                </c:pt>
                <c:pt idx="29">
                  <c:v>43819</c:v>
                </c:pt>
                <c:pt idx="30">
                  <c:v>43822</c:v>
                </c:pt>
                <c:pt idx="31">
                  <c:v>43823</c:v>
                </c:pt>
                <c:pt idx="32">
                  <c:v>43825</c:v>
                </c:pt>
                <c:pt idx="33">
                  <c:v>43826</c:v>
                </c:pt>
                <c:pt idx="34">
                  <c:v>43829</c:v>
                </c:pt>
                <c:pt idx="35">
                  <c:v>43830</c:v>
                </c:pt>
                <c:pt idx="36">
                  <c:v>43832</c:v>
                </c:pt>
                <c:pt idx="37">
                  <c:v>43833</c:v>
                </c:pt>
                <c:pt idx="38">
                  <c:v>43836</c:v>
                </c:pt>
                <c:pt idx="39">
                  <c:v>43837</c:v>
                </c:pt>
                <c:pt idx="40">
                  <c:v>43838</c:v>
                </c:pt>
                <c:pt idx="41">
                  <c:v>43839</c:v>
                </c:pt>
                <c:pt idx="42">
                  <c:v>43840</c:v>
                </c:pt>
                <c:pt idx="43">
                  <c:v>43843</c:v>
                </c:pt>
                <c:pt idx="44">
                  <c:v>43844</c:v>
                </c:pt>
                <c:pt idx="45">
                  <c:v>43845</c:v>
                </c:pt>
                <c:pt idx="46">
                  <c:v>43846</c:v>
                </c:pt>
                <c:pt idx="47">
                  <c:v>43847</c:v>
                </c:pt>
                <c:pt idx="48">
                  <c:v>43851</c:v>
                </c:pt>
                <c:pt idx="49">
                  <c:v>43852</c:v>
                </c:pt>
                <c:pt idx="50">
                  <c:v>43853</c:v>
                </c:pt>
                <c:pt idx="51">
                  <c:v>43854</c:v>
                </c:pt>
                <c:pt idx="52">
                  <c:v>43857</c:v>
                </c:pt>
                <c:pt idx="53">
                  <c:v>43858</c:v>
                </c:pt>
                <c:pt idx="54">
                  <c:v>43859</c:v>
                </c:pt>
                <c:pt idx="55">
                  <c:v>43860</c:v>
                </c:pt>
                <c:pt idx="56">
                  <c:v>43861</c:v>
                </c:pt>
                <c:pt idx="57">
                  <c:v>43864</c:v>
                </c:pt>
                <c:pt idx="58">
                  <c:v>43865</c:v>
                </c:pt>
                <c:pt idx="59">
                  <c:v>43866</c:v>
                </c:pt>
                <c:pt idx="60">
                  <c:v>43867</c:v>
                </c:pt>
                <c:pt idx="61">
                  <c:v>43868</c:v>
                </c:pt>
                <c:pt idx="62">
                  <c:v>43871</c:v>
                </c:pt>
                <c:pt idx="63">
                  <c:v>43872</c:v>
                </c:pt>
                <c:pt idx="64">
                  <c:v>43873</c:v>
                </c:pt>
                <c:pt idx="65">
                  <c:v>43874</c:v>
                </c:pt>
                <c:pt idx="66">
                  <c:v>43875</c:v>
                </c:pt>
                <c:pt idx="67">
                  <c:v>43879</c:v>
                </c:pt>
                <c:pt idx="68">
                  <c:v>43880</c:v>
                </c:pt>
                <c:pt idx="69">
                  <c:v>43881</c:v>
                </c:pt>
                <c:pt idx="70">
                  <c:v>43882</c:v>
                </c:pt>
                <c:pt idx="71">
                  <c:v>43885</c:v>
                </c:pt>
                <c:pt idx="72">
                  <c:v>43886</c:v>
                </c:pt>
                <c:pt idx="73">
                  <c:v>43887</c:v>
                </c:pt>
                <c:pt idx="74">
                  <c:v>43888</c:v>
                </c:pt>
                <c:pt idx="75">
                  <c:v>43889</c:v>
                </c:pt>
                <c:pt idx="76">
                  <c:v>43892</c:v>
                </c:pt>
                <c:pt idx="77">
                  <c:v>43893</c:v>
                </c:pt>
                <c:pt idx="78">
                  <c:v>43894</c:v>
                </c:pt>
                <c:pt idx="79">
                  <c:v>43895</c:v>
                </c:pt>
                <c:pt idx="80">
                  <c:v>43896</c:v>
                </c:pt>
                <c:pt idx="81">
                  <c:v>43899</c:v>
                </c:pt>
                <c:pt idx="82">
                  <c:v>43900</c:v>
                </c:pt>
                <c:pt idx="83">
                  <c:v>43901</c:v>
                </c:pt>
                <c:pt idx="84">
                  <c:v>43902</c:v>
                </c:pt>
                <c:pt idx="85">
                  <c:v>43903</c:v>
                </c:pt>
                <c:pt idx="86">
                  <c:v>43906</c:v>
                </c:pt>
                <c:pt idx="87">
                  <c:v>43907</c:v>
                </c:pt>
                <c:pt idx="88">
                  <c:v>43908</c:v>
                </c:pt>
                <c:pt idx="89">
                  <c:v>43909</c:v>
                </c:pt>
                <c:pt idx="90">
                  <c:v>43910</c:v>
                </c:pt>
                <c:pt idx="91">
                  <c:v>43913</c:v>
                </c:pt>
                <c:pt idx="92">
                  <c:v>43914</c:v>
                </c:pt>
                <c:pt idx="93">
                  <c:v>43915</c:v>
                </c:pt>
                <c:pt idx="94">
                  <c:v>43916</c:v>
                </c:pt>
                <c:pt idx="95">
                  <c:v>43917</c:v>
                </c:pt>
                <c:pt idx="96">
                  <c:v>43920</c:v>
                </c:pt>
                <c:pt idx="97">
                  <c:v>43921</c:v>
                </c:pt>
                <c:pt idx="98">
                  <c:v>43922</c:v>
                </c:pt>
                <c:pt idx="99">
                  <c:v>43923</c:v>
                </c:pt>
                <c:pt idx="100">
                  <c:v>43924</c:v>
                </c:pt>
                <c:pt idx="101">
                  <c:v>43927</c:v>
                </c:pt>
                <c:pt idx="102">
                  <c:v>43928</c:v>
                </c:pt>
                <c:pt idx="103">
                  <c:v>43929</c:v>
                </c:pt>
                <c:pt idx="104">
                  <c:v>43930</c:v>
                </c:pt>
                <c:pt idx="105">
                  <c:v>43934</c:v>
                </c:pt>
                <c:pt idx="106">
                  <c:v>43935</c:v>
                </c:pt>
                <c:pt idx="107">
                  <c:v>43936</c:v>
                </c:pt>
                <c:pt idx="108">
                  <c:v>43937</c:v>
                </c:pt>
                <c:pt idx="109">
                  <c:v>43938</c:v>
                </c:pt>
                <c:pt idx="110">
                  <c:v>43941</c:v>
                </c:pt>
                <c:pt idx="111">
                  <c:v>43942</c:v>
                </c:pt>
                <c:pt idx="112">
                  <c:v>43943</c:v>
                </c:pt>
                <c:pt idx="113">
                  <c:v>43944</c:v>
                </c:pt>
                <c:pt idx="114">
                  <c:v>43945</c:v>
                </c:pt>
                <c:pt idx="115">
                  <c:v>43948</c:v>
                </c:pt>
                <c:pt idx="116">
                  <c:v>43949</c:v>
                </c:pt>
                <c:pt idx="117">
                  <c:v>43950</c:v>
                </c:pt>
                <c:pt idx="118">
                  <c:v>43951</c:v>
                </c:pt>
                <c:pt idx="119">
                  <c:v>43952</c:v>
                </c:pt>
                <c:pt idx="120">
                  <c:v>43955</c:v>
                </c:pt>
                <c:pt idx="121">
                  <c:v>43956</c:v>
                </c:pt>
                <c:pt idx="122">
                  <c:v>43957</c:v>
                </c:pt>
                <c:pt idx="123">
                  <c:v>43958</c:v>
                </c:pt>
                <c:pt idx="124">
                  <c:v>43959</c:v>
                </c:pt>
                <c:pt idx="125">
                  <c:v>43962</c:v>
                </c:pt>
                <c:pt idx="126">
                  <c:v>43963</c:v>
                </c:pt>
                <c:pt idx="127">
                  <c:v>43964</c:v>
                </c:pt>
                <c:pt idx="128">
                  <c:v>43965</c:v>
                </c:pt>
                <c:pt idx="129">
                  <c:v>43966</c:v>
                </c:pt>
                <c:pt idx="130">
                  <c:v>43969</c:v>
                </c:pt>
                <c:pt idx="131">
                  <c:v>43970</c:v>
                </c:pt>
                <c:pt idx="132">
                  <c:v>43971</c:v>
                </c:pt>
                <c:pt idx="133">
                  <c:v>43972</c:v>
                </c:pt>
                <c:pt idx="134">
                  <c:v>43973</c:v>
                </c:pt>
                <c:pt idx="135">
                  <c:v>43977</c:v>
                </c:pt>
                <c:pt idx="136">
                  <c:v>43978</c:v>
                </c:pt>
                <c:pt idx="137">
                  <c:v>43979</c:v>
                </c:pt>
                <c:pt idx="138">
                  <c:v>43980</c:v>
                </c:pt>
                <c:pt idx="139">
                  <c:v>43983</c:v>
                </c:pt>
                <c:pt idx="140">
                  <c:v>43984</c:v>
                </c:pt>
                <c:pt idx="141">
                  <c:v>43985</c:v>
                </c:pt>
                <c:pt idx="142">
                  <c:v>43986</c:v>
                </c:pt>
                <c:pt idx="143">
                  <c:v>43987</c:v>
                </c:pt>
                <c:pt idx="144">
                  <c:v>43990</c:v>
                </c:pt>
                <c:pt idx="145">
                  <c:v>43991</c:v>
                </c:pt>
                <c:pt idx="146">
                  <c:v>43992</c:v>
                </c:pt>
                <c:pt idx="147">
                  <c:v>43993</c:v>
                </c:pt>
                <c:pt idx="148">
                  <c:v>43994</c:v>
                </c:pt>
                <c:pt idx="149">
                  <c:v>43997</c:v>
                </c:pt>
                <c:pt idx="150">
                  <c:v>43998</c:v>
                </c:pt>
                <c:pt idx="151">
                  <c:v>43999</c:v>
                </c:pt>
                <c:pt idx="152">
                  <c:v>44000</c:v>
                </c:pt>
                <c:pt idx="153">
                  <c:v>44001</c:v>
                </c:pt>
                <c:pt idx="154">
                  <c:v>44004</c:v>
                </c:pt>
                <c:pt idx="155">
                  <c:v>44005</c:v>
                </c:pt>
                <c:pt idx="156">
                  <c:v>44006</c:v>
                </c:pt>
                <c:pt idx="157">
                  <c:v>44007</c:v>
                </c:pt>
                <c:pt idx="158">
                  <c:v>44008</c:v>
                </c:pt>
                <c:pt idx="159">
                  <c:v>44011</c:v>
                </c:pt>
                <c:pt idx="160">
                  <c:v>44012</c:v>
                </c:pt>
                <c:pt idx="161">
                  <c:v>44013</c:v>
                </c:pt>
                <c:pt idx="162">
                  <c:v>44014</c:v>
                </c:pt>
                <c:pt idx="163">
                  <c:v>44018</c:v>
                </c:pt>
                <c:pt idx="164">
                  <c:v>44019</c:v>
                </c:pt>
                <c:pt idx="165">
                  <c:v>44020</c:v>
                </c:pt>
                <c:pt idx="166">
                  <c:v>44021</c:v>
                </c:pt>
                <c:pt idx="167">
                  <c:v>44022</c:v>
                </c:pt>
                <c:pt idx="168">
                  <c:v>44025</c:v>
                </c:pt>
                <c:pt idx="169">
                  <c:v>44026</c:v>
                </c:pt>
                <c:pt idx="170">
                  <c:v>44027</c:v>
                </c:pt>
                <c:pt idx="171">
                  <c:v>44028</c:v>
                </c:pt>
                <c:pt idx="172">
                  <c:v>44029</c:v>
                </c:pt>
                <c:pt idx="173">
                  <c:v>44032</c:v>
                </c:pt>
                <c:pt idx="174">
                  <c:v>44033</c:v>
                </c:pt>
                <c:pt idx="175">
                  <c:v>44034</c:v>
                </c:pt>
                <c:pt idx="176">
                  <c:v>44035</c:v>
                </c:pt>
                <c:pt idx="177">
                  <c:v>44036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44046</c:v>
                </c:pt>
                <c:pt idx="184">
                  <c:v>44047</c:v>
                </c:pt>
                <c:pt idx="185">
                  <c:v>44048</c:v>
                </c:pt>
                <c:pt idx="186">
                  <c:v>44049</c:v>
                </c:pt>
                <c:pt idx="187">
                  <c:v>44050</c:v>
                </c:pt>
                <c:pt idx="188">
                  <c:v>44053</c:v>
                </c:pt>
                <c:pt idx="189">
                  <c:v>44054</c:v>
                </c:pt>
                <c:pt idx="190">
                  <c:v>44055</c:v>
                </c:pt>
                <c:pt idx="191">
                  <c:v>44056</c:v>
                </c:pt>
                <c:pt idx="192">
                  <c:v>44057</c:v>
                </c:pt>
                <c:pt idx="193">
                  <c:v>44060</c:v>
                </c:pt>
                <c:pt idx="194">
                  <c:v>44061</c:v>
                </c:pt>
                <c:pt idx="195">
                  <c:v>44062</c:v>
                </c:pt>
                <c:pt idx="196">
                  <c:v>44063</c:v>
                </c:pt>
                <c:pt idx="197">
                  <c:v>44064</c:v>
                </c:pt>
                <c:pt idx="198">
                  <c:v>44067</c:v>
                </c:pt>
                <c:pt idx="199">
                  <c:v>44068</c:v>
                </c:pt>
                <c:pt idx="200">
                  <c:v>44069</c:v>
                </c:pt>
                <c:pt idx="201">
                  <c:v>44070</c:v>
                </c:pt>
                <c:pt idx="202">
                  <c:v>44071</c:v>
                </c:pt>
                <c:pt idx="203">
                  <c:v>44074</c:v>
                </c:pt>
                <c:pt idx="204">
                  <c:v>44075</c:v>
                </c:pt>
                <c:pt idx="205">
                  <c:v>44076</c:v>
                </c:pt>
                <c:pt idx="206">
                  <c:v>44077</c:v>
                </c:pt>
                <c:pt idx="207">
                  <c:v>44078</c:v>
                </c:pt>
                <c:pt idx="208">
                  <c:v>44082</c:v>
                </c:pt>
                <c:pt idx="209">
                  <c:v>44083</c:v>
                </c:pt>
                <c:pt idx="210">
                  <c:v>44084</c:v>
                </c:pt>
                <c:pt idx="211">
                  <c:v>44085</c:v>
                </c:pt>
                <c:pt idx="212">
                  <c:v>44088</c:v>
                </c:pt>
                <c:pt idx="213">
                  <c:v>44089</c:v>
                </c:pt>
                <c:pt idx="214">
                  <c:v>44090</c:v>
                </c:pt>
                <c:pt idx="215">
                  <c:v>44091</c:v>
                </c:pt>
                <c:pt idx="216">
                  <c:v>44092</c:v>
                </c:pt>
                <c:pt idx="217">
                  <c:v>44095</c:v>
                </c:pt>
                <c:pt idx="218">
                  <c:v>44096</c:v>
                </c:pt>
                <c:pt idx="219">
                  <c:v>44097</c:v>
                </c:pt>
                <c:pt idx="220">
                  <c:v>44098</c:v>
                </c:pt>
                <c:pt idx="221">
                  <c:v>44099</c:v>
                </c:pt>
                <c:pt idx="222">
                  <c:v>44102</c:v>
                </c:pt>
                <c:pt idx="223">
                  <c:v>44103</c:v>
                </c:pt>
                <c:pt idx="224">
                  <c:v>44104</c:v>
                </c:pt>
                <c:pt idx="225">
                  <c:v>44105</c:v>
                </c:pt>
                <c:pt idx="226">
                  <c:v>44106</c:v>
                </c:pt>
                <c:pt idx="227">
                  <c:v>44109</c:v>
                </c:pt>
                <c:pt idx="228">
                  <c:v>44110</c:v>
                </c:pt>
                <c:pt idx="229">
                  <c:v>44111</c:v>
                </c:pt>
                <c:pt idx="230">
                  <c:v>44112</c:v>
                </c:pt>
                <c:pt idx="231">
                  <c:v>44113</c:v>
                </c:pt>
                <c:pt idx="232">
                  <c:v>44116</c:v>
                </c:pt>
                <c:pt idx="233">
                  <c:v>44117</c:v>
                </c:pt>
                <c:pt idx="234">
                  <c:v>44118</c:v>
                </c:pt>
                <c:pt idx="235">
                  <c:v>44119</c:v>
                </c:pt>
                <c:pt idx="236">
                  <c:v>44120</c:v>
                </c:pt>
                <c:pt idx="237">
                  <c:v>44123</c:v>
                </c:pt>
                <c:pt idx="238">
                  <c:v>44124</c:v>
                </c:pt>
                <c:pt idx="239">
                  <c:v>44125</c:v>
                </c:pt>
                <c:pt idx="240">
                  <c:v>44126</c:v>
                </c:pt>
                <c:pt idx="241">
                  <c:v>44127</c:v>
                </c:pt>
                <c:pt idx="242">
                  <c:v>44130</c:v>
                </c:pt>
                <c:pt idx="243">
                  <c:v>44131</c:v>
                </c:pt>
                <c:pt idx="244">
                  <c:v>44132</c:v>
                </c:pt>
                <c:pt idx="245">
                  <c:v>44133</c:v>
                </c:pt>
                <c:pt idx="246">
                  <c:v>44134</c:v>
                </c:pt>
                <c:pt idx="247">
                  <c:v>44137</c:v>
                </c:pt>
                <c:pt idx="248">
                  <c:v>44138</c:v>
                </c:pt>
                <c:pt idx="249">
                  <c:v>44139</c:v>
                </c:pt>
                <c:pt idx="250">
                  <c:v>44140</c:v>
                </c:pt>
                <c:pt idx="251">
                  <c:v>44141</c:v>
                </c:pt>
                <c:pt idx="252">
                  <c:v>44144</c:v>
                </c:pt>
                <c:pt idx="253">
                  <c:v>44145</c:v>
                </c:pt>
                <c:pt idx="254">
                  <c:v>44146</c:v>
                </c:pt>
                <c:pt idx="255">
                  <c:v>44147</c:v>
                </c:pt>
                <c:pt idx="256">
                  <c:v>44148</c:v>
                </c:pt>
              </c:numCache>
            </c:numRef>
          </c:cat>
          <c:val>
            <c:numRef>
              <c:f>'6050_Module3Project_Data'!$E$2:$E$258</c:f>
              <c:numCache>
                <c:formatCode>0.00</c:formatCode>
                <c:ptCount val="257"/>
                <c:pt idx="0">
                  <c:v>177.02937299999999</c:v>
                </c:pt>
                <c:pt idx="1">
                  <c:v>176.658142</c:v>
                </c:pt>
                <c:pt idx="2">
                  <c:v>177.810913</c:v>
                </c:pt>
                <c:pt idx="3">
                  <c:v>177.752319</c:v>
                </c:pt>
                <c:pt idx="4">
                  <c:v>176.37780799999999</c:v>
                </c:pt>
                <c:pt idx="5">
                  <c:v>178.43956</c:v>
                </c:pt>
                <c:pt idx="6">
                  <c:v>176.52507</c:v>
                </c:pt>
                <c:pt idx="7">
                  <c:v>176.839249</c:v>
                </c:pt>
                <c:pt idx="8">
                  <c:v>173.99208100000001</c:v>
                </c:pt>
                <c:pt idx="9">
                  <c:v>173.31463600000001</c:v>
                </c:pt>
                <c:pt idx="10">
                  <c:v>173.56990099999999</c:v>
                </c:pt>
                <c:pt idx="11">
                  <c:v>173.29499799999999</c:v>
                </c:pt>
                <c:pt idx="12">
                  <c:v>175.26838699999999</c:v>
                </c:pt>
                <c:pt idx="13">
                  <c:v>176.151993</c:v>
                </c:pt>
                <c:pt idx="14">
                  <c:v>175.29785200000001</c:v>
                </c:pt>
                <c:pt idx="15">
                  <c:v>171.144913</c:v>
                </c:pt>
                <c:pt idx="16">
                  <c:v>169.40713500000001</c:v>
                </c:pt>
                <c:pt idx="17">
                  <c:v>170.055115</c:v>
                </c:pt>
                <c:pt idx="18">
                  <c:v>170.84053</c:v>
                </c:pt>
                <c:pt idx="19">
                  <c:v>172.26414500000001</c:v>
                </c:pt>
                <c:pt idx="20">
                  <c:v>171.31179800000001</c:v>
                </c:pt>
                <c:pt idx="21">
                  <c:v>170.86998</c:v>
                </c:pt>
                <c:pt idx="22">
                  <c:v>172.804092</c:v>
                </c:pt>
                <c:pt idx="23">
                  <c:v>174.15898100000001</c:v>
                </c:pt>
                <c:pt idx="24">
                  <c:v>173.756439</c:v>
                </c:pt>
                <c:pt idx="25">
                  <c:v>173.18699599999999</c:v>
                </c:pt>
                <c:pt idx="26">
                  <c:v>173.481537</c:v>
                </c:pt>
                <c:pt idx="27">
                  <c:v>171.45906099999999</c:v>
                </c:pt>
                <c:pt idx="28">
                  <c:v>173.28518700000001</c:v>
                </c:pt>
                <c:pt idx="29">
                  <c:v>173.19682299999999</c:v>
                </c:pt>
                <c:pt idx="30">
                  <c:v>173.21646100000001</c:v>
                </c:pt>
                <c:pt idx="31">
                  <c:v>173.098648</c:v>
                </c:pt>
                <c:pt idx="32">
                  <c:v>173.658264</c:v>
                </c:pt>
                <c:pt idx="33">
                  <c:v>173.26556400000001</c:v>
                </c:pt>
                <c:pt idx="34">
                  <c:v>173.20661899999999</c:v>
                </c:pt>
                <c:pt idx="35">
                  <c:v>173.776062</c:v>
                </c:pt>
                <c:pt idx="36">
                  <c:v>177.49704</c:v>
                </c:pt>
                <c:pt idx="37">
                  <c:v>175.602203</c:v>
                </c:pt>
                <c:pt idx="38">
                  <c:v>174.276794</c:v>
                </c:pt>
                <c:pt idx="39">
                  <c:v>174.37496899999999</c:v>
                </c:pt>
                <c:pt idx="40">
                  <c:v>174.522232</c:v>
                </c:pt>
                <c:pt idx="41">
                  <c:v>175.80838</c:v>
                </c:pt>
                <c:pt idx="42">
                  <c:v>175.42546100000001</c:v>
                </c:pt>
                <c:pt idx="43">
                  <c:v>177.96829199999999</c:v>
                </c:pt>
                <c:pt idx="44">
                  <c:v>177.16322299999999</c:v>
                </c:pt>
                <c:pt idx="45">
                  <c:v>177.43812600000001</c:v>
                </c:pt>
                <c:pt idx="46">
                  <c:v>178.94026199999999</c:v>
                </c:pt>
                <c:pt idx="47">
                  <c:v>179.89259300000001</c:v>
                </c:pt>
                <c:pt idx="48">
                  <c:v>177.634491</c:v>
                </c:pt>
                <c:pt idx="49">
                  <c:v>176.770523</c:v>
                </c:pt>
                <c:pt idx="50">
                  <c:v>176.30909700000001</c:v>
                </c:pt>
                <c:pt idx="51">
                  <c:v>173.903717</c:v>
                </c:pt>
                <c:pt idx="52">
                  <c:v>170.37908899999999</c:v>
                </c:pt>
                <c:pt idx="53">
                  <c:v>172.26414500000001</c:v>
                </c:pt>
                <c:pt idx="54">
                  <c:v>172.47030599999999</c:v>
                </c:pt>
                <c:pt idx="55">
                  <c:v>175.09165999999999</c:v>
                </c:pt>
                <c:pt idx="56">
                  <c:v>170.06492600000001</c:v>
                </c:pt>
                <c:pt idx="57">
                  <c:v>168.19955400000001</c:v>
                </c:pt>
                <c:pt idx="58">
                  <c:v>172.01869199999999</c:v>
                </c:pt>
                <c:pt idx="59">
                  <c:v>173.677887</c:v>
                </c:pt>
                <c:pt idx="60">
                  <c:v>173.137924</c:v>
                </c:pt>
                <c:pt idx="61">
                  <c:v>172.08738700000001</c:v>
                </c:pt>
                <c:pt idx="62">
                  <c:v>173.72699</c:v>
                </c:pt>
                <c:pt idx="63">
                  <c:v>175.88691700000001</c:v>
                </c:pt>
                <c:pt idx="64">
                  <c:v>177.879929</c:v>
                </c:pt>
                <c:pt idx="65">
                  <c:v>176.839249</c:v>
                </c:pt>
                <c:pt idx="66">
                  <c:v>177.516693</c:v>
                </c:pt>
                <c:pt idx="67">
                  <c:v>176.151993</c:v>
                </c:pt>
                <c:pt idx="68">
                  <c:v>177.565765</c:v>
                </c:pt>
                <c:pt idx="69">
                  <c:v>177.408691</c:v>
                </c:pt>
                <c:pt idx="70">
                  <c:v>176.603622</c:v>
                </c:pt>
                <c:pt idx="71">
                  <c:v>172.07759100000001</c:v>
                </c:pt>
                <c:pt idx="72">
                  <c:v>164.743652</c:v>
                </c:pt>
                <c:pt idx="73">
                  <c:v>164.134918</c:v>
                </c:pt>
                <c:pt idx="74">
                  <c:v>157.49176</c:v>
                </c:pt>
                <c:pt idx="75">
                  <c:v>160.077957</c:v>
                </c:pt>
                <c:pt idx="76">
                  <c:v>162.12127699999999</c:v>
                </c:pt>
                <c:pt idx="77">
                  <c:v>159.80157500000001</c:v>
                </c:pt>
                <c:pt idx="78">
                  <c:v>168.98161300000001</c:v>
                </c:pt>
                <c:pt idx="79">
                  <c:v>162.79248000000001</c:v>
                </c:pt>
                <c:pt idx="80">
                  <c:v>161.913971</c:v>
                </c:pt>
                <c:pt idx="81">
                  <c:v>150.88806199999999</c:v>
                </c:pt>
                <c:pt idx="82">
                  <c:v>159.60415599999999</c:v>
                </c:pt>
                <c:pt idx="83">
                  <c:v>151.411224</c:v>
                </c:pt>
                <c:pt idx="84">
                  <c:v>133.11039700000001</c:v>
                </c:pt>
                <c:pt idx="85">
                  <c:v>147.482574</c:v>
                </c:pt>
                <c:pt idx="86">
                  <c:v>133.524979</c:v>
                </c:pt>
                <c:pt idx="87">
                  <c:v>130.09974700000001</c:v>
                </c:pt>
                <c:pt idx="88">
                  <c:v>118.067001</c:v>
                </c:pt>
                <c:pt idx="89">
                  <c:v>117.42538500000001</c:v>
                </c:pt>
                <c:pt idx="90">
                  <c:v>111.048721</c:v>
                </c:pt>
                <c:pt idx="91">
                  <c:v>102.520172</c:v>
                </c:pt>
                <c:pt idx="92">
                  <c:v>117.96828499999999</c:v>
                </c:pt>
                <c:pt idx="93">
                  <c:v>127.977478</c:v>
                </c:pt>
                <c:pt idx="94">
                  <c:v>135.627487</c:v>
                </c:pt>
                <c:pt idx="95">
                  <c:v>129.57659899999999</c:v>
                </c:pt>
                <c:pt idx="96">
                  <c:v>130.05038500000001</c:v>
                </c:pt>
                <c:pt idx="97">
                  <c:v>132.06407200000001</c:v>
                </c:pt>
                <c:pt idx="98">
                  <c:v>128.03671299999999</c:v>
                </c:pt>
                <c:pt idx="99">
                  <c:v>131.09671</c:v>
                </c:pt>
                <c:pt idx="100">
                  <c:v>125.805862</c:v>
                </c:pt>
                <c:pt idx="101">
                  <c:v>132.27136200000001</c:v>
                </c:pt>
                <c:pt idx="102">
                  <c:v>133.495361</c:v>
                </c:pt>
                <c:pt idx="103">
                  <c:v>137.453644</c:v>
                </c:pt>
                <c:pt idx="104">
                  <c:v>141.579712</c:v>
                </c:pt>
                <c:pt idx="105">
                  <c:v>136.160538</c:v>
                </c:pt>
                <c:pt idx="106">
                  <c:v>138.77633700000001</c:v>
                </c:pt>
                <c:pt idx="107">
                  <c:v>133.100525</c:v>
                </c:pt>
                <c:pt idx="108">
                  <c:v>130.62290999999999</c:v>
                </c:pt>
                <c:pt idx="109">
                  <c:v>136.53564499999999</c:v>
                </c:pt>
                <c:pt idx="110">
                  <c:v>133.949432</c:v>
                </c:pt>
                <c:pt idx="111">
                  <c:v>130.29716500000001</c:v>
                </c:pt>
                <c:pt idx="112">
                  <c:v>131.313873</c:v>
                </c:pt>
                <c:pt idx="113">
                  <c:v>132.94258099999999</c:v>
                </c:pt>
                <c:pt idx="114">
                  <c:v>133.771759</c:v>
                </c:pt>
                <c:pt idx="115">
                  <c:v>138.07551599999999</c:v>
                </c:pt>
                <c:pt idx="116">
                  <c:v>140.91835</c:v>
                </c:pt>
                <c:pt idx="117">
                  <c:v>144.274506</c:v>
                </c:pt>
                <c:pt idx="118">
                  <c:v>140.06944300000001</c:v>
                </c:pt>
                <c:pt idx="119">
                  <c:v>135.47943100000001</c:v>
                </c:pt>
                <c:pt idx="120">
                  <c:v>133.45588699999999</c:v>
                </c:pt>
                <c:pt idx="121">
                  <c:v>133.13014200000001</c:v>
                </c:pt>
                <c:pt idx="122">
                  <c:v>131.323746</c:v>
                </c:pt>
                <c:pt idx="123">
                  <c:v>131.076965</c:v>
                </c:pt>
                <c:pt idx="124">
                  <c:v>135.14382900000001</c:v>
                </c:pt>
                <c:pt idx="125">
                  <c:v>132.54776000000001</c:v>
                </c:pt>
                <c:pt idx="126">
                  <c:v>125.944046</c:v>
                </c:pt>
                <c:pt idx="127">
                  <c:v>121.383652</c:v>
                </c:pt>
                <c:pt idx="128">
                  <c:v>126.335655</c:v>
                </c:pt>
                <c:pt idx="129">
                  <c:v>124.70488</c:v>
                </c:pt>
                <c:pt idx="130">
                  <c:v>135.27510100000001</c:v>
                </c:pt>
                <c:pt idx="131">
                  <c:v>131.208099</c:v>
                </c:pt>
                <c:pt idx="132">
                  <c:v>135.26516699999999</c:v>
                </c:pt>
                <c:pt idx="133">
                  <c:v>136.91583299999999</c:v>
                </c:pt>
                <c:pt idx="134">
                  <c:v>138.397446</c:v>
                </c:pt>
                <c:pt idx="135">
                  <c:v>144.12506099999999</c:v>
                </c:pt>
                <c:pt idx="136">
                  <c:v>147.75453200000001</c:v>
                </c:pt>
                <c:pt idx="137">
                  <c:v>146.73033100000001</c:v>
                </c:pt>
                <c:pt idx="138">
                  <c:v>145.02995300000001</c:v>
                </c:pt>
                <c:pt idx="139">
                  <c:v>145.358093</c:v>
                </c:pt>
                <c:pt idx="140">
                  <c:v>147.51589999999999</c:v>
                </c:pt>
                <c:pt idx="141">
                  <c:v>152.48779300000001</c:v>
                </c:pt>
                <c:pt idx="142">
                  <c:v>155.03338600000001</c:v>
                </c:pt>
                <c:pt idx="143">
                  <c:v>160.46267700000001</c:v>
                </c:pt>
                <c:pt idx="144">
                  <c:v>162.00396699999999</c:v>
                </c:pt>
                <c:pt idx="145">
                  <c:v>157.21107499999999</c:v>
                </c:pt>
                <c:pt idx="146">
                  <c:v>153.25344799999999</c:v>
                </c:pt>
                <c:pt idx="147">
                  <c:v>142.633499</c:v>
                </c:pt>
                <c:pt idx="148">
                  <c:v>143.69747899999999</c:v>
                </c:pt>
                <c:pt idx="149">
                  <c:v>145.80557300000001</c:v>
                </c:pt>
                <c:pt idx="150">
                  <c:v>148.27162200000001</c:v>
                </c:pt>
                <c:pt idx="151">
                  <c:v>147.50595100000001</c:v>
                </c:pt>
                <c:pt idx="152">
                  <c:v>147.39656099999999</c:v>
                </c:pt>
                <c:pt idx="153">
                  <c:v>144.55264299999999</c:v>
                </c:pt>
                <c:pt idx="154">
                  <c:v>144.12506099999999</c:v>
                </c:pt>
                <c:pt idx="155">
                  <c:v>144.04551699999999</c:v>
                </c:pt>
                <c:pt idx="156">
                  <c:v>137.57212799999999</c:v>
                </c:pt>
                <c:pt idx="157">
                  <c:v>141.65901199999999</c:v>
                </c:pt>
                <c:pt idx="158">
                  <c:v>137.432907</c:v>
                </c:pt>
                <c:pt idx="159">
                  <c:v>142.434631</c:v>
                </c:pt>
                <c:pt idx="160">
                  <c:v>143.77702300000001</c:v>
                </c:pt>
                <c:pt idx="161">
                  <c:v>143.29972799999999</c:v>
                </c:pt>
                <c:pt idx="162">
                  <c:v>144.20462000000001</c:v>
                </c:pt>
                <c:pt idx="163">
                  <c:v>146.39224200000001</c:v>
                </c:pt>
                <c:pt idx="164">
                  <c:v>144.15489199999999</c:v>
                </c:pt>
                <c:pt idx="165">
                  <c:v>144.77140800000001</c:v>
                </c:pt>
                <c:pt idx="166">
                  <c:v>140.57513399999999</c:v>
                </c:pt>
                <c:pt idx="167">
                  <c:v>141.64906300000001</c:v>
                </c:pt>
                <c:pt idx="168">
                  <c:v>142.68322800000001</c:v>
                </c:pt>
                <c:pt idx="169">
                  <c:v>147.267303</c:v>
                </c:pt>
                <c:pt idx="170">
                  <c:v>151.07576</c:v>
                </c:pt>
                <c:pt idx="171">
                  <c:v>152.21929900000001</c:v>
                </c:pt>
                <c:pt idx="172">
                  <c:v>154.12851000000001</c:v>
                </c:pt>
                <c:pt idx="173">
                  <c:v>152.527557</c:v>
                </c:pt>
                <c:pt idx="174">
                  <c:v>153.889847</c:v>
                </c:pt>
                <c:pt idx="175">
                  <c:v>153.740692</c:v>
                </c:pt>
                <c:pt idx="176">
                  <c:v>152.86563100000001</c:v>
                </c:pt>
                <c:pt idx="177">
                  <c:v>148.58981299999999</c:v>
                </c:pt>
                <c:pt idx="178">
                  <c:v>149.91233800000001</c:v>
                </c:pt>
                <c:pt idx="179">
                  <c:v>151.155304</c:v>
                </c:pt>
                <c:pt idx="180">
                  <c:v>153.71086099999999</c:v>
                </c:pt>
                <c:pt idx="181">
                  <c:v>148.321335</c:v>
                </c:pt>
                <c:pt idx="182">
                  <c:v>148.53015099999999</c:v>
                </c:pt>
                <c:pt idx="183">
                  <c:v>147.694885</c:v>
                </c:pt>
                <c:pt idx="184">
                  <c:v>146.501633</c:v>
                </c:pt>
                <c:pt idx="185">
                  <c:v>149.972015</c:v>
                </c:pt>
                <c:pt idx="186">
                  <c:v>151.72210699999999</c:v>
                </c:pt>
                <c:pt idx="187">
                  <c:v>154.23788500000001</c:v>
                </c:pt>
                <c:pt idx="188">
                  <c:v>158.53358499999999</c:v>
                </c:pt>
                <c:pt idx="189">
                  <c:v>159.378815</c:v>
                </c:pt>
                <c:pt idx="190">
                  <c:v>159.16999799999999</c:v>
                </c:pt>
                <c:pt idx="191">
                  <c:v>158.979996</c:v>
                </c:pt>
                <c:pt idx="192">
                  <c:v>160.279999</c:v>
                </c:pt>
                <c:pt idx="193">
                  <c:v>158.759995</c:v>
                </c:pt>
                <c:pt idx="194">
                  <c:v>157.38000500000001</c:v>
                </c:pt>
                <c:pt idx="195">
                  <c:v>156.85000600000001</c:v>
                </c:pt>
                <c:pt idx="196">
                  <c:v>156.16999799999999</c:v>
                </c:pt>
                <c:pt idx="197">
                  <c:v>157.5</c:v>
                </c:pt>
                <c:pt idx="198">
                  <c:v>159.36999499999999</c:v>
                </c:pt>
                <c:pt idx="199">
                  <c:v>164.529999</c:v>
                </c:pt>
                <c:pt idx="200">
                  <c:v>165.30999800000001</c:v>
                </c:pt>
                <c:pt idx="201">
                  <c:v>165.990005</c:v>
                </c:pt>
                <c:pt idx="202">
                  <c:v>168.38000500000001</c:v>
                </c:pt>
                <c:pt idx="203">
                  <c:v>165.550003</c:v>
                </c:pt>
                <c:pt idx="204">
                  <c:v>167.970001</c:v>
                </c:pt>
                <c:pt idx="205">
                  <c:v>172.470001</c:v>
                </c:pt>
                <c:pt idx="206">
                  <c:v>166.300003</c:v>
                </c:pt>
                <c:pt idx="207">
                  <c:v>166.69000199999999</c:v>
                </c:pt>
                <c:pt idx="208">
                  <c:v>164.270004</c:v>
                </c:pt>
                <c:pt idx="209">
                  <c:v>165.75</c:v>
                </c:pt>
                <c:pt idx="210">
                  <c:v>164.270004</c:v>
                </c:pt>
                <c:pt idx="211">
                  <c:v>166.449997</c:v>
                </c:pt>
                <c:pt idx="212">
                  <c:v>168.470001</c:v>
                </c:pt>
                <c:pt idx="213">
                  <c:v>168.300003</c:v>
                </c:pt>
                <c:pt idx="214">
                  <c:v>170</c:v>
                </c:pt>
                <c:pt idx="215">
                  <c:v>170.33999600000001</c:v>
                </c:pt>
                <c:pt idx="216">
                  <c:v>168.699997</c:v>
                </c:pt>
                <c:pt idx="217">
                  <c:v>161.36999499999999</c:v>
                </c:pt>
                <c:pt idx="218">
                  <c:v>162.679993</c:v>
                </c:pt>
                <c:pt idx="219">
                  <c:v>158.78999300000001</c:v>
                </c:pt>
                <c:pt idx="220">
                  <c:v>158.759995</c:v>
                </c:pt>
                <c:pt idx="221">
                  <c:v>161.490005</c:v>
                </c:pt>
                <c:pt idx="222">
                  <c:v>164.63999899999999</c:v>
                </c:pt>
                <c:pt idx="223">
                  <c:v>164.509995</c:v>
                </c:pt>
                <c:pt idx="224">
                  <c:v>164.61000100000001</c:v>
                </c:pt>
                <c:pt idx="225">
                  <c:v>163.679993</c:v>
                </c:pt>
                <c:pt idx="226">
                  <c:v>165.61000100000001</c:v>
                </c:pt>
                <c:pt idx="227">
                  <c:v>168.720001</c:v>
                </c:pt>
                <c:pt idx="228">
                  <c:v>166.88999899999999</c:v>
                </c:pt>
                <c:pt idx="229">
                  <c:v>171.550003</c:v>
                </c:pt>
                <c:pt idx="230">
                  <c:v>173.779999</c:v>
                </c:pt>
                <c:pt idx="231">
                  <c:v>174.38000500000001</c:v>
                </c:pt>
                <c:pt idx="232">
                  <c:v>175.36000100000001</c:v>
                </c:pt>
                <c:pt idx="233">
                  <c:v>171.550003</c:v>
                </c:pt>
                <c:pt idx="234">
                  <c:v>173.470001</c:v>
                </c:pt>
                <c:pt idx="235">
                  <c:v>172.61000100000001</c:v>
                </c:pt>
                <c:pt idx="236">
                  <c:v>174.86000100000001</c:v>
                </c:pt>
                <c:pt idx="237">
                  <c:v>171.58999600000001</c:v>
                </c:pt>
                <c:pt idx="238">
                  <c:v>173.259995</c:v>
                </c:pt>
                <c:pt idx="239">
                  <c:v>172.86999499999999</c:v>
                </c:pt>
                <c:pt idx="240">
                  <c:v>176.85000600000001</c:v>
                </c:pt>
                <c:pt idx="241">
                  <c:v>175.53999300000001</c:v>
                </c:pt>
                <c:pt idx="242">
                  <c:v>170.16999799999999</c:v>
                </c:pt>
                <c:pt idx="243">
                  <c:v>166.75</c:v>
                </c:pt>
                <c:pt idx="244">
                  <c:v>161.16000399999999</c:v>
                </c:pt>
                <c:pt idx="245">
                  <c:v>164.60000600000001</c:v>
                </c:pt>
                <c:pt idx="246">
                  <c:v>164.949997</c:v>
                </c:pt>
                <c:pt idx="247">
                  <c:v>173.61000100000001</c:v>
                </c:pt>
                <c:pt idx="248">
                  <c:v>179.21000699999999</c:v>
                </c:pt>
                <c:pt idx="249">
                  <c:v>178.91000399999999</c:v>
                </c:pt>
                <c:pt idx="250">
                  <c:v>183.279999</c:v>
                </c:pt>
                <c:pt idx="251">
                  <c:v>184.270004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5D-417F-BA10-C687ED3A05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331295"/>
        <c:axId val="1737332255"/>
      </c:lineChart>
      <c:dateAx>
        <c:axId val="173733129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332255"/>
        <c:crosses val="autoZero"/>
        <c:auto val="1"/>
        <c:lblOffset val="100"/>
        <c:baseTimeUnit val="days"/>
      </c:dateAx>
      <c:valAx>
        <c:axId val="1737332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7331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</a:t>
            </a:r>
            <a:r>
              <a:rPr lang="en-US" baseline="0"/>
              <a:t> Trend Model - Apple</a:t>
            </a:r>
            <a:endParaRPr lang="en-US"/>
          </a:p>
        </c:rich>
      </c:tx>
      <c:layout>
        <c:manualLayout>
          <c:xMode val="edge"/>
          <c:yMode val="edge"/>
          <c:x val="0.2803471128608923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2062948381452319"/>
                  <c:y val="0.102345800524934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'Part 2'!$L$5:$L$102</c:f>
              <c:numCache>
                <c:formatCode>0.00</c:formatCode>
                <c:ptCount val="98"/>
                <c:pt idx="0">
                  <c:v>64.195964900000007</c:v>
                </c:pt>
                <c:pt idx="1">
                  <c:v>64.5548991</c:v>
                </c:pt>
                <c:pt idx="2">
                  <c:v>64.620536299999998</c:v>
                </c:pt>
                <c:pt idx="3">
                  <c:v>64.947515899999999</c:v>
                </c:pt>
                <c:pt idx="4">
                  <c:v>65.018570400000002</c:v>
                </c:pt>
                <c:pt idx="5">
                  <c:v>65.461097600000002</c:v>
                </c:pt>
                <c:pt idx="6">
                  <c:v>65.413644300000001</c:v>
                </c:pt>
                <c:pt idx="7">
                  <c:v>65.027419899999998</c:v>
                </c:pt>
                <c:pt idx="8">
                  <c:v>64.548013800000007</c:v>
                </c:pt>
                <c:pt idx="9">
                  <c:v>64.61168570000001</c:v>
                </c:pt>
                <c:pt idx="10">
                  <c:v>64.819676900000005</c:v>
                </c:pt>
                <c:pt idx="11">
                  <c:v>65.40504150000001</c:v>
                </c:pt>
                <c:pt idx="12">
                  <c:v>65.382180000000005</c:v>
                </c:pt>
                <c:pt idx="13">
                  <c:v>65.623105199999998</c:v>
                </c:pt>
                <c:pt idx="14">
                  <c:v>65.091093000000001</c:v>
                </c:pt>
                <c:pt idx="15">
                  <c:v>64.476473900000002</c:v>
                </c:pt>
                <c:pt idx="16">
                  <c:v>64.255215100000001</c:v>
                </c:pt>
                <c:pt idx="17">
                  <c:v>65.072156499999991</c:v>
                </c:pt>
                <c:pt idx="18">
                  <c:v>65.736189100000004</c:v>
                </c:pt>
                <c:pt idx="19">
                  <c:v>66.163960299999999</c:v>
                </c:pt>
                <c:pt idx="20">
                  <c:v>65.925738600000003</c:v>
                </c:pt>
                <c:pt idx="21">
                  <c:v>66.320318399999991</c:v>
                </c:pt>
                <c:pt idx="22">
                  <c:v>66.834139800000003</c:v>
                </c:pt>
                <c:pt idx="23">
                  <c:v>67.422698099999991</c:v>
                </c:pt>
                <c:pt idx="24">
                  <c:v>68.250714200000004</c:v>
                </c:pt>
                <c:pt idx="25">
                  <c:v>68.837299200000004</c:v>
                </c:pt>
                <c:pt idx="26">
                  <c:v>68.869258099999996</c:v>
                </c:pt>
                <c:pt idx="27">
                  <c:v>68.779032900000004</c:v>
                </c:pt>
                <c:pt idx="28">
                  <c:v>68.994887000000006</c:v>
                </c:pt>
                <c:pt idx="29">
                  <c:v>69.273189700000003</c:v>
                </c:pt>
                <c:pt idx="30">
                  <c:v>70.130944800000009</c:v>
                </c:pt>
                <c:pt idx="31">
                  <c:v>70.574697200000003</c:v>
                </c:pt>
                <c:pt idx="32">
                  <c:v>71.344444299999992</c:v>
                </c:pt>
                <c:pt idx="33">
                  <c:v>71.562512699999999</c:v>
                </c:pt>
                <c:pt idx="34">
                  <c:v>72.260473300000001</c:v>
                </c:pt>
                <c:pt idx="35">
                  <c:v>72.872874899999999</c:v>
                </c:pt>
                <c:pt idx="36">
                  <c:v>73.597630999999993</c:v>
                </c:pt>
                <c:pt idx="37">
                  <c:v>73.344159700000006</c:v>
                </c:pt>
                <c:pt idx="38">
                  <c:v>73.767512800000006</c:v>
                </c:pt>
                <c:pt idx="39">
                  <c:v>74.264863800000001</c:v>
                </c:pt>
                <c:pt idx="40">
                  <c:v>75.364284699999999</c:v>
                </c:pt>
                <c:pt idx="41">
                  <c:v>76.533530299999995</c:v>
                </c:pt>
                <c:pt idx="42">
                  <c:v>76.898115500000003</c:v>
                </c:pt>
                <c:pt idx="43">
                  <c:v>77.331542899999988</c:v>
                </c:pt>
                <c:pt idx="44">
                  <c:v>76.898365799999993</c:v>
                </c:pt>
                <c:pt idx="45">
                  <c:v>77.192889899999997</c:v>
                </c:pt>
                <c:pt idx="46">
                  <c:v>77.823489199999997</c:v>
                </c:pt>
                <c:pt idx="47">
                  <c:v>78.148743299999992</c:v>
                </c:pt>
                <c:pt idx="48">
                  <c:v>78.041800500000008</c:v>
                </c:pt>
                <c:pt idx="49">
                  <c:v>78.248312299999995</c:v>
                </c:pt>
                <c:pt idx="50">
                  <c:v>77.908305500000012</c:v>
                </c:pt>
                <c:pt idx="51">
                  <c:v>77.534616900000003</c:v>
                </c:pt>
                <c:pt idx="52">
                  <c:v>77.3556411</c:v>
                </c:pt>
                <c:pt idx="53">
                  <c:v>78.897343399999997</c:v>
                </c:pt>
                <c:pt idx="54">
                  <c:v>78.974050099999999</c:v>
                </c:pt>
                <c:pt idx="55">
                  <c:v>77.815370600000008</c:v>
                </c:pt>
                <c:pt idx="56">
                  <c:v>76.488542700000011</c:v>
                </c:pt>
                <c:pt idx="57">
                  <c:v>77.263449699999995</c:v>
                </c:pt>
                <c:pt idx="58">
                  <c:v>78.892675999999994</c:v>
                </c:pt>
                <c:pt idx="59">
                  <c:v>79.272239200000001</c:v>
                </c:pt>
                <c:pt idx="60">
                  <c:v>79.483312600000005</c:v>
                </c:pt>
                <c:pt idx="61">
                  <c:v>78.956692699999991</c:v>
                </c:pt>
                <c:pt idx="62">
                  <c:v>79.374638399999995</c:v>
                </c:pt>
                <c:pt idx="63">
                  <c:v>79.581885900000003</c:v>
                </c:pt>
                <c:pt idx="64">
                  <c:v>80.348777400000003</c:v>
                </c:pt>
                <c:pt idx="65">
                  <c:v>79.774347400000011</c:v>
                </c:pt>
                <c:pt idx="66">
                  <c:v>79.572030299999994</c:v>
                </c:pt>
                <c:pt idx="67">
                  <c:v>79.016822400000009</c:v>
                </c:pt>
                <c:pt idx="68">
                  <c:v>78.983308799999989</c:v>
                </c:pt>
                <c:pt idx="69">
                  <c:v>77.305369299999995</c:v>
                </c:pt>
                <c:pt idx="70">
                  <c:v>74.814943499999998</c:v>
                </c:pt>
                <c:pt idx="71">
                  <c:v>72.461287499999997</c:v>
                </c:pt>
                <c:pt idx="72">
                  <c:v>70.611830000000012</c:v>
                </c:pt>
                <c:pt idx="73">
                  <c:v>69.7527762</c:v>
                </c:pt>
                <c:pt idx="74">
                  <c:v>68.638171499999999</c:v>
                </c:pt>
                <c:pt idx="75">
                  <c:v>70.032227299999988</c:v>
                </c:pt>
                <c:pt idx="76">
                  <c:v>73.127881600000009</c:v>
                </c:pt>
                <c:pt idx="77">
                  <c:v>72.466711099999998</c:v>
                </c:pt>
                <c:pt idx="78">
                  <c:v>73.202547899999999</c:v>
                </c:pt>
                <c:pt idx="79">
                  <c:v>70.578318600000003</c:v>
                </c:pt>
                <c:pt idx="80">
                  <c:v>69.3538085</c:v>
                </c:pt>
                <c:pt idx="81">
                  <c:v>67.465913400000005</c:v>
                </c:pt>
                <c:pt idx="82">
                  <c:v>67.754725699999995</c:v>
                </c:pt>
                <c:pt idx="83">
                  <c:v>65.988559800000004</c:v>
                </c:pt>
                <c:pt idx="84">
                  <c:v>63.0732894</c:v>
                </c:pt>
                <c:pt idx="85">
                  <c:v>64.618898900000005</c:v>
                </c:pt>
                <c:pt idx="86">
                  <c:v>60.694990900000001</c:v>
                </c:pt>
                <c:pt idx="87">
                  <c:v>61.456459000000002</c:v>
                </c:pt>
                <c:pt idx="88">
                  <c:v>59.788129099999999</c:v>
                </c:pt>
                <c:pt idx="89">
                  <c:v>58.166371999999996</c:v>
                </c:pt>
                <c:pt idx="90">
                  <c:v>57.001004899999998</c:v>
                </c:pt>
                <c:pt idx="91">
                  <c:v>57.998061200000002</c:v>
                </c:pt>
                <c:pt idx="92">
                  <c:v>61.307864200000004</c:v>
                </c:pt>
                <c:pt idx="93">
                  <c:v>61.568095200000002</c:v>
                </c:pt>
                <c:pt idx="94">
                  <c:v>62.717444700000001</c:v>
                </c:pt>
                <c:pt idx="95">
                  <c:v>61.896093399999998</c:v>
                </c:pt>
                <c:pt idx="96" formatCode="General">
                  <c:v>62.07</c:v>
                </c:pt>
                <c:pt idx="97">
                  <c:v>71.085999999999999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F1-4072-8E0C-77231B66B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1994480"/>
        <c:axId val="731298288"/>
      </c:lineChart>
      <c:catAx>
        <c:axId val="741994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1298288"/>
        <c:crosses val="autoZero"/>
        <c:auto val="1"/>
        <c:lblAlgn val="ctr"/>
        <c:lblOffset val="100"/>
        <c:noMultiLvlLbl val="0"/>
      </c:catAx>
      <c:valAx>
        <c:axId val="73129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994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</a:t>
            </a:r>
            <a:r>
              <a:rPr lang="en-US" baseline="0"/>
              <a:t> Trend  Model - Honeywell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997594050743652E-2"/>
          <c:y val="0.19486111111111112"/>
          <c:w val="0.8509026684164479"/>
          <c:h val="0.7208876494604841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4359755030621171"/>
                  <c:y val="0.13596566054243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'Part 2'!$R$5:$R$101</c:f>
              <c:numCache>
                <c:formatCode>0.00</c:formatCode>
                <c:ptCount val="97"/>
                <c:pt idx="0">
                  <c:v>177.07431169999998</c:v>
                </c:pt>
                <c:pt idx="1">
                  <c:v>177.22280869999997</c:v>
                </c:pt>
                <c:pt idx="2">
                  <c:v>177.5067138</c:v>
                </c:pt>
                <c:pt idx="3">
                  <c:v>177.47741390000002</c:v>
                </c:pt>
                <c:pt idx="4">
                  <c:v>177.02578599999998</c:v>
                </c:pt>
                <c:pt idx="5">
                  <c:v>177.54515079999999</c:v>
                </c:pt>
                <c:pt idx="6">
                  <c:v>176.11272589999999</c:v>
                </c:pt>
                <c:pt idx="7">
                  <c:v>175.28017600000001</c:v>
                </c:pt>
                <c:pt idx="8">
                  <c:v>173.70441150000002</c:v>
                </c:pt>
                <c:pt idx="9">
                  <c:v>173.38728789999999</c:v>
                </c:pt>
                <c:pt idx="10">
                  <c:v>173.8271273</c:v>
                </c:pt>
                <c:pt idx="11">
                  <c:v>174.45841369999999</c:v>
                </c:pt>
                <c:pt idx="12">
                  <c:v>175.53936180000002</c:v>
                </c:pt>
                <c:pt idx="13">
                  <c:v>174.8943347</c:v>
                </c:pt>
                <c:pt idx="14">
                  <c:v>172.87382690000001</c:v>
                </c:pt>
                <c:pt idx="15">
                  <c:v>170.40562</c:v>
                </c:pt>
                <c:pt idx="16">
                  <c:v>169.88820799999999</c:v>
                </c:pt>
                <c:pt idx="17">
                  <c:v>170.73254550000001</c:v>
                </c:pt>
                <c:pt idx="18">
                  <c:v>171.36186810000001</c:v>
                </c:pt>
                <c:pt idx="19">
                  <c:v>171.69960789999999</c:v>
                </c:pt>
                <c:pt idx="20">
                  <c:v>171.47771140000003</c:v>
                </c:pt>
                <c:pt idx="21">
                  <c:v>172.10801380000001</c:v>
                </c:pt>
                <c:pt idx="22">
                  <c:v>173.40102809999999</c:v>
                </c:pt>
                <c:pt idx="23">
                  <c:v>173.84382140000002</c:v>
                </c:pt>
                <c:pt idx="24">
                  <c:v>173.5306257</c:v>
                </c:pt>
                <c:pt idx="25">
                  <c:v>172.9297713</c:v>
                </c:pt>
                <c:pt idx="26">
                  <c:v>172.83552420000001</c:v>
                </c:pt>
                <c:pt idx="27">
                  <c:v>172.3544512</c:v>
                </c:pt>
                <c:pt idx="28">
                  <c:v>173.24493260000003</c:v>
                </c:pt>
                <c:pt idx="29">
                  <c:v>173.1830794</c:v>
                </c:pt>
                <c:pt idx="30">
                  <c:v>173.26947770000001</c:v>
                </c:pt>
                <c:pt idx="31">
                  <c:v>173.299916</c:v>
                </c:pt>
                <c:pt idx="32">
                  <c:v>173.45012500000001</c:v>
                </c:pt>
                <c:pt idx="33">
                  <c:v>173.34998010000001</c:v>
                </c:pt>
                <c:pt idx="34">
                  <c:v>174.23553609999999</c:v>
                </c:pt>
                <c:pt idx="35">
                  <c:v>175.25758359999998</c:v>
                </c:pt>
                <c:pt idx="36">
                  <c:v>176.28453970000001</c:v>
                </c:pt>
                <c:pt idx="37">
                  <c:v>174.95913350000001</c:v>
                </c:pt>
                <c:pt idx="38">
                  <c:v>174.35533410000002</c:v>
                </c:pt>
                <c:pt idx="39">
                  <c:v>174.70583009999999</c:v>
                </c:pt>
                <c:pt idx="40">
                  <c:v>175.08872220000001</c:v>
                </c:pt>
                <c:pt idx="41">
                  <c:v>176.12548670000001</c:v>
                </c:pt>
                <c:pt idx="42">
                  <c:v>176.5358627</c:v>
                </c:pt>
                <c:pt idx="43">
                  <c:v>177.62073809999998</c:v>
                </c:pt>
                <c:pt idx="44">
                  <c:v>177.60110169999999</c:v>
                </c:pt>
                <c:pt idx="45">
                  <c:v>178.37966020000002</c:v>
                </c:pt>
                <c:pt idx="46">
                  <c:v>178.9648071</c:v>
                </c:pt>
                <c:pt idx="47">
                  <c:v>178.5907484</c:v>
                </c:pt>
                <c:pt idx="48">
                  <c:v>177.11022180000001</c:v>
                </c:pt>
                <c:pt idx="49">
                  <c:v>176.05873400000002</c:v>
                </c:pt>
                <c:pt idx="50">
                  <c:v>174.40148140000002</c:v>
                </c:pt>
                <c:pt idx="51">
                  <c:v>172.5184142</c:v>
                </c:pt>
                <c:pt idx="52">
                  <c:v>171.3628492</c:v>
                </c:pt>
                <c:pt idx="53">
                  <c:v>172.89149630000003</c:v>
                </c:pt>
                <c:pt idx="54">
                  <c:v>172.77563620000001</c:v>
                </c:pt>
                <c:pt idx="55">
                  <c:v>172.20521859999999</c:v>
                </c:pt>
                <c:pt idx="56">
                  <c:v>169.89606760000001</c:v>
                </c:pt>
                <c:pt idx="57">
                  <c:v>170.44096200000001</c:v>
                </c:pt>
                <c:pt idx="58">
                  <c:v>172.74029689999998</c:v>
                </c:pt>
                <c:pt idx="59">
                  <c:v>173.1977981</c:v>
                </c:pt>
                <c:pt idx="60">
                  <c:v>172.94057609999999</c:v>
                </c:pt>
                <c:pt idx="61">
                  <c:v>173.33917389999999</c:v>
                </c:pt>
                <c:pt idx="62">
                  <c:v>175.20555590000001</c:v>
                </c:pt>
                <c:pt idx="63">
                  <c:v>176.67528700000003</c:v>
                </c:pt>
                <c:pt idx="64">
                  <c:v>177.49507779999999</c:v>
                </c:pt>
                <c:pt idx="65">
                  <c:v>176.90503100000001</c:v>
                </c:pt>
                <c:pt idx="66">
                  <c:v>177.11709739999998</c:v>
                </c:pt>
                <c:pt idx="67">
                  <c:v>176.82746420000001</c:v>
                </c:pt>
                <c:pt idx="68">
                  <c:v>177.32621419999998</c:v>
                </c:pt>
                <c:pt idx="69">
                  <c:v>176.10095030000002</c:v>
                </c:pt>
                <c:pt idx="70">
                  <c:v>172.87381870000002</c:v>
                </c:pt>
                <c:pt idx="71">
                  <c:v>168.28887470000001</c:v>
                </c:pt>
                <c:pt idx="72">
                  <c:v>163.11065340000002</c:v>
                </c:pt>
                <c:pt idx="73">
                  <c:v>161.33057840000001</c:v>
                </c:pt>
                <c:pt idx="74">
                  <c:v>159.1935225</c:v>
                </c:pt>
                <c:pt idx="75">
                  <c:v>160.63567660000001</c:v>
                </c:pt>
                <c:pt idx="76">
                  <c:v>162.79743360000001</c:v>
                </c:pt>
                <c:pt idx="77">
                  <c:v>163.15376739999999</c:v>
                </c:pt>
                <c:pt idx="78">
                  <c:v>165.71134470000001</c:v>
                </c:pt>
                <c:pt idx="79">
                  <c:v>160.14804370000002</c:v>
                </c:pt>
                <c:pt idx="80">
                  <c:v>158.14423529999999</c:v>
                </c:pt>
                <c:pt idx="81">
                  <c:v>153.60752259999998</c:v>
                </c:pt>
                <c:pt idx="82">
                  <c:v>151.84752459999999</c:v>
                </c:pt>
                <c:pt idx="83">
                  <c:v>145.1352459</c:v>
                </c:pt>
                <c:pt idx="84">
                  <c:v>137.50496649999999</c:v>
                </c:pt>
                <c:pt idx="85">
                  <c:v>139.81873010000001</c:v>
                </c:pt>
                <c:pt idx="86">
                  <c:v>129.4058138</c:v>
                </c:pt>
                <c:pt idx="87">
                  <c:v>123.95505080000001</c:v>
                </c:pt>
                <c:pt idx="88">
                  <c:v>116.4708602</c:v>
                </c:pt>
                <c:pt idx="89">
                  <c:v>112.53134320000001</c:v>
                </c:pt>
                <c:pt idx="90">
                  <c:v>109.87406910000001</c:v>
                </c:pt>
                <c:pt idx="91">
                  <c:v>112.2460671</c:v>
                </c:pt>
                <c:pt idx="92">
                  <c:v>124.50288330000001</c:v>
                </c:pt>
                <c:pt idx="93">
                  <c:v>130.59230489999999</c:v>
                </c:pt>
                <c:pt idx="94">
                  <c:v>132.69680019999998</c:v>
                </c:pt>
                <c:pt idx="95">
                  <c:v>130.2162294</c:v>
                </c:pt>
                <c:pt idx="96">
                  <c:v>130.25175670000002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28-4F56-9C6D-4F0349BB6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7729360"/>
        <c:axId val="737729840"/>
      </c:lineChart>
      <c:catAx>
        <c:axId val="7377293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29840"/>
        <c:crosses val="autoZero"/>
        <c:auto val="1"/>
        <c:lblAlgn val="ctr"/>
        <c:lblOffset val="100"/>
        <c:noMultiLvlLbl val="0"/>
      </c:catAx>
      <c:valAx>
        <c:axId val="73772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29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450568678915136E-3"/>
                  <c:y val="0.263645377661125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'Part 3'!$C$2:$C$258</c:f>
              <c:numCache>
                <c:formatCode>General</c:formatCode>
                <c:ptCount val="2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</c:numCache>
            </c:numRef>
          </c:xVal>
          <c:yVal>
            <c:numRef>
              <c:f>'Part 3'!$E$1:$E$257</c:f>
              <c:numCache>
                <c:formatCode>0.00</c:formatCode>
                <c:ptCount val="257"/>
                <c:pt idx="0" formatCode="General">
                  <c:v>0</c:v>
                </c:pt>
                <c:pt idx="1">
                  <c:v>63.954543999999999</c:v>
                </c:pt>
                <c:pt idx="2">
                  <c:v>64.460991000000007</c:v>
                </c:pt>
                <c:pt idx="3">
                  <c:v>64.401978</c:v>
                </c:pt>
                <c:pt idx="4">
                  <c:v>65.019051000000005</c:v>
                </c:pt>
                <c:pt idx="5">
                  <c:v>64.569159999999997</c:v>
                </c:pt>
                <c:pt idx="6">
                  <c:v>65.336212000000003</c:v>
                </c:pt>
                <c:pt idx="7">
                  <c:v>65.665633999999997</c:v>
                </c:pt>
                <c:pt idx="8">
                  <c:v>65.466507000000007</c:v>
                </c:pt>
                <c:pt idx="9">
                  <c:v>64.704375999999996</c:v>
                </c:pt>
                <c:pt idx="10">
                  <c:v>64.414268000000007</c:v>
                </c:pt>
                <c:pt idx="11">
                  <c:v>64.357726999999997</c:v>
                </c:pt>
                <c:pt idx="12">
                  <c:v>65.486168000000006</c:v>
                </c:pt>
                <c:pt idx="13">
                  <c:v>64.974815000000007</c:v>
                </c:pt>
                <c:pt idx="14">
                  <c:v>65.847565000000003</c:v>
                </c:pt>
                <c:pt idx="15">
                  <c:v>65.702515000000005</c:v>
                </c:pt>
                <c:pt idx="16">
                  <c:v>64.942841000000001</c:v>
                </c:pt>
                <c:pt idx="17">
                  <c:v>63.784916000000003</c:v>
                </c:pt>
                <c:pt idx="18">
                  <c:v>64.347892999999999</c:v>
                </c:pt>
                <c:pt idx="19">
                  <c:v>65.291945999999996</c:v>
                </c:pt>
                <c:pt idx="20">
                  <c:v>66.553130999999993</c:v>
                </c:pt>
                <c:pt idx="21">
                  <c:v>65.621384000000006</c:v>
                </c:pt>
                <c:pt idx="22">
                  <c:v>66.004897999999997</c:v>
                </c:pt>
                <c:pt idx="23">
                  <c:v>66.567886000000001</c:v>
                </c:pt>
                <c:pt idx="24">
                  <c:v>66.737517999999994</c:v>
                </c:pt>
                <c:pt idx="25">
                  <c:v>67.644706999999997</c:v>
                </c:pt>
                <c:pt idx="26">
                  <c:v>68.802634999999995</c:v>
                </c:pt>
                <c:pt idx="27">
                  <c:v>68.937850999999995</c:v>
                </c:pt>
                <c:pt idx="28">
                  <c:v>68.773132000000004</c:v>
                </c:pt>
                <c:pt idx="29">
                  <c:v>68.841965000000002</c:v>
                </c:pt>
                <c:pt idx="30">
                  <c:v>68.699387000000002</c:v>
                </c:pt>
                <c:pt idx="31">
                  <c:v>69.820442</c:v>
                </c:pt>
                <c:pt idx="32">
                  <c:v>69.886818000000005</c:v>
                </c:pt>
                <c:pt idx="33">
                  <c:v>71.273392000000001</c:v>
                </c:pt>
                <c:pt idx="34">
                  <c:v>71.246352999999999</c:v>
                </c:pt>
                <c:pt idx="35">
                  <c:v>71.669212000000002</c:v>
                </c:pt>
                <c:pt idx="36">
                  <c:v>72.192863000000003</c:v>
                </c:pt>
                <c:pt idx="37">
                  <c:v>73.840041999999997</c:v>
                </c:pt>
                <c:pt idx="38">
                  <c:v>73.122153999999995</c:v>
                </c:pt>
                <c:pt idx="39">
                  <c:v>73.704819000000001</c:v>
                </c:pt>
                <c:pt idx="40">
                  <c:v>73.358185000000006</c:v>
                </c:pt>
                <c:pt idx="41">
                  <c:v>74.538239000000004</c:v>
                </c:pt>
                <c:pt idx="42">
                  <c:v>76.121498000000003</c:v>
                </c:pt>
                <c:pt idx="43">
                  <c:v>76.293578999999994</c:v>
                </c:pt>
                <c:pt idx="44">
                  <c:v>77.923537999999994</c:v>
                </c:pt>
                <c:pt idx="45">
                  <c:v>76.871323000000004</c:v>
                </c:pt>
                <c:pt idx="46">
                  <c:v>76.541884999999994</c:v>
                </c:pt>
                <c:pt idx="47">
                  <c:v>77.500693999999996</c:v>
                </c:pt>
                <c:pt idx="48">
                  <c:v>78.358695999999995</c:v>
                </c:pt>
                <c:pt idx="49">
                  <c:v>77.827667000000005</c:v>
                </c:pt>
                <c:pt idx="50">
                  <c:v>78.105475999999996</c:v>
                </c:pt>
                <c:pt idx="51">
                  <c:v>78.481621000000004</c:v>
                </c:pt>
                <c:pt idx="52">
                  <c:v>78.255439999999993</c:v>
                </c:pt>
                <c:pt idx="53">
                  <c:v>75.954314999999994</c:v>
                </c:pt>
                <c:pt idx="54">
                  <c:v>78.103012000000007</c:v>
                </c:pt>
                <c:pt idx="55">
                  <c:v>79.737899999999996</c:v>
                </c:pt>
                <c:pt idx="56">
                  <c:v>79.622337000000002</c:v>
                </c:pt>
                <c:pt idx="57">
                  <c:v>76.091994999999997</c:v>
                </c:pt>
                <c:pt idx="58">
                  <c:v>75.883018000000007</c:v>
                </c:pt>
                <c:pt idx="59">
                  <c:v>78.388199</c:v>
                </c:pt>
                <c:pt idx="60">
                  <c:v>79.027405000000002</c:v>
                </c:pt>
                <c:pt idx="61">
                  <c:v>79.951774999999998</c:v>
                </c:pt>
                <c:pt idx="62">
                  <c:v>78.865020999999999</c:v>
                </c:pt>
                <c:pt idx="63">
                  <c:v>79.239593999999997</c:v>
                </c:pt>
                <c:pt idx="64">
                  <c:v>78.761520000000004</c:v>
                </c:pt>
                <c:pt idx="65">
                  <c:v>80.631927000000005</c:v>
                </c:pt>
                <c:pt idx="66">
                  <c:v>80.057738999999998</c:v>
                </c:pt>
                <c:pt idx="67">
                  <c:v>80.077461</c:v>
                </c:pt>
                <c:pt idx="68">
                  <c:v>78.611198000000002</c:v>
                </c:pt>
                <c:pt idx="69">
                  <c:v>79.749701999999999</c:v>
                </c:pt>
                <c:pt idx="70">
                  <c:v>78.931563999999995</c:v>
                </c:pt>
                <c:pt idx="71">
                  <c:v>77.144942999999998</c:v>
                </c:pt>
                <c:pt idx="72">
                  <c:v>73.480521999999993</c:v>
                </c:pt>
                <c:pt idx="73">
                  <c:v>70.991577000000007</c:v>
                </c:pt>
                <c:pt idx="74">
                  <c:v>72.117767000000001</c:v>
                </c:pt>
                <c:pt idx="75">
                  <c:v>67.403557000000006</c:v>
                </c:pt>
                <c:pt idx="76">
                  <c:v>67.364127999999994</c:v>
                </c:pt>
                <c:pt idx="77">
                  <c:v>73.635773</c:v>
                </c:pt>
                <c:pt idx="78">
                  <c:v>71.297156999999999</c:v>
                </c:pt>
                <c:pt idx="79">
                  <c:v>74.604240000000004</c:v>
                </c:pt>
                <c:pt idx="80">
                  <c:v>72.184303</c:v>
                </c:pt>
                <c:pt idx="81">
                  <c:v>71.225684999999999</c:v>
                </c:pt>
                <c:pt idx="82">
                  <c:v>65.592308000000003</c:v>
                </c:pt>
                <c:pt idx="83">
                  <c:v>70.316367999999997</c:v>
                </c:pt>
                <c:pt idx="84">
                  <c:v>67.874245000000002</c:v>
                </c:pt>
                <c:pt idx="85">
                  <c:v>61.171340999999998</c:v>
                </c:pt>
                <c:pt idx="86">
                  <c:v>68.500174999999999</c:v>
                </c:pt>
                <c:pt idx="87">
                  <c:v>59.687832</c:v>
                </c:pt>
                <c:pt idx="88">
                  <c:v>62.312308999999999</c:v>
                </c:pt>
                <c:pt idx="89">
                  <c:v>60.786911000000003</c:v>
                </c:pt>
                <c:pt idx="90">
                  <c:v>60.321156000000002</c:v>
                </c:pt>
                <c:pt idx="91">
                  <c:v>56.491633999999998</c:v>
                </c:pt>
                <c:pt idx="92">
                  <c:v>55.291519000000001</c:v>
                </c:pt>
                <c:pt idx="93">
                  <c:v>60.838661000000002</c:v>
                </c:pt>
                <c:pt idx="94">
                  <c:v>60.503517000000002</c:v>
                </c:pt>
                <c:pt idx="95">
                  <c:v>63.687393</c:v>
                </c:pt>
                <c:pt idx="96">
                  <c:v>61.050593999999997</c:v>
                </c:pt>
                <c:pt idx="97">
                  <c:v>62.792850000000001</c:v>
                </c:pt>
                <c:pt idx="98">
                  <c:v>62.664707</c:v>
                </c:pt>
                <c:pt idx="99">
                  <c:v>59.367474000000001</c:v>
                </c:pt>
                <c:pt idx="100">
                  <c:v>60.35812</c:v>
                </c:pt>
                <c:pt idx="101">
                  <c:v>59.490692000000003</c:v>
                </c:pt>
                <c:pt idx="102">
                  <c:v>64.680503999999999</c:v>
                </c:pt>
                <c:pt idx="103">
                  <c:v>63.931355000000003</c:v>
                </c:pt>
                <c:pt idx="104">
                  <c:v>65.567656999999997</c:v>
                </c:pt>
                <c:pt idx="105">
                  <c:v>66.040801999999999</c:v>
                </c:pt>
                <c:pt idx="106">
                  <c:v>67.337029000000001</c:v>
                </c:pt>
                <c:pt idx="107">
                  <c:v>70.737755000000007</c:v>
                </c:pt>
                <c:pt idx="108">
                  <c:v>70.092110000000005</c:v>
                </c:pt>
                <c:pt idx="109">
                  <c:v>70.649039999999999</c:v>
                </c:pt>
                <c:pt idx="110">
                  <c:v>69.690421999999998</c:v>
                </c:pt>
                <c:pt idx="111">
                  <c:v>68.243881000000002</c:v>
                </c:pt>
                <c:pt idx="112">
                  <c:v>66.134438000000003</c:v>
                </c:pt>
                <c:pt idx="113">
                  <c:v>68.039351999999994</c:v>
                </c:pt>
                <c:pt idx="114">
                  <c:v>67.775672999999998</c:v>
                </c:pt>
                <c:pt idx="115">
                  <c:v>69.732322999999994</c:v>
                </c:pt>
                <c:pt idx="116">
                  <c:v>69.781609000000003</c:v>
                </c:pt>
                <c:pt idx="117">
                  <c:v>68.650490000000005</c:v>
                </c:pt>
                <c:pt idx="118">
                  <c:v>70.905333999999996</c:v>
                </c:pt>
                <c:pt idx="119">
                  <c:v>72.401154000000005</c:v>
                </c:pt>
                <c:pt idx="120">
                  <c:v>71.235541999999995</c:v>
                </c:pt>
                <c:pt idx="121">
                  <c:v>72.243446000000006</c:v>
                </c:pt>
                <c:pt idx="122">
                  <c:v>73.327736000000002</c:v>
                </c:pt>
                <c:pt idx="123">
                  <c:v>74.084282000000002</c:v>
                </c:pt>
                <c:pt idx="124">
                  <c:v>74.850669999999994</c:v>
                </c:pt>
                <c:pt idx="125">
                  <c:v>77.259674000000004</c:v>
                </c:pt>
                <c:pt idx="126">
                  <c:v>78.475371999999993</c:v>
                </c:pt>
                <c:pt idx="127">
                  <c:v>77.578536999999997</c:v>
                </c:pt>
                <c:pt idx="128">
                  <c:v>76.641852999999998</c:v>
                </c:pt>
                <c:pt idx="129">
                  <c:v>77.112685999999997</c:v>
                </c:pt>
                <c:pt idx="130">
                  <c:v>76.656791999999996</c:v>
                </c:pt>
                <c:pt idx="131">
                  <c:v>78.462913999999998</c:v>
                </c:pt>
                <c:pt idx="132">
                  <c:v>78.009521000000007</c:v>
                </c:pt>
                <c:pt idx="133">
                  <c:v>79.526664999999994</c:v>
                </c:pt>
                <c:pt idx="134">
                  <c:v>78.933753999999993</c:v>
                </c:pt>
                <c:pt idx="135">
                  <c:v>79.441963000000001</c:v>
                </c:pt>
                <c:pt idx="136">
                  <c:v>78.903862000000004</c:v>
                </c:pt>
                <c:pt idx="137">
                  <c:v>79.247642999999997</c:v>
                </c:pt>
                <c:pt idx="138">
                  <c:v>79.282523999999995</c:v>
                </c:pt>
                <c:pt idx="139">
                  <c:v>79.205298999999997</c:v>
                </c:pt>
                <c:pt idx="140">
                  <c:v>80.179359000000005</c:v>
                </c:pt>
                <c:pt idx="141">
                  <c:v>80.550545</c:v>
                </c:pt>
                <c:pt idx="142">
                  <c:v>80.993979999999993</c:v>
                </c:pt>
                <c:pt idx="143">
                  <c:v>80.296447999999998</c:v>
                </c:pt>
                <c:pt idx="144">
                  <c:v>82.583374000000006</c:v>
                </c:pt>
                <c:pt idx="145">
                  <c:v>83.071640000000002</c:v>
                </c:pt>
                <c:pt idx="146">
                  <c:v>85.694878000000003</c:v>
                </c:pt>
                <c:pt idx="147">
                  <c:v>87.899590000000003</c:v>
                </c:pt>
                <c:pt idx="148">
                  <c:v>83.679496999999998</c:v>
                </c:pt>
                <c:pt idx="149">
                  <c:v>84.401947000000007</c:v>
                </c:pt>
                <c:pt idx="150">
                  <c:v>85.445755000000005</c:v>
                </c:pt>
                <c:pt idx="151">
                  <c:v>87.710257999999996</c:v>
                </c:pt>
                <c:pt idx="152">
                  <c:v>87.588195999999996</c:v>
                </c:pt>
                <c:pt idx="153">
                  <c:v>87.623076999999995</c:v>
                </c:pt>
                <c:pt idx="154">
                  <c:v>87.122337000000002</c:v>
                </c:pt>
                <c:pt idx="155">
                  <c:v>89.401786999999999</c:v>
                </c:pt>
                <c:pt idx="156">
                  <c:v>91.310051000000001</c:v>
                </c:pt>
                <c:pt idx="157">
                  <c:v>89.698241999999993</c:v>
                </c:pt>
                <c:pt idx="158">
                  <c:v>90.889037999999999</c:v>
                </c:pt>
                <c:pt idx="159">
                  <c:v>88.096405000000004</c:v>
                </c:pt>
                <c:pt idx="160">
                  <c:v>90.126732000000004</c:v>
                </c:pt>
                <c:pt idx="161">
                  <c:v>90.879065999999995</c:v>
                </c:pt>
                <c:pt idx="162">
                  <c:v>90.707176000000004</c:v>
                </c:pt>
                <c:pt idx="163">
                  <c:v>90.707176000000004</c:v>
                </c:pt>
                <c:pt idx="164">
                  <c:v>93.133613999999994</c:v>
                </c:pt>
                <c:pt idx="165">
                  <c:v>92.844634999999997</c:v>
                </c:pt>
                <c:pt idx="166">
                  <c:v>95.006996000000001</c:v>
                </c:pt>
                <c:pt idx="167">
                  <c:v>95.415558000000004</c:v>
                </c:pt>
                <c:pt idx="168">
                  <c:v>95.582465999999997</c:v>
                </c:pt>
                <c:pt idx="169">
                  <c:v>95.141525000000001</c:v>
                </c:pt>
                <c:pt idx="170">
                  <c:v>96.715964999999997</c:v>
                </c:pt>
                <c:pt idx="171">
                  <c:v>97.381111000000004</c:v>
                </c:pt>
                <c:pt idx="172">
                  <c:v>96.182845999999998</c:v>
                </c:pt>
                <c:pt idx="173">
                  <c:v>95.988533000000004</c:v>
                </c:pt>
                <c:pt idx="174">
                  <c:v>98.011391000000003</c:v>
                </c:pt>
                <c:pt idx="175">
                  <c:v>96.658660999999995</c:v>
                </c:pt>
                <c:pt idx="176">
                  <c:v>96.930199000000002</c:v>
                </c:pt>
                <c:pt idx="177">
                  <c:v>92.518287999999998</c:v>
                </c:pt>
                <c:pt idx="178">
                  <c:v>92.289092999999994</c:v>
                </c:pt>
                <c:pt idx="179">
                  <c:v>94.476364000000004</c:v>
                </c:pt>
                <c:pt idx="180">
                  <c:v>92.924355000000006</c:v>
                </c:pt>
                <c:pt idx="181">
                  <c:v>94.705558999999994</c:v>
                </c:pt>
                <c:pt idx="182">
                  <c:v>95.851517000000001</c:v>
                </c:pt>
                <c:pt idx="183">
                  <c:v>105.88608600000001</c:v>
                </c:pt>
                <c:pt idx="184">
                  <c:v>108.554153</c:v>
                </c:pt>
                <c:pt idx="185">
                  <c:v>109.279099</c:v>
                </c:pt>
                <c:pt idx="186">
                  <c:v>109.675194</c:v>
                </c:pt>
                <c:pt idx="187">
                  <c:v>113.501678</c:v>
                </c:pt>
                <c:pt idx="188">
                  <c:v>110.92113500000001</c:v>
                </c:pt>
                <c:pt idx="189">
                  <c:v>112.533356</c:v>
                </c:pt>
                <c:pt idx="190">
                  <c:v>109.186623</c:v>
                </c:pt>
                <c:pt idx="191">
                  <c:v>112.815369</c:v>
                </c:pt>
                <c:pt idx="192">
                  <c:v>114.81192</c:v>
                </c:pt>
                <c:pt idx="193">
                  <c:v>114.709602</c:v>
                </c:pt>
                <c:pt idx="194">
                  <c:v>114.41011</c:v>
                </c:pt>
                <c:pt idx="195">
                  <c:v>115.363472</c:v>
                </c:pt>
                <c:pt idx="196">
                  <c:v>115.508217</c:v>
                </c:pt>
                <c:pt idx="197">
                  <c:v>118.071297</c:v>
                </c:pt>
                <c:pt idx="198">
                  <c:v>124.1558</c:v>
                </c:pt>
                <c:pt idx="199">
                  <c:v>125.640739</c:v>
                </c:pt>
                <c:pt idx="200">
                  <c:v>124.610016</c:v>
                </c:pt>
                <c:pt idx="201">
                  <c:v>126.304596</c:v>
                </c:pt>
                <c:pt idx="202">
                  <c:v>124.794701</c:v>
                </c:pt>
                <c:pt idx="203">
                  <c:v>124.592552</c:v>
                </c:pt>
                <c:pt idx="204">
                  <c:v>128.81774899999999</c:v>
                </c:pt>
                <c:pt idx="205">
                  <c:v>133.94889800000001</c:v>
                </c:pt>
                <c:pt idx="206">
                  <c:v>131.17369099999999</c:v>
                </c:pt>
                <c:pt idx="207">
                  <c:v>120.671806</c:v>
                </c:pt>
                <c:pt idx="208">
                  <c:v>120.751671</c:v>
                </c:pt>
                <c:pt idx="209">
                  <c:v>112.625694</c:v>
                </c:pt>
                <c:pt idx="210">
                  <c:v>117.117943</c:v>
                </c:pt>
                <c:pt idx="211">
                  <c:v>113.29454</c:v>
                </c:pt>
                <c:pt idx="212">
                  <c:v>111.807106</c:v>
                </c:pt>
                <c:pt idx="213">
                  <c:v>115.161316</c:v>
                </c:pt>
                <c:pt idx="214">
                  <c:v>115.34101099999999</c:v>
                </c:pt>
                <c:pt idx="215">
                  <c:v>111.936882</c:v>
                </c:pt>
                <c:pt idx="216">
                  <c:v>110.149963</c:v>
                </c:pt>
                <c:pt idx="217">
                  <c:v>106.655991</c:v>
                </c:pt>
                <c:pt idx="218">
                  <c:v>109.890411</c:v>
                </c:pt>
                <c:pt idx="219">
                  <c:v>111.61743199999999</c:v>
                </c:pt>
                <c:pt idx="220">
                  <c:v>106.935509</c:v>
                </c:pt>
                <c:pt idx="221">
                  <c:v>108.033615</c:v>
                </c:pt>
                <c:pt idx="222">
                  <c:v>112.086624</c:v>
                </c:pt>
                <c:pt idx="223">
                  <c:v>114.76200900000001</c:v>
                </c:pt>
                <c:pt idx="224">
                  <c:v>113.893501</c:v>
                </c:pt>
                <c:pt idx="225">
                  <c:v>115.610542</c:v>
                </c:pt>
                <c:pt idx="226">
                  <c:v>116.58886</c:v>
                </c:pt>
                <c:pt idx="227">
                  <c:v>112.82534800000001</c:v>
                </c:pt>
                <c:pt idx="228">
                  <c:v>116.29935500000001</c:v>
                </c:pt>
                <c:pt idx="229">
                  <c:v>112.96511099999999</c:v>
                </c:pt>
                <c:pt idx="230">
                  <c:v>114.881805</c:v>
                </c:pt>
                <c:pt idx="231">
                  <c:v>114.77198799999999</c:v>
                </c:pt>
                <c:pt idx="232">
                  <c:v>116.768547</c:v>
                </c:pt>
                <c:pt idx="233">
                  <c:v>124.18575300000001</c:v>
                </c:pt>
                <c:pt idx="234">
                  <c:v>120.891434</c:v>
                </c:pt>
                <c:pt idx="235">
                  <c:v>120.98127700000001</c:v>
                </c:pt>
                <c:pt idx="236">
                  <c:v>120.502106</c:v>
                </c:pt>
                <c:pt idx="237">
                  <c:v>118.81501</c:v>
                </c:pt>
                <c:pt idx="238">
                  <c:v>115.78025100000001</c:v>
                </c:pt>
                <c:pt idx="239">
                  <c:v>117.30761699999999</c:v>
                </c:pt>
                <c:pt idx="240">
                  <c:v>116.668724</c:v>
                </c:pt>
                <c:pt idx="241">
                  <c:v>115.55064400000001</c:v>
                </c:pt>
                <c:pt idx="242">
                  <c:v>114.84187300000001</c:v>
                </c:pt>
                <c:pt idx="243">
                  <c:v>114.85185199999999</c:v>
                </c:pt>
                <c:pt idx="244">
                  <c:v>116.39917800000001</c:v>
                </c:pt>
                <c:pt idx="245">
                  <c:v>111.008476</c:v>
                </c:pt>
                <c:pt idx="246">
                  <c:v>115.12138400000001</c:v>
                </c:pt>
                <c:pt idx="247">
                  <c:v>108.672516</c:v>
                </c:pt>
                <c:pt idx="248">
                  <c:v>108.58266399999999</c:v>
                </c:pt>
                <c:pt idx="249">
                  <c:v>110.24979399999999</c:v>
                </c:pt>
                <c:pt idx="250">
                  <c:v>114.752022</c:v>
                </c:pt>
                <c:pt idx="251">
                  <c:v>118.824997</c:v>
                </c:pt>
                <c:pt idx="252">
                  <c:v>118.69000200000001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'Part 3'!#REF!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676-4107-85AE-7CC3E597AC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745519"/>
        <c:axId val="473748399"/>
      </c:scatterChart>
      <c:valAx>
        <c:axId val="47374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48399"/>
        <c:crosses val="autoZero"/>
        <c:crossBetween val="midCat"/>
      </c:valAx>
      <c:valAx>
        <c:axId val="47374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45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 3'!$S$1</c:f>
              <c:strCache>
                <c:ptCount val="1"/>
                <c:pt idx="0">
                  <c:v>HON (Honeywell Inc)  /  $ (Observed y)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0191163604549431E-2"/>
                  <c:y val="0.26507545931758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'Part 3'!$Q$2:$Q$259</c:f>
              <c:numCache>
                <c:formatCode>General</c:formatCode>
                <c:ptCount val="25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</c:numCache>
            </c:numRef>
          </c:xVal>
          <c:yVal>
            <c:numRef>
              <c:f>'Part 3'!$S$2:$S$259</c:f>
              <c:numCache>
                <c:formatCode>0.00</c:formatCode>
                <c:ptCount val="258"/>
                <c:pt idx="0">
                  <c:v>177.02937299999999</c:v>
                </c:pt>
                <c:pt idx="1">
                  <c:v>176.658142</c:v>
                </c:pt>
                <c:pt idx="2">
                  <c:v>177.810913</c:v>
                </c:pt>
                <c:pt idx="3">
                  <c:v>177.752319</c:v>
                </c:pt>
                <c:pt idx="4">
                  <c:v>176.37780799999999</c:v>
                </c:pt>
                <c:pt idx="5">
                  <c:v>178.43956</c:v>
                </c:pt>
                <c:pt idx="6">
                  <c:v>176.52507</c:v>
                </c:pt>
                <c:pt idx="7">
                  <c:v>176.839249</c:v>
                </c:pt>
                <c:pt idx="8">
                  <c:v>173.99208100000001</c:v>
                </c:pt>
                <c:pt idx="9">
                  <c:v>173.31463600000001</c:v>
                </c:pt>
                <c:pt idx="10">
                  <c:v>173.56990099999999</c:v>
                </c:pt>
                <c:pt idx="11">
                  <c:v>173.29499799999999</c:v>
                </c:pt>
                <c:pt idx="12">
                  <c:v>175.26838699999999</c:v>
                </c:pt>
                <c:pt idx="13">
                  <c:v>176.151993</c:v>
                </c:pt>
                <c:pt idx="14">
                  <c:v>175.29785200000001</c:v>
                </c:pt>
                <c:pt idx="15">
                  <c:v>171.144913</c:v>
                </c:pt>
                <c:pt idx="16">
                  <c:v>169.40713500000001</c:v>
                </c:pt>
                <c:pt idx="17">
                  <c:v>170.055115</c:v>
                </c:pt>
                <c:pt idx="18">
                  <c:v>170.84053</c:v>
                </c:pt>
                <c:pt idx="19">
                  <c:v>172.26414500000001</c:v>
                </c:pt>
                <c:pt idx="20">
                  <c:v>171.31179800000001</c:v>
                </c:pt>
                <c:pt idx="21">
                  <c:v>170.86998</c:v>
                </c:pt>
                <c:pt idx="22">
                  <c:v>172.804092</c:v>
                </c:pt>
                <c:pt idx="23">
                  <c:v>174.15898100000001</c:v>
                </c:pt>
                <c:pt idx="24">
                  <c:v>173.756439</c:v>
                </c:pt>
                <c:pt idx="25">
                  <c:v>173.18699599999999</c:v>
                </c:pt>
                <c:pt idx="26">
                  <c:v>173.481537</c:v>
                </c:pt>
                <c:pt idx="27">
                  <c:v>171.45906099999999</c:v>
                </c:pt>
                <c:pt idx="28">
                  <c:v>173.28518700000001</c:v>
                </c:pt>
                <c:pt idx="29">
                  <c:v>173.19682299999999</c:v>
                </c:pt>
                <c:pt idx="30">
                  <c:v>173.21646100000001</c:v>
                </c:pt>
                <c:pt idx="31">
                  <c:v>173.098648</c:v>
                </c:pt>
                <c:pt idx="32">
                  <c:v>173.658264</c:v>
                </c:pt>
                <c:pt idx="33">
                  <c:v>173.26556400000001</c:v>
                </c:pt>
                <c:pt idx="34">
                  <c:v>173.20661899999999</c:v>
                </c:pt>
                <c:pt idx="35">
                  <c:v>173.776062</c:v>
                </c:pt>
                <c:pt idx="36">
                  <c:v>177.49704</c:v>
                </c:pt>
                <c:pt idx="37">
                  <c:v>175.602203</c:v>
                </c:pt>
                <c:pt idx="38">
                  <c:v>174.276794</c:v>
                </c:pt>
                <c:pt idx="39">
                  <c:v>174.37496899999999</c:v>
                </c:pt>
                <c:pt idx="40">
                  <c:v>174.522232</c:v>
                </c:pt>
                <c:pt idx="41">
                  <c:v>175.80838</c:v>
                </c:pt>
                <c:pt idx="42">
                  <c:v>175.42546100000001</c:v>
                </c:pt>
                <c:pt idx="43">
                  <c:v>177.96829199999999</c:v>
                </c:pt>
                <c:pt idx="44">
                  <c:v>177.16322299999999</c:v>
                </c:pt>
                <c:pt idx="45">
                  <c:v>177.43812600000001</c:v>
                </c:pt>
                <c:pt idx="46">
                  <c:v>178.94026199999999</c:v>
                </c:pt>
                <c:pt idx="47">
                  <c:v>179.89259300000001</c:v>
                </c:pt>
                <c:pt idx="48">
                  <c:v>177.634491</c:v>
                </c:pt>
                <c:pt idx="49">
                  <c:v>176.770523</c:v>
                </c:pt>
                <c:pt idx="50">
                  <c:v>176.30909700000001</c:v>
                </c:pt>
                <c:pt idx="51">
                  <c:v>173.903717</c:v>
                </c:pt>
                <c:pt idx="52">
                  <c:v>170.37908899999999</c:v>
                </c:pt>
                <c:pt idx="53">
                  <c:v>172.26414500000001</c:v>
                </c:pt>
                <c:pt idx="54">
                  <c:v>172.47030599999999</c:v>
                </c:pt>
                <c:pt idx="55">
                  <c:v>175.09165999999999</c:v>
                </c:pt>
                <c:pt idx="56">
                  <c:v>170.06492600000001</c:v>
                </c:pt>
                <c:pt idx="57">
                  <c:v>168.19955400000001</c:v>
                </c:pt>
                <c:pt idx="58">
                  <c:v>172.01869199999999</c:v>
                </c:pt>
                <c:pt idx="59">
                  <c:v>173.677887</c:v>
                </c:pt>
                <c:pt idx="60">
                  <c:v>173.137924</c:v>
                </c:pt>
                <c:pt idx="61">
                  <c:v>172.08738700000001</c:v>
                </c:pt>
                <c:pt idx="62">
                  <c:v>173.72699</c:v>
                </c:pt>
                <c:pt idx="63">
                  <c:v>175.88691700000001</c:v>
                </c:pt>
                <c:pt idx="64">
                  <c:v>177.879929</c:v>
                </c:pt>
                <c:pt idx="65">
                  <c:v>176.839249</c:v>
                </c:pt>
                <c:pt idx="66">
                  <c:v>177.516693</c:v>
                </c:pt>
                <c:pt idx="67">
                  <c:v>176.151993</c:v>
                </c:pt>
                <c:pt idx="68">
                  <c:v>177.565765</c:v>
                </c:pt>
                <c:pt idx="69">
                  <c:v>177.408691</c:v>
                </c:pt>
                <c:pt idx="70">
                  <c:v>176.603622</c:v>
                </c:pt>
                <c:pt idx="71">
                  <c:v>172.07759100000001</c:v>
                </c:pt>
                <c:pt idx="72">
                  <c:v>164.743652</c:v>
                </c:pt>
                <c:pt idx="73">
                  <c:v>164.134918</c:v>
                </c:pt>
                <c:pt idx="74">
                  <c:v>157.49176</c:v>
                </c:pt>
                <c:pt idx="75">
                  <c:v>160.077957</c:v>
                </c:pt>
                <c:pt idx="76">
                  <c:v>162.12127699999999</c:v>
                </c:pt>
                <c:pt idx="77">
                  <c:v>159.80157500000001</c:v>
                </c:pt>
                <c:pt idx="78">
                  <c:v>168.98161300000001</c:v>
                </c:pt>
                <c:pt idx="79">
                  <c:v>162.79248000000001</c:v>
                </c:pt>
                <c:pt idx="80">
                  <c:v>161.913971</c:v>
                </c:pt>
                <c:pt idx="81">
                  <c:v>150.88806199999999</c:v>
                </c:pt>
                <c:pt idx="82">
                  <c:v>159.60415599999999</c:v>
                </c:pt>
                <c:pt idx="83">
                  <c:v>151.411224</c:v>
                </c:pt>
                <c:pt idx="84">
                  <c:v>133.11039700000001</c:v>
                </c:pt>
                <c:pt idx="85">
                  <c:v>147.482574</c:v>
                </c:pt>
                <c:pt idx="86">
                  <c:v>133.524979</c:v>
                </c:pt>
                <c:pt idx="87">
                  <c:v>130.09974700000001</c:v>
                </c:pt>
                <c:pt idx="88">
                  <c:v>118.067001</c:v>
                </c:pt>
                <c:pt idx="89">
                  <c:v>117.42538500000001</c:v>
                </c:pt>
                <c:pt idx="90">
                  <c:v>111.048721</c:v>
                </c:pt>
                <c:pt idx="91">
                  <c:v>102.520172</c:v>
                </c:pt>
                <c:pt idx="92">
                  <c:v>117.96828499999999</c:v>
                </c:pt>
                <c:pt idx="93">
                  <c:v>127.977478</c:v>
                </c:pt>
                <c:pt idx="94">
                  <c:v>135.627487</c:v>
                </c:pt>
                <c:pt idx="95">
                  <c:v>129.57659899999999</c:v>
                </c:pt>
                <c:pt idx="96">
                  <c:v>130.05038500000001</c:v>
                </c:pt>
                <c:pt idx="97">
                  <c:v>132.06407200000001</c:v>
                </c:pt>
                <c:pt idx="98">
                  <c:v>128.03671299999999</c:v>
                </c:pt>
                <c:pt idx="99">
                  <c:v>131.09671</c:v>
                </c:pt>
                <c:pt idx="100">
                  <c:v>125.805862</c:v>
                </c:pt>
                <c:pt idx="101">
                  <c:v>132.27136200000001</c:v>
                </c:pt>
                <c:pt idx="102">
                  <c:v>133.495361</c:v>
                </c:pt>
                <c:pt idx="103">
                  <c:v>137.453644</c:v>
                </c:pt>
                <c:pt idx="104">
                  <c:v>141.579712</c:v>
                </c:pt>
                <c:pt idx="105">
                  <c:v>136.160538</c:v>
                </c:pt>
                <c:pt idx="106">
                  <c:v>138.77633700000001</c:v>
                </c:pt>
                <c:pt idx="107">
                  <c:v>133.100525</c:v>
                </c:pt>
                <c:pt idx="108">
                  <c:v>130.62290999999999</c:v>
                </c:pt>
                <c:pt idx="109">
                  <c:v>136.53564499999999</c:v>
                </c:pt>
                <c:pt idx="110">
                  <c:v>133.949432</c:v>
                </c:pt>
                <c:pt idx="111">
                  <c:v>130.29716500000001</c:v>
                </c:pt>
                <c:pt idx="112">
                  <c:v>131.313873</c:v>
                </c:pt>
                <c:pt idx="113">
                  <c:v>132.94258099999999</c:v>
                </c:pt>
                <c:pt idx="114">
                  <c:v>133.771759</c:v>
                </c:pt>
                <c:pt idx="115">
                  <c:v>138.07551599999999</c:v>
                </c:pt>
                <c:pt idx="116">
                  <c:v>140.91835</c:v>
                </c:pt>
                <c:pt idx="117">
                  <c:v>144.274506</c:v>
                </c:pt>
                <c:pt idx="118">
                  <c:v>140.06944300000001</c:v>
                </c:pt>
                <c:pt idx="119">
                  <c:v>135.47943100000001</c:v>
                </c:pt>
                <c:pt idx="120">
                  <c:v>133.45588699999999</c:v>
                </c:pt>
                <c:pt idx="121">
                  <c:v>133.13014200000001</c:v>
                </c:pt>
                <c:pt idx="122">
                  <c:v>131.323746</c:v>
                </c:pt>
                <c:pt idx="123">
                  <c:v>131.076965</c:v>
                </c:pt>
                <c:pt idx="124">
                  <c:v>135.14382900000001</c:v>
                </c:pt>
                <c:pt idx="125">
                  <c:v>132.54776000000001</c:v>
                </c:pt>
                <c:pt idx="126">
                  <c:v>125.944046</c:v>
                </c:pt>
                <c:pt idx="127">
                  <c:v>121.383652</c:v>
                </c:pt>
                <c:pt idx="128">
                  <c:v>126.335655</c:v>
                </c:pt>
                <c:pt idx="129">
                  <c:v>124.70488</c:v>
                </c:pt>
                <c:pt idx="130">
                  <c:v>135.27510100000001</c:v>
                </c:pt>
                <c:pt idx="131">
                  <c:v>131.208099</c:v>
                </c:pt>
                <c:pt idx="132">
                  <c:v>135.26516699999999</c:v>
                </c:pt>
                <c:pt idx="133">
                  <c:v>136.91583299999999</c:v>
                </c:pt>
                <c:pt idx="134">
                  <c:v>138.397446</c:v>
                </c:pt>
                <c:pt idx="135">
                  <c:v>144.12506099999999</c:v>
                </c:pt>
                <c:pt idx="136">
                  <c:v>147.75453200000001</c:v>
                </c:pt>
                <c:pt idx="137">
                  <c:v>146.73033100000001</c:v>
                </c:pt>
                <c:pt idx="138">
                  <c:v>145.02995300000001</c:v>
                </c:pt>
                <c:pt idx="139">
                  <c:v>145.358093</c:v>
                </c:pt>
                <c:pt idx="140">
                  <c:v>147.51589999999999</c:v>
                </c:pt>
                <c:pt idx="141">
                  <c:v>152.48779300000001</c:v>
                </c:pt>
                <c:pt idx="142">
                  <c:v>155.03338600000001</c:v>
                </c:pt>
                <c:pt idx="143">
                  <c:v>160.46267700000001</c:v>
                </c:pt>
                <c:pt idx="144">
                  <c:v>162.00396699999999</c:v>
                </c:pt>
                <c:pt idx="145">
                  <c:v>157.21107499999999</c:v>
                </c:pt>
                <c:pt idx="146">
                  <c:v>153.25344799999999</c:v>
                </c:pt>
                <c:pt idx="147">
                  <c:v>142.633499</c:v>
                </c:pt>
                <c:pt idx="148">
                  <c:v>143.69747899999999</c:v>
                </c:pt>
                <c:pt idx="149">
                  <c:v>145.80557300000001</c:v>
                </c:pt>
                <c:pt idx="150">
                  <c:v>148.27162200000001</c:v>
                </c:pt>
                <c:pt idx="151">
                  <c:v>147.50595100000001</c:v>
                </c:pt>
                <c:pt idx="152">
                  <c:v>147.39656099999999</c:v>
                </c:pt>
                <c:pt idx="153">
                  <c:v>144.55264299999999</c:v>
                </c:pt>
                <c:pt idx="154">
                  <c:v>144.12506099999999</c:v>
                </c:pt>
                <c:pt idx="155">
                  <c:v>144.04551699999999</c:v>
                </c:pt>
                <c:pt idx="156">
                  <c:v>137.57212799999999</c:v>
                </c:pt>
                <c:pt idx="157">
                  <c:v>141.65901199999999</c:v>
                </c:pt>
                <c:pt idx="158">
                  <c:v>137.432907</c:v>
                </c:pt>
                <c:pt idx="159">
                  <c:v>142.434631</c:v>
                </c:pt>
                <c:pt idx="160">
                  <c:v>143.77702300000001</c:v>
                </c:pt>
                <c:pt idx="161">
                  <c:v>143.29972799999999</c:v>
                </c:pt>
                <c:pt idx="162">
                  <c:v>144.20462000000001</c:v>
                </c:pt>
                <c:pt idx="163">
                  <c:v>146.39224200000001</c:v>
                </c:pt>
                <c:pt idx="164">
                  <c:v>144.15489199999999</c:v>
                </c:pt>
                <c:pt idx="165">
                  <c:v>144.77140800000001</c:v>
                </c:pt>
                <c:pt idx="166">
                  <c:v>140.57513399999999</c:v>
                </c:pt>
                <c:pt idx="167">
                  <c:v>141.64906300000001</c:v>
                </c:pt>
                <c:pt idx="168">
                  <c:v>142.68322800000001</c:v>
                </c:pt>
                <c:pt idx="169">
                  <c:v>147.267303</c:v>
                </c:pt>
                <c:pt idx="170">
                  <c:v>151.07576</c:v>
                </c:pt>
                <c:pt idx="171">
                  <c:v>152.21929900000001</c:v>
                </c:pt>
                <c:pt idx="172">
                  <c:v>154.12851000000001</c:v>
                </c:pt>
                <c:pt idx="173">
                  <c:v>152.527557</c:v>
                </c:pt>
                <c:pt idx="174">
                  <c:v>153.889847</c:v>
                </c:pt>
                <c:pt idx="175">
                  <c:v>153.740692</c:v>
                </c:pt>
                <c:pt idx="176">
                  <c:v>152.86563100000001</c:v>
                </c:pt>
                <c:pt idx="177">
                  <c:v>148.58981299999999</c:v>
                </c:pt>
                <c:pt idx="178">
                  <c:v>149.91233800000001</c:v>
                </c:pt>
                <c:pt idx="179">
                  <c:v>151.155304</c:v>
                </c:pt>
                <c:pt idx="180">
                  <c:v>153.71086099999999</c:v>
                </c:pt>
                <c:pt idx="181">
                  <c:v>148.321335</c:v>
                </c:pt>
                <c:pt idx="182">
                  <c:v>148.53015099999999</c:v>
                </c:pt>
                <c:pt idx="183">
                  <c:v>147.694885</c:v>
                </c:pt>
                <c:pt idx="184">
                  <c:v>146.501633</c:v>
                </c:pt>
                <c:pt idx="185">
                  <c:v>149.972015</c:v>
                </c:pt>
                <c:pt idx="186">
                  <c:v>151.72210699999999</c:v>
                </c:pt>
                <c:pt idx="187">
                  <c:v>154.23788500000001</c:v>
                </c:pt>
                <c:pt idx="188">
                  <c:v>158.53358499999999</c:v>
                </c:pt>
                <c:pt idx="189">
                  <c:v>159.378815</c:v>
                </c:pt>
                <c:pt idx="190">
                  <c:v>159.16999799999999</c:v>
                </c:pt>
                <c:pt idx="191">
                  <c:v>158.979996</c:v>
                </c:pt>
                <c:pt idx="192">
                  <c:v>160.279999</c:v>
                </c:pt>
                <c:pt idx="193">
                  <c:v>158.759995</c:v>
                </c:pt>
                <c:pt idx="194">
                  <c:v>157.38000500000001</c:v>
                </c:pt>
                <c:pt idx="195">
                  <c:v>156.85000600000001</c:v>
                </c:pt>
                <c:pt idx="196">
                  <c:v>156.16999799999999</c:v>
                </c:pt>
                <c:pt idx="197">
                  <c:v>157.5</c:v>
                </c:pt>
                <c:pt idx="198">
                  <c:v>159.36999499999999</c:v>
                </c:pt>
                <c:pt idx="199">
                  <c:v>164.529999</c:v>
                </c:pt>
                <c:pt idx="200">
                  <c:v>165.30999800000001</c:v>
                </c:pt>
                <c:pt idx="201">
                  <c:v>165.990005</c:v>
                </c:pt>
                <c:pt idx="202">
                  <c:v>168.38000500000001</c:v>
                </c:pt>
                <c:pt idx="203">
                  <c:v>165.550003</c:v>
                </c:pt>
                <c:pt idx="204">
                  <c:v>167.970001</c:v>
                </c:pt>
                <c:pt idx="205">
                  <c:v>172.470001</c:v>
                </c:pt>
                <c:pt idx="206">
                  <c:v>166.300003</c:v>
                </c:pt>
                <c:pt idx="207">
                  <c:v>166.69000199999999</c:v>
                </c:pt>
                <c:pt idx="208">
                  <c:v>164.270004</c:v>
                </c:pt>
                <c:pt idx="209">
                  <c:v>165.75</c:v>
                </c:pt>
                <c:pt idx="210">
                  <c:v>164.270004</c:v>
                </c:pt>
                <c:pt idx="211">
                  <c:v>166.449997</c:v>
                </c:pt>
                <c:pt idx="212">
                  <c:v>168.470001</c:v>
                </c:pt>
                <c:pt idx="213">
                  <c:v>168.300003</c:v>
                </c:pt>
                <c:pt idx="214">
                  <c:v>170</c:v>
                </c:pt>
                <c:pt idx="215">
                  <c:v>170.33999600000001</c:v>
                </c:pt>
                <c:pt idx="216">
                  <c:v>168.699997</c:v>
                </c:pt>
                <c:pt idx="217">
                  <c:v>161.36999499999999</c:v>
                </c:pt>
                <c:pt idx="218">
                  <c:v>162.679993</c:v>
                </c:pt>
                <c:pt idx="219">
                  <c:v>158.78999300000001</c:v>
                </c:pt>
                <c:pt idx="220">
                  <c:v>158.759995</c:v>
                </c:pt>
                <c:pt idx="221">
                  <c:v>161.490005</c:v>
                </c:pt>
                <c:pt idx="222">
                  <c:v>164.63999899999999</c:v>
                </c:pt>
                <c:pt idx="223">
                  <c:v>164.509995</c:v>
                </c:pt>
                <c:pt idx="224">
                  <c:v>164.61000100000001</c:v>
                </c:pt>
                <c:pt idx="225">
                  <c:v>163.679993</c:v>
                </c:pt>
                <c:pt idx="226">
                  <c:v>165.61000100000001</c:v>
                </c:pt>
                <c:pt idx="227">
                  <c:v>168.720001</c:v>
                </c:pt>
                <c:pt idx="228">
                  <c:v>166.88999899999999</c:v>
                </c:pt>
                <c:pt idx="229">
                  <c:v>171.550003</c:v>
                </c:pt>
                <c:pt idx="230">
                  <c:v>173.779999</c:v>
                </c:pt>
                <c:pt idx="231">
                  <c:v>174.38000500000001</c:v>
                </c:pt>
                <c:pt idx="232">
                  <c:v>175.36000100000001</c:v>
                </c:pt>
                <c:pt idx="233">
                  <c:v>171.550003</c:v>
                </c:pt>
                <c:pt idx="234">
                  <c:v>173.470001</c:v>
                </c:pt>
                <c:pt idx="235">
                  <c:v>172.61000100000001</c:v>
                </c:pt>
                <c:pt idx="236">
                  <c:v>174.86000100000001</c:v>
                </c:pt>
                <c:pt idx="237">
                  <c:v>171.58999600000001</c:v>
                </c:pt>
                <c:pt idx="238">
                  <c:v>173.259995</c:v>
                </c:pt>
                <c:pt idx="239">
                  <c:v>172.86999499999999</c:v>
                </c:pt>
                <c:pt idx="240">
                  <c:v>176.85000600000001</c:v>
                </c:pt>
                <c:pt idx="241">
                  <c:v>175.53999300000001</c:v>
                </c:pt>
                <c:pt idx="242">
                  <c:v>170.16999799999999</c:v>
                </c:pt>
                <c:pt idx="243">
                  <c:v>166.75</c:v>
                </c:pt>
                <c:pt idx="244">
                  <c:v>161.16000399999999</c:v>
                </c:pt>
                <c:pt idx="245">
                  <c:v>164.60000600000001</c:v>
                </c:pt>
                <c:pt idx="246">
                  <c:v>164.949997</c:v>
                </c:pt>
                <c:pt idx="247">
                  <c:v>173.61000100000001</c:v>
                </c:pt>
                <c:pt idx="248">
                  <c:v>179.21000699999999</c:v>
                </c:pt>
                <c:pt idx="249">
                  <c:v>178.91000399999999</c:v>
                </c:pt>
                <c:pt idx="250">
                  <c:v>183.279999</c:v>
                </c:pt>
                <c:pt idx="251">
                  <c:v>184.270004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5D-4B42-9906-3874C93C8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50287"/>
        <c:axId val="142751247"/>
      </c:scatterChart>
      <c:valAx>
        <c:axId val="142750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51247"/>
        <c:crosses val="autoZero"/>
        <c:crossBetween val="midCat"/>
      </c:valAx>
      <c:valAx>
        <c:axId val="14275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50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</a:t>
            </a:r>
            <a:r>
              <a:rPr lang="en-US" baseline="0"/>
              <a:t> vs. Predicted 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'Part 3'!$F$2:$F$258</c:f>
              <c:numCache>
                <c:formatCode>0.00</c:formatCode>
                <c:ptCount val="257"/>
                <c:pt idx="0">
                  <c:v>55.816127702884415</c:v>
                </c:pt>
                <c:pt idx="1">
                  <c:v>56.059700071238808</c:v>
                </c:pt>
                <c:pt idx="2">
                  <c:v>56.303272439593201</c:v>
                </c:pt>
                <c:pt idx="3">
                  <c:v>56.546844807947593</c:v>
                </c:pt>
                <c:pt idx="4">
                  <c:v>56.790417176301979</c:v>
                </c:pt>
                <c:pt idx="5">
                  <c:v>57.033989544656372</c:v>
                </c:pt>
                <c:pt idx="6">
                  <c:v>57.277561913010764</c:v>
                </c:pt>
                <c:pt idx="7">
                  <c:v>57.521134281365157</c:v>
                </c:pt>
                <c:pt idx="8">
                  <c:v>57.76470664971955</c:v>
                </c:pt>
                <c:pt idx="9">
                  <c:v>58.008279018073942</c:v>
                </c:pt>
                <c:pt idx="10">
                  <c:v>58.251851386428335</c:v>
                </c:pt>
                <c:pt idx="11">
                  <c:v>58.495423754782728</c:v>
                </c:pt>
                <c:pt idx="12">
                  <c:v>58.73899612313712</c:v>
                </c:pt>
                <c:pt idx="13">
                  <c:v>58.982568491491506</c:v>
                </c:pt>
                <c:pt idx="14">
                  <c:v>59.226140859845898</c:v>
                </c:pt>
                <c:pt idx="15">
                  <c:v>59.469713228200291</c:v>
                </c:pt>
                <c:pt idx="16">
                  <c:v>59.713285596554684</c:v>
                </c:pt>
                <c:pt idx="17">
                  <c:v>59.956857964909076</c:v>
                </c:pt>
                <c:pt idx="18">
                  <c:v>60.200430333263469</c:v>
                </c:pt>
                <c:pt idx="19">
                  <c:v>60.444002701617862</c:v>
                </c:pt>
                <c:pt idx="20">
                  <c:v>60.687575069972254</c:v>
                </c:pt>
                <c:pt idx="21">
                  <c:v>60.931147438326647</c:v>
                </c:pt>
                <c:pt idx="22">
                  <c:v>61.17471980668104</c:v>
                </c:pt>
                <c:pt idx="23">
                  <c:v>61.418292175035432</c:v>
                </c:pt>
                <c:pt idx="24">
                  <c:v>61.661864543389818</c:v>
                </c:pt>
                <c:pt idx="25">
                  <c:v>61.905436911744211</c:v>
                </c:pt>
                <c:pt idx="26">
                  <c:v>62.149009280098603</c:v>
                </c:pt>
                <c:pt idx="27">
                  <c:v>62.392581648452996</c:v>
                </c:pt>
                <c:pt idx="28">
                  <c:v>62.636154016807389</c:v>
                </c:pt>
                <c:pt idx="29">
                  <c:v>62.879726385161781</c:v>
                </c:pt>
                <c:pt idx="30">
                  <c:v>63.123298753516174</c:v>
                </c:pt>
                <c:pt idx="31">
                  <c:v>63.366871121870567</c:v>
                </c:pt>
                <c:pt idx="32">
                  <c:v>63.610443490224952</c:v>
                </c:pt>
                <c:pt idx="33">
                  <c:v>63.854015858579345</c:v>
                </c:pt>
                <c:pt idx="34">
                  <c:v>64.097588226933738</c:v>
                </c:pt>
                <c:pt idx="35">
                  <c:v>64.34116059528813</c:v>
                </c:pt>
                <c:pt idx="36">
                  <c:v>64.584732963642523</c:v>
                </c:pt>
                <c:pt idx="37">
                  <c:v>64.828305331996916</c:v>
                </c:pt>
                <c:pt idx="38">
                  <c:v>65.071877700351308</c:v>
                </c:pt>
                <c:pt idx="39">
                  <c:v>65.315450068705701</c:v>
                </c:pt>
                <c:pt idx="40">
                  <c:v>65.559022437060094</c:v>
                </c:pt>
                <c:pt idx="41">
                  <c:v>65.802594805414486</c:v>
                </c:pt>
                <c:pt idx="42">
                  <c:v>66.046167173768879</c:v>
                </c:pt>
                <c:pt idx="43">
                  <c:v>66.289739542123272</c:v>
                </c:pt>
                <c:pt idx="44">
                  <c:v>66.533311910477664</c:v>
                </c:pt>
                <c:pt idx="45">
                  <c:v>66.776884278832057</c:v>
                </c:pt>
                <c:pt idx="46">
                  <c:v>67.02045664718645</c:v>
                </c:pt>
                <c:pt idx="47">
                  <c:v>67.264029015540842</c:v>
                </c:pt>
                <c:pt idx="48">
                  <c:v>67.507601383895221</c:v>
                </c:pt>
                <c:pt idx="49">
                  <c:v>67.751173752249613</c:v>
                </c:pt>
                <c:pt idx="50">
                  <c:v>67.994746120604006</c:v>
                </c:pt>
                <c:pt idx="51">
                  <c:v>68.238318488958399</c:v>
                </c:pt>
                <c:pt idx="52">
                  <c:v>68.481890857312791</c:v>
                </c:pt>
                <c:pt idx="53">
                  <c:v>68.725463225667184</c:v>
                </c:pt>
                <c:pt idx="54">
                  <c:v>68.969035594021577</c:v>
                </c:pt>
                <c:pt idx="55">
                  <c:v>69.212607962375969</c:v>
                </c:pt>
                <c:pt idx="56">
                  <c:v>69.456180330730362</c:v>
                </c:pt>
                <c:pt idx="57">
                  <c:v>69.699752699084755</c:v>
                </c:pt>
                <c:pt idx="58">
                  <c:v>69.943325067439147</c:v>
                </c:pt>
                <c:pt idx="59">
                  <c:v>70.18689743579354</c:v>
                </c:pt>
                <c:pt idx="60">
                  <c:v>70.430469804147933</c:v>
                </c:pt>
                <c:pt idx="61">
                  <c:v>70.674042172502325</c:v>
                </c:pt>
                <c:pt idx="62">
                  <c:v>70.917614540856718</c:v>
                </c:pt>
                <c:pt idx="63">
                  <c:v>71.161186909211111</c:v>
                </c:pt>
                <c:pt idx="64">
                  <c:v>71.404759277565503</c:v>
                </c:pt>
                <c:pt idx="65">
                  <c:v>71.648331645919882</c:v>
                </c:pt>
                <c:pt idx="66">
                  <c:v>71.891904014274274</c:v>
                </c:pt>
                <c:pt idx="67">
                  <c:v>72.135476382628667</c:v>
                </c:pt>
                <c:pt idx="68">
                  <c:v>72.37904875098306</c:v>
                </c:pt>
                <c:pt idx="69">
                  <c:v>72.622621119337452</c:v>
                </c:pt>
                <c:pt idx="70">
                  <c:v>72.866193487691845</c:v>
                </c:pt>
                <c:pt idx="71">
                  <c:v>73.109765856046238</c:v>
                </c:pt>
                <c:pt idx="72">
                  <c:v>73.35333822440063</c:v>
                </c:pt>
                <c:pt idx="73">
                  <c:v>73.596910592755023</c:v>
                </c:pt>
                <c:pt idx="74">
                  <c:v>73.840482961109416</c:v>
                </c:pt>
                <c:pt idx="75">
                  <c:v>74.084055329463808</c:v>
                </c:pt>
                <c:pt idx="76">
                  <c:v>74.327627697818201</c:v>
                </c:pt>
                <c:pt idx="77">
                  <c:v>74.571200066172594</c:v>
                </c:pt>
                <c:pt idx="78">
                  <c:v>74.814772434526986</c:v>
                </c:pt>
                <c:pt idx="79">
                  <c:v>75.058344802881379</c:v>
                </c:pt>
                <c:pt idx="80">
                  <c:v>75.301917171235772</c:v>
                </c:pt>
                <c:pt idx="81">
                  <c:v>75.545489539590164</c:v>
                </c:pt>
                <c:pt idx="82">
                  <c:v>75.789061907944557</c:v>
                </c:pt>
                <c:pt idx="83">
                  <c:v>76.03263427629895</c:v>
                </c:pt>
                <c:pt idx="84">
                  <c:v>76.276206644653342</c:v>
                </c:pt>
                <c:pt idx="85">
                  <c:v>76.519779013007735</c:v>
                </c:pt>
                <c:pt idx="86">
                  <c:v>76.763351381362128</c:v>
                </c:pt>
                <c:pt idx="87">
                  <c:v>77.006923749716506</c:v>
                </c:pt>
                <c:pt idx="88">
                  <c:v>77.250496118070899</c:v>
                </c:pt>
                <c:pt idx="89">
                  <c:v>77.494068486425292</c:v>
                </c:pt>
                <c:pt idx="90">
                  <c:v>77.737640854779684</c:v>
                </c:pt>
                <c:pt idx="91">
                  <c:v>77.981213223134077</c:v>
                </c:pt>
                <c:pt idx="92">
                  <c:v>78.22478559148847</c:v>
                </c:pt>
                <c:pt idx="93">
                  <c:v>78.468357959842862</c:v>
                </c:pt>
                <c:pt idx="94">
                  <c:v>78.711930328197255</c:v>
                </c:pt>
                <c:pt idx="95">
                  <c:v>78.955502696551648</c:v>
                </c:pt>
                <c:pt idx="96">
                  <c:v>79.19907506490604</c:v>
                </c:pt>
                <c:pt idx="97">
                  <c:v>79.442647433260433</c:v>
                </c:pt>
                <c:pt idx="98">
                  <c:v>79.686219801614826</c:v>
                </c:pt>
                <c:pt idx="99">
                  <c:v>79.929792169969218</c:v>
                </c:pt>
                <c:pt idx="100">
                  <c:v>80.173364538323611</c:v>
                </c:pt>
                <c:pt idx="101">
                  <c:v>80.416936906677989</c:v>
                </c:pt>
                <c:pt idx="102">
                  <c:v>80.660509275032382</c:v>
                </c:pt>
                <c:pt idx="103">
                  <c:v>80.904081643386775</c:v>
                </c:pt>
                <c:pt idx="104">
                  <c:v>81.147654011741167</c:v>
                </c:pt>
                <c:pt idx="105">
                  <c:v>81.39122638009556</c:v>
                </c:pt>
                <c:pt idx="106">
                  <c:v>81.634798748449953</c:v>
                </c:pt>
                <c:pt idx="107">
                  <c:v>81.878371116804345</c:v>
                </c:pt>
                <c:pt idx="108">
                  <c:v>82.121943485158738</c:v>
                </c:pt>
                <c:pt idx="109">
                  <c:v>82.365515853513131</c:v>
                </c:pt>
                <c:pt idx="110">
                  <c:v>82.609088221867523</c:v>
                </c:pt>
                <c:pt idx="111">
                  <c:v>82.852660590221916</c:v>
                </c:pt>
                <c:pt idx="112">
                  <c:v>83.096232958576309</c:v>
                </c:pt>
                <c:pt idx="113">
                  <c:v>83.339805326930701</c:v>
                </c:pt>
                <c:pt idx="114">
                  <c:v>83.583377695285094</c:v>
                </c:pt>
                <c:pt idx="115">
                  <c:v>83.826950063639487</c:v>
                </c:pt>
                <c:pt idx="116">
                  <c:v>84.070522431993879</c:v>
                </c:pt>
                <c:pt idx="117">
                  <c:v>84.314094800348272</c:v>
                </c:pt>
                <c:pt idx="118">
                  <c:v>84.557667168702665</c:v>
                </c:pt>
                <c:pt idx="119">
                  <c:v>84.801239537057057</c:v>
                </c:pt>
                <c:pt idx="120">
                  <c:v>85.04481190541145</c:v>
                </c:pt>
                <c:pt idx="121">
                  <c:v>85.288384273765843</c:v>
                </c:pt>
                <c:pt idx="122">
                  <c:v>85.531956642120235</c:v>
                </c:pt>
                <c:pt idx="123">
                  <c:v>85.775529010474628</c:v>
                </c:pt>
                <c:pt idx="124">
                  <c:v>86.019101378829021</c:v>
                </c:pt>
                <c:pt idx="125">
                  <c:v>86.262673747183399</c:v>
                </c:pt>
                <c:pt idx="126">
                  <c:v>86.506246115537792</c:v>
                </c:pt>
                <c:pt idx="127">
                  <c:v>86.749818483892184</c:v>
                </c:pt>
                <c:pt idx="128">
                  <c:v>86.993390852246577</c:v>
                </c:pt>
                <c:pt idx="129">
                  <c:v>87.23696322060097</c:v>
                </c:pt>
                <c:pt idx="130">
                  <c:v>87.480535588955362</c:v>
                </c:pt>
                <c:pt idx="131">
                  <c:v>87.724107957309755</c:v>
                </c:pt>
                <c:pt idx="132">
                  <c:v>87.967680325664148</c:v>
                </c:pt>
                <c:pt idx="133">
                  <c:v>88.21125269401854</c:v>
                </c:pt>
                <c:pt idx="134">
                  <c:v>88.454825062372933</c:v>
                </c:pt>
                <c:pt idx="135">
                  <c:v>88.698397430727326</c:v>
                </c:pt>
                <c:pt idx="136">
                  <c:v>88.941969799081718</c:v>
                </c:pt>
                <c:pt idx="137">
                  <c:v>89.185542167436097</c:v>
                </c:pt>
                <c:pt idx="138">
                  <c:v>89.42911453579049</c:v>
                </c:pt>
                <c:pt idx="139">
                  <c:v>89.672686904144882</c:v>
                </c:pt>
                <c:pt idx="140">
                  <c:v>89.916259272499275</c:v>
                </c:pt>
                <c:pt idx="141">
                  <c:v>90.159831640853668</c:v>
                </c:pt>
                <c:pt idx="142">
                  <c:v>90.40340400920806</c:v>
                </c:pt>
                <c:pt idx="143">
                  <c:v>90.646976377562453</c:v>
                </c:pt>
                <c:pt idx="144">
                  <c:v>90.890548745916846</c:v>
                </c:pt>
                <c:pt idx="145">
                  <c:v>91.134121114271238</c:v>
                </c:pt>
                <c:pt idx="146">
                  <c:v>91.377693482625631</c:v>
                </c:pt>
                <c:pt idx="147">
                  <c:v>91.621265850980024</c:v>
                </c:pt>
                <c:pt idx="148">
                  <c:v>91.864838219334416</c:v>
                </c:pt>
                <c:pt idx="149">
                  <c:v>92.108410587688809</c:v>
                </c:pt>
                <c:pt idx="150">
                  <c:v>92.351982956043202</c:v>
                </c:pt>
                <c:pt idx="151">
                  <c:v>92.595555324397594</c:v>
                </c:pt>
                <c:pt idx="152">
                  <c:v>92.839127692751987</c:v>
                </c:pt>
                <c:pt idx="153">
                  <c:v>93.08270006110638</c:v>
                </c:pt>
                <c:pt idx="154">
                  <c:v>93.326272429460772</c:v>
                </c:pt>
                <c:pt idx="155">
                  <c:v>93.569844797815165</c:v>
                </c:pt>
                <c:pt idx="156">
                  <c:v>93.813417166169558</c:v>
                </c:pt>
                <c:pt idx="157">
                  <c:v>94.05698953452395</c:v>
                </c:pt>
                <c:pt idx="158">
                  <c:v>94.300561902878343</c:v>
                </c:pt>
                <c:pt idx="159">
                  <c:v>94.544134271232736</c:v>
                </c:pt>
                <c:pt idx="160">
                  <c:v>94.787706639587128</c:v>
                </c:pt>
                <c:pt idx="161">
                  <c:v>95.031279007941521</c:v>
                </c:pt>
                <c:pt idx="162">
                  <c:v>95.274851376295913</c:v>
                </c:pt>
                <c:pt idx="163">
                  <c:v>95.518423744650306</c:v>
                </c:pt>
                <c:pt idx="164">
                  <c:v>95.761996113004699</c:v>
                </c:pt>
                <c:pt idx="165">
                  <c:v>96.005568481359077</c:v>
                </c:pt>
                <c:pt idx="166">
                  <c:v>96.24914084971347</c:v>
                </c:pt>
                <c:pt idx="167">
                  <c:v>96.492713218067863</c:v>
                </c:pt>
                <c:pt idx="168">
                  <c:v>96.736285586422255</c:v>
                </c:pt>
                <c:pt idx="169">
                  <c:v>96.979857954776648</c:v>
                </c:pt>
                <c:pt idx="170">
                  <c:v>97.223430323131041</c:v>
                </c:pt>
                <c:pt idx="171">
                  <c:v>97.467002691485433</c:v>
                </c:pt>
                <c:pt idx="172">
                  <c:v>97.710575059839826</c:v>
                </c:pt>
                <c:pt idx="173">
                  <c:v>97.954147428194219</c:v>
                </c:pt>
                <c:pt idx="174">
                  <c:v>98.197719796548611</c:v>
                </c:pt>
                <c:pt idx="175">
                  <c:v>98.44129216490299</c:v>
                </c:pt>
                <c:pt idx="176">
                  <c:v>98.684864533257382</c:v>
                </c:pt>
                <c:pt idx="177">
                  <c:v>98.928436901611775</c:v>
                </c:pt>
                <c:pt idx="178">
                  <c:v>99.172009269966168</c:v>
                </c:pt>
                <c:pt idx="179">
                  <c:v>99.41558163832056</c:v>
                </c:pt>
                <c:pt idx="180">
                  <c:v>99.659154006674953</c:v>
                </c:pt>
                <c:pt idx="181">
                  <c:v>99.902726375029346</c:v>
                </c:pt>
                <c:pt idx="182">
                  <c:v>100.14629874338374</c:v>
                </c:pt>
                <c:pt idx="183">
                  <c:v>100.38987111173813</c:v>
                </c:pt>
                <c:pt idx="184">
                  <c:v>100.63344348009252</c:v>
                </c:pt>
                <c:pt idx="185">
                  <c:v>100.87701584844692</c:v>
                </c:pt>
                <c:pt idx="186">
                  <c:v>101.12058821680131</c:v>
                </c:pt>
                <c:pt idx="187">
                  <c:v>101.3641605851557</c:v>
                </c:pt>
                <c:pt idx="188">
                  <c:v>101.60773295351009</c:v>
                </c:pt>
                <c:pt idx="189">
                  <c:v>101.85130532186449</c:v>
                </c:pt>
                <c:pt idx="190">
                  <c:v>102.09487769021888</c:v>
                </c:pt>
                <c:pt idx="191">
                  <c:v>102.33845005857327</c:v>
                </c:pt>
                <c:pt idx="192">
                  <c:v>102.58202242692767</c:v>
                </c:pt>
                <c:pt idx="193">
                  <c:v>102.82559479528206</c:v>
                </c:pt>
                <c:pt idx="194">
                  <c:v>103.06916716363645</c:v>
                </c:pt>
                <c:pt idx="195">
                  <c:v>103.31273953199084</c:v>
                </c:pt>
                <c:pt idx="196">
                  <c:v>103.55631190034524</c:v>
                </c:pt>
                <c:pt idx="197">
                  <c:v>103.79988426869963</c:v>
                </c:pt>
                <c:pt idx="198">
                  <c:v>104.04345663705402</c:v>
                </c:pt>
                <c:pt idx="199">
                  <c:v>104.28702900540841</c:v>
                </c:pt>
                <c:pt idx="200">
                  <c:v>104.53060137376281</c:v>
                </c:pt>
                <c:pt idx="201">
                  <c:v>104.7741737421172</c:v>
                </c:pt>
                <c:pt idx="202">
                  <c:v>105.01774611047159</c:v>
                </c:pt>
                <c:pt idx="203">
                  <c:v>105.26131847882597</c:v>
                </c:pt>
                <c:pt idx="204">
                  <c:v>105.50489084718036</c:v>
                </c:pt>
                <c:pt idx="205">
                  <c:v>105.74846321553476</c:v>
                </c:pt>
                <c:pt idx="206">
                  <c:v>105.99203558388915</c:v>
                </c:pt>
                <c:pt idx="207">
                  <c:v>106.23560795224354</c:v>
                </c:pt>
                <c:pt idx="208">
                  <c:v>106.47918032059793</c:v>
                </c:pt>
                <c:pt idx="209">
                  <c:v>106.72275268895233</c:v>
                </c:pt>
                <c:pt idx="210">
                  <c:v>106.96632505730672</c:v>
                </c:pt>
                <c:pt idx="211">
                  <c:v>107.20989742566111</c:v>
                </c:pt>
                <c:pt idx="212">
                  <c:v>107.4534697940155</c:v>
                </c:pt>
                <c:pt idx="213">
                  <c:v>107.69704216236988</c:v>
                </c:pt>
                <c:pt idx="214">
                  <c:v>107.94061453072428</c:v>
                </c:pt>
                <c:pt idx="215">
                  <c:v>108.18418689907867</c:v>
                </c:pt>
                <c:pt idx="216">
                  <c:v>108.42775926743306</c:v>
                </c:pt>
                <c:pt idx="217">
                  <c:v>108.67133163578745</c:v>
                </c:pt>
                <c:pt idx="218">
                  <c:v>108.91490400414185</c:v>
                </c:pt>
                <c:pt idx="219">
                  <c:v>109.15847637249624</c:v>
                </c:pt>
                <c:pt idx="220">
                  <c:v>109.40204874085063</c:v>
                </c:pt>
                <c:pt idx="221">
                  <c:v>109.64562110920502</c:v>
                </c:pt>
                <c:pt idx="222">
                  <c:v>109.88919347755942</c:v>
                </c:pt>
                <c:pt idx="223">
                  <c:v>110.13276584591381</c:v>
                </c:pt>
                <c:pt idx="224">
                  <c:v>110.3763382142682</c:v>
                </c:pt>
                <c:pt idx="225">
                  <c:v>110.61991058262259</c:v>
                </c:pt>
                <c:pt idx="226">
                  <c:v>110.86348295097699</c:v>
                </c:pt>
                <c:pt idx="227">
                  <c:v>111.10705531933138</c:v>
                </c:pt>
                <c:pt idx="228">
                  <c:v>111.35062768768577</c:v>
                </c:pt>
                <c:pt idx="229">
                  <c:v>111.59420005604017</c:v>
                </c:pt>
                <c:pt idx="230">
                  <c:v>111.83777242439456</c:v>
                </c:pt>
                <c:pt idx="231">
                  <c:v>112.08134479274895</c:v>
                </c:pt>
                <c:pt idx="232">
                  <c:v>112.32491716110334</c:v>
                </c:pt>
                <c:pt idx="233">
                  <c:v>112.56848952945774</c:v>
                </c:pt>
                <c:pt idx="234">
                  <c:v>112.81206189781213</c:v>
                </c:pt>
                <c:pt idx="235">
                  <c:v>113.05563426616652</c:v>
                </c:pt>
                <c:pt idx="236">
                  <c:v>113.29920663452091</c:v>
                </c:pt>
                <c:pt idx="237">
                  <c:v>113.54277900287531</c:v>
                </c:pt>
                <c:pt idx="238">
                  <c:v>113.7863513712297</c:v>
                </c:pt>
                <c:pt idx="239">
                  <c:v>114.02992373958409</c:v>
                </c:pt>
                <c:pt idx="240">
                  <c:v>114.27349610793848</c:v>
                </c:pt>
                <c:pt idx="241">
                  <c:v>114.51706847629286</c:v>
                </c:pt>
                <c:pt idx="242">
                  <c:v>114.76064084464726</c:v>
                </c:pt>
                <c:pt idx="243">
                  <c:v>115.00421321300165</c:v>
                </c:pt>
                <c:pt idx="244">
                  <c:v>115.24778558135604</c:v>
                </c:pt>
                <c:pt idx="245">
                  <c:v>115.49135794971043</c:v>
                </c:pt>
                <c:pt idx="246">
                  <c:v>115.73493031806483</c:v>
                </c:pt>
                <c:pt idx="247">
                  <c:v>115.97850268641922</c:v>
                </c:pt>
                <c:pt idx="248">
                  <c:v>116.22207505477361</c:v>
                </c:pt>
                <c:pt idx="249">
                  <c:v>116.465647423128</c:v>
                </c:pt>
                <c:pt idx="250">
                  <c:v>116.7092197914824</c:v>
                </c:pt>
                <c:pt idx="251">
                  <c:v>116.95279215983678</c:v>
                </c:pt>
                <c:pt idx="252">
                  <c:v>117.19636452819117</c:v>
                </c:pt>
                <c:pt idx="253">
                  <c:v>117.43993689654556</c:v>
                </c:pt>
                <c:pt idx="254">
                  <c:v>117.68350926489995</c:v>
                </c:pt>
                <c:pt idx="255">
                  <c:v>117.92708163325435</c:v>
                </c:pt>
                <c:pt idx="256">
                  <c:v>118.17065400160874</c:v>
                </c:pt>
              </c:numCache>
            </c:numRef>
          </c:xVal>
          <c:yVal>
            <c:numRef>
              <c:f>'Part 3'!$AD$2:$AD$253</c:f>
              <c:numCache>
                <c:formatCode>0.00</c:formatCode>
                <c:ptCount val="252"/>
                <c:pt idx="0">
                  <c:v>8.1384162971155831</c:v>
                </c:pt>
                <c:pt idx="1">
                  <c:v>8.401290928761199</c:v>
                </c:pt>
                <c:pt idx="2">
                  <c:v>8.098705560406799</c:v>
                </c:pt>
                <c:pt idx="3">
                  <c:v>8.4722061920524112</c:v>
                </c:pt>
                <c:pt idx="4">
                  <c:v>7.7787428236980176</c:v>
                </c:pt>
                <c:pt idx="5">
                  <c:v>8.3022224553436317</c:v>
                </c:pt>
                <c:pt idx="6">
                  <c:v>8.3880720869892329</c:v>
                </c:pt>
                <c:pt idx="7">
                  <c:v>7.9453727186348502</c:v>
                </c:pt>
                <c:pt idx="8">
                  <c:v>6.9396693502804467</c:v>
                </c:pt>
                <c:pt idx="9">
                  <c:v>6.4059889819260647</c:v>
                </c:pt>
                <c:pt idx="10">
                  <c:v>6.1058756135716621</c:v>
                </c:pt>
                <c:pt idx="11">
                  <c:v>6.9907442452172788</c:v>
                </c:pt>
                <c:pt idx="12">
                  <c:v>6.2358188768628864</c:v>
                </c:pt>
                <c:pt idx="13">
                  <c:v>6.8649965085084972</c:v>
                </c:pt>
                <c:pt idx="14">
                  <c:v>6.4763741401541068</c:v>
                </c:pt>
                <c:pt idx="15">
                  <c:v>5.4731277717997102</c:v>
                </c:pt>
                <c:pt idx="16">
                  <c:v>4.0716304034453188</c:v>
                </c:pt>
                <c:pt idx="17">
                  <c:v>4.3910350350909226</c:v>
                </c:pt>
                <c:pt idx="18">
                  <c:v>5.0915156667365267</c:v>
                </c:pt>
                <c:pt idx="19">
                  <c:v>6.1091282983821316</c:v>
                </c:pt>
                <c:pt idx="20">
                  <c:v>4.9338089300277517</c:v>
                </c:pt>
                <c:pt idx="21">
                  <c:v>5.07375056167335</c:v>
                </c:pt>
                <c:pt idx="22">
                  <c:v>5.3931661933189616</c:v>
                </c:pt>
                <c:pt idx="23">
                  <c:v>5.3192258249645619</c:v>
                </c:pt>
                <c:pt idx="24">
                  <c:v>5.9828424566101788</c:v>
                </c:pt>
                <c:pt idx="25">
                  <c:v>6.8971980882557844</c:v>
                </c:pt>
                <c:pt idx="26">
                  <c:v>6.7888417199013915</c:v>
                </c:pt>
                <c:pt idx="27">
                  <c:v>6.3805503515470079</c:v>
                </c:pt>
                <c:pt idx="28">
                  <c:v>6.2058109831926132</c:v>
                </c:pt>
                <c:pt idx="29">
                  <c:v>5.8196606148382202</c:v>
                </c:pt>
                <c:pt idx="30">
                  <c:v>6.6971432464838259</c:v>
                </c:pt>
                <c:pt idx="31">
                  <c:v>6.5199468781294385</c:v>
                </c:pt>
                <c:pt idx="32">
                  <c:v>7.6629485097750489</c:v>
                </c:pt>
                <c:pt idx="33">
                  <c:v>7.3923371414206542</c:v>
                </c:pt>
                <c:pt idx="34">
                  <c:v>7.5716237730662641</c:v>
                </c:pt>
                <c:pt idx="35">
                  <c:v>7.8517024047118724</c:v>
                </c:pt>
                <c:pt idx="36">
                  <c:v>9.2553090363574739</c:v>
                </c:pt>
                <c:pt idx="37">
                  <c:v>8.2938486680030792</c:v>
                </c:pt>
                <c:pt idx="38">
                  <c:v>8.6329412996486923</c:v>
                </c:pt>
                <c:pt idx="39">
                  <c:v>8.0427349312943051</c:v>
                </c:pt>
                <c:pt idx="40">
                  <c:v>8.9792165629399108</c:v>
                </c:pt>
                <c:pt idx="41">
                  <c:v>10.318903194585516</c:v>
                </c:pt>
                <c:pt idx="42">
                  <c:v>10.247411826231115</c:v>
                </c:pt>
                <c:pt idx="43">
                  <c:v>11.633798457876722</c:v>
                </c:pt>
                <c:pt idx="44">
                  <c:v>10.33801108952234</c:v>
                </c:pt>
                <c:pt idx="45">
                  <c:v>9.7650007211679366</c:v>
                </c:pt>
                <c:pt idx="46">
                  <c:v>10.480237352813546</c:v>
                </c:pt>
                <c:pt idx="47">
                  <c:v>11.094666984459153</c:v>
                </c:pt>
                <c:pt idx="48">
                  <c:v>10.320065616104785</c:v>
                </c:pt>
                <c:pt idx="49">
                  <c:v>10.354302247750383</c:v>
                </c:pt>
                <c:pt idx="50">
                  <c:v>10.486874879395998</c:v>
                </c:pt>
                <c:pt idx="51">
                  <c:v>10.017121511041594</c:v>
                </c:pt>
                <c:pt idx="52">
                  <c:v>7.4724241426872027</c:v>
                </c:pt>
                <c:pt idx="53">
                  <c:v>9.3775487743328227</c:v>
                </c:pt>
                <c:pt idx="54">
                  <c:v>10.76886440597842</c:v>
                </c:pt>
                <c:pt idx="55">
                  <c:v>10.409729037624032</c:v>
                </c:pt>
                <c:pt idx="56">
                  <c:v>6.6358146692696351</c:v>
                </c:pt>
                <c:pt idx="57">
                  <c:v>6.1832653009152523</c:v>
                </c:pt>
                <c:pt idx="58">
                  <c:v>8.4448739325608528</c:v>
                </c:pt>
                <c:pt idx="59">
                  <c:v>8.8405075642064617</c:v>
                </c:pt>
                <c:pt idx="60">
                  <c:v>9.5213051958520651</c:v>
                </c:pt>
                <c:pt idx="61">
                  <c:v>8.1909788274976734</c:v>
                </c:pt>
                <c:pt idx="62">
                  <c:v>8.3219794591432787</c:v>
                </c:pt>
                <c:pt idx="63">
                  <c:v>7.6003330907888937</c:v>
                </c:pt>
                <c:pt idx="64">
                  <c:v>9.2271677224345012</c:v>
                </c:pt>
                <c:pt idx="65">
                  <c:v>8.4094073540801162</c:v>
                </c:pt>
                <c:pt idx="66">
                  <c:v>8.1855569857257251</c:v>
                </c:pt>
                <c:pt idx="67">
                  <c:v>6.4757216173713346</c:v>
                </c:pt>
                <c:pt idx="68">
                  <c:v>7.3706532490169394</c:v>
                </c:pt>
                <c:pt idx="69">
                  <c:v>6.3089428806625421</c:v>
                </c:pt>
                <c:pt idx="70">
                  <c:v>4.2787495123081527</c:v>
                </c:pt>
                <c:pt idx="71">
                  <c:v>0.37075614395375567</c:v>
                </c:pt>
                <c:pt idx="72">
                  <c:v>-2.3617612244006239</c:v>
                </c:pt>
                <c:pt idx="73">
                  <c:v>-1.4791435927550225</c:v>
                </c:pt>
                <c:pt idx="74">
                  <c:v>-6.4369259611094094</c:v>
                </c:pt>
                <c:pt idx="75">
                  <c:v>-6.7199273294638147</c:v>
                </c:pt>
                <c:pt idx="76">
                  <c:v>-0.69185469781820075</c:v>
                </c:pt>
                <c:pt idx="77">
                  <c:v>-3.2740430661725952</c:v>
                </c:pt>
                <c:pt idx="78">
                  <c:v>-0.21053243452698212</c:v>
                </c:pt>
                <c:pt idx="79">
                  <c:v>-2.8740418028813792</c:v>
                </c:pt>
                <c:pt idx="80">
                  <c:v>-4.0762321712357732</c:v>
                </c:pt>
                <c:pt idx="81">
                  <c:v>-9.9531815395901617</c:v>
                </c:pt>
                <c:pt idx="82">
                  <c:v>-5.47269390794456</c:v>
                </c:pt>
                <c:pt idx="83">
                  <c:v>-8.1583892762989478</c:v>
                </c:pt>
                <c:pt idx="84">
                  <c:v>-15.104865644653344</c:v>
                </c:pt>
                <c:pt idx="85">
                  <c:v>-8.0196040130077364</c:v>
                </c:pt>
                <c:pt idx="86">
                  <c:v>-17.075519381362128</c:v>
                </c:pt>
                <c:pt idx="87">
                  <c:v>-14.694614749716507</c:v>
                </c:pt>
                <c:pt idx="88">
                  <c:v>-16.463585118070895</c:v>
                </c:pt>
                <c:pt idx="89">
                  <c:v>-17.17291248642529</c:v>
                </c:pt>
                <c:pt idx="90">
                  <c:v>-21.246006854779687</c:v>
                </c:pt>
                <c:pt idx="91">
                  <c:v>-22.689694223134076</c:v>
                </c:pt>
                <c:pt idx="92">
                  <c:v>-17.386124591488468</c:v>
                </c:pt>
                <c:pt idx="93">
                  <c:v>-17.96484095984286</c:v>
                </c:pt>
                <c:pt idx="94">
                  <c:v>-15.024537328197255</c:v>
                </c:pt>
                <c:pt idx="95">
                  <c:v>-17.904908696551651</c:v>
                </c:pt>
                <c:pt idx="96">
                  <c:v>-16.406225064906039</c:v>
                </c:pt>
                <c:pt idx="97">
                  <c:v>-16.777940433260433</c:v>
                </c:pt>
                <c:pt idx="98">
                  <c:v>-20.318745801614824</c:v>
                </c:pt>
                <c:pt idx="99">
                  <c:v>-19.571672169969219</c:v>
                </c:pt>
                <c:pt idx="100">
                  <c:v>-20.682672538323608</c:v>
                </c:pt>
                <c:pt idx="101">
                  <c:v>-15.73643290667799</c:v>
                </c:pt>
                <c:pt idx="102">
                  <c:v>-16.729154275032379</c:v>
                </c:pt>
                <c:pt idx="103">
                  <c:v>-15.336424643386778</c:v>
                </c:pt>
                <c:pt idx="104">
                  <c:v>-15.106852011741168</c:v>
                </c:pt>
                <c:pt idx="105">
                  <c:v>-14.054197380095559</c:v>
                </c:pt>
                <c:pt idx="106">
                  <c:v>-10.897043748449946</c:v>
                </c:pt>
                <c:pt idx="107">
                  <c:v>-11.78626111680434</c:v>
                </c:pt>
                <c:pt idx="108">
                  <c:v>-11.472903485158739</c:v>
                </c:pt>
                <c:pt idx="109">
                  <c:v>-12.675093853513133</c:v>
                </c:pt>
                <c:pt idx="110">
                  <c:v>-14.365207221867522</c:v>
                </c:pt>
                <c:pt idx="111">
                  <c:v>-16.718222590221913</c:v>
                </c:pt>
                <c:pt idx="112">
                  <c:v>-15.056880958576315</c:v>
                </c:pt>
                <c:pt idx="113">
                  <c:v>-15.564132326930704</c:v>
                </c:pt>
                <c:pt idx="114">
                  <c:v>-13.8510546952851</c:v>
                </c:pt>
                <c:pt idx="115">
                  <c:v>-14.045341063639484</c:v>
                </c:pt>
                <c:pt idx="116">
                  <c:v>-15.420032431993874</c:v>
                </c:pt>
                <c:pt idx="117">
                  <c:v>-13.408760800348276</c:v>
                </c:pt>
                <c:pt idx="118">
                  <c:v>-12.156513168702659</c:v>
                </c:pt>
                <c:pt idx="119">
                  <c:v>-13.565697537057062</c:v>
                </c:pt>
                <c:pt idx="120">
                  <c:v>-12.801365905411444</c:v>
                </c:pt>
                <c:pt idx="121">
                  <c:v>-11.960648273765841</c:v>
                </c:pt>
                <c:pt idx="122">
                  <c:v>-11.447674642120234</c:v>
                </c:pt>
                <c:pt idx="123">
                  <c:v>-10.924859010474634</c:v>
                </c:pt>
                <c:pt idx="124">
                  <c:v>-8.7594273788290167</c:v>
                </c:pt>
                <c:pt idx="125">
                  <c:v>-7.7873017471834061</c:v>
                </c:pt>
                <c:pt idx="126">
                  <c:v>-8.9277091155377946</c:v>
                </c:pt>
                <c:pt idx="127">
                  <c:v>-10.107965483892187</c:v>
                </c:pt>
                <c:pt idx="128">
                  <c:v>-9.8807048522465806</c:v>
                </c:pt>
                <c:pt idx="129">
                  <c:v>-10.580171220600974</c:v>
                </c:pt>
                <c:pt idx="130">
                  <c:v>-9.0176215889553646</c:v>
                </c:pt>
                <c:pt idx="131">
                  <c:v>-9.7145869573097485</c:v>
                </c:pt>
                <c:pt idx="132">
                  <c:v>-8.4410153256641536</c:v>
                </c:pt>
                <c:pt idx="133">
                  <c:v>-9.2774986940185471</c:v>
                </c:pt>
                <c:pt idx="134">
                  <c:v>-9.0128620623729319</c:v>
                </c:pt>
                <c:pt idx="135">
                  <c:v>-9.794535430727322</c:v>
                </c:pt>
                <c:pt idx="136">
                  <c:v>-9.6943267990817219</c:v>
                </c:pt>
                <c:pt idx="137">
                  <c:v>-9.9030181674361017</c:v>
                </c:pt>
                <c:pt idx="138">
                  <c:v>-10.223815535790493</c:v>
                </c:pt>
                <c:pt idx="139">
                  <c:v>-9.493327904144877</c:v>
                </c:pt>
                <c:pt idx="140">
                  <c:v>-9.3657142724992752</c:v>
                </c:pt>
                <c:pt idx="141">
                  <c:v>-9.1658516408536741</c:v>
                </c:pt>
                <c:pt idx="142">
                  <c:v>-10.106956009208062</c:v>
                </c:pt>
                <c:pt idx="143">
                  <c:v>-8.0636023775624466</c:v>
                </c:pt>
                <c:pt idx="144">
                  <c:v>-7.8189087459168434</c:v>
                </c:pt>
                <c:pt idx="145">
                  <c:v>-5.4392431142712354</c:v>
                </c:pt>
                <c:pt idx="146">
                  <c:v>-3.4781034826256274</c:v>
                </c:pt>
                <c:pt idx="147">
                  <c:v>-7.9417688509800257</c:v>
                </c:pt>
                <c:pt idx="148">
                  <c:v>-7.4628912193344092</c:v>
                </c:pt>
                <c:pt idx="149">
                  <c:v>-6.6626555876888034</c:v>
                </c:pt>
                <c:pt idx="150">
                  <c:v>-4.6417249560432055</c:v>
                </c:pt>
                <c:pt idx="151">
                  <c:v>-5.0073593243975978</c:v>
                </c:pt>
                <c:pt idx="152">
                  <c:v>-5.2160506927519918</c:v>
                </c:pt>
                <c:pt idx="153">
                  <c:v>-5.9603630611063778</c:v>
                </c:pt>
                <c:pt idx="154">
                  <c:v>-3.9244854294607734</c:v>
                </c:pt>
                <c:pt idx="155">
                  <c:v>-2.2597937978151634</c:v>
                </c:pt>
                <c:pt idx="156">
                  <c:v>-4.1151751661695641</c:v>
                </c:pt>
                <c:pt idx="157">
                  <c:v>-3.1679515345239508</c:v>
                </c:pt>
                <c:pt idx="158">
                  <c:v>-6.2041569028783385</c:v>
                </c:pt>
                <c:pt idx="159">
                  <c:v>-4.4174022712327314</c:v>
                </c:pt>
                <c:pt idx="160">
                  <c:v>-3.9086406395871336</c:v>
                </c:pt>
                <c:pt idx="161">
                  <c:v>-4.3241030079415168</c:v>
                </c:pt>
                <c:pt idx="162">
                  <c:v>-4.5676753762959095</c:v>
                </c:pt>
                <c:pt idx="163">
                  <c:v>-2.3848097446503118</c:v>
                </c:pt>
                <c:pt idx="164">
                  <c:v>-2.9173611130047021</c:v>
                </c:pt>
                <c:pt idx="165">
                  <c:v>-0.99857248135907639</c:v>
                </c:pt>
                <c:pt idx="166">
                  <c:v>-0.83358284971346563</c:v>
                </c:pt>
                <c:pt idx="167">
                  <c:v>-0.91024721806786602</c:v>
                </c:pt>
                <c:pt idx="168">
                  <c:v>-1.5947605864222538</c:v>
                </c:pt>
                <c:pt idx="169">
                  <c:v>-0.26389295477665087</c:v>
                </c:pt>
                <c:pt idx="170">
                  <c:v>0.15768067686896359</c:v>
                </c:pt>
                <c:pt idx="171">
                  <c:v>-1.2841566914854354</c:v>
                </c:pt>
                <c:pt idx="172">
                  <c:v>-1.7220420598398221</c:v>
                </c:pt>
                <c:pt idx="173">
                  <c:v>5.7243571805784654E-2</c:v>
                </c:pt>
                <c:pt idx="174">
                  <c:v>-1.5390587965486162</c:v>
                </c:pt>
                <c:pt idx="175">
                  <c:v>-1.511093164902988</c:v>
                </c:pt>
                <c:pt idx="176">
                  <c:v>-6.1665765332573841</c:v>
                </c:pt>
                <c:pt idx="177">
                  <c:v>-6.639343901611781</c:v>
                </c:pt>
                <c:pt idx="178">
                  <c:v>-4.6956452699661639</c:v>
                </c:pt>
                <c:pt idx="179">
                  <c:v>-6.4912266383205548</c:v>
                </c:pt>
                <c:pt idx="180">
                  <c:v>-4.9535950066749592</c:v>
                </c:pt>
                <c:pt idx="181">
                  <c:v>-4.0512093750293445</c:v>
                </c:pt>
                <c:pt idx="182">
                  <c:v>5.7397872566162675</c:v>
                </c:pt>
                <c:pt idx="183">
                  <c:v>8.1642818882618684</c:v>
                </c:pt>
                <c:pt idx="184">
                  <c:v>8.6456555199074785</c:v>
                </c:pt>
                <c:pt idx="185">
                  <c:v>8.7981781515530884</c:v>
                </c:pt>
                <c:pt idx="186">
                  <c:v>12.381089783198689</c:v>
                </c:pt>
                <c:pt idx="187">
                  <c:v>9.556974414844305</c:v>
                </c:pt>
                <c:pt idx="188">
                  <c:v>10.925623046489903</c:v>
                </c:pt>
                <c:pt idx="189">
                  <c:v>7.3353176781355103</c:v>
                </c:pt>
                <c:pt idx="190">
                  <c:v>10.720491309781124</c:v>
                </c:pt>
                <c:pt idx="191">
                  <c:v>12.473469941426728</c:v>
                </c:pt>
                <c:pt idx="192">
                  <c:v>12.127579573072339</c:v>
                </c:pt>
                <c:pt idx="193">
                  <c:v>11.584515204717945</c:v>
                </c:pt>
                <c:pt idx="194">
                  <c:v>12.294304836363551</c:v>
                </c:pt>
                <c:pt idx="195">
                  <c:v>12.195477468009159</c:v>
                </c:pt>
                <c:pt idx="196">
                  <c:v>14.514985099654766</c:v>
                </c:pt>
                <c:pt idx="197">
                  <c:v>20.355915731300371</c:v>
                </c:pt>
                <c:pt idx="198">
                  <c:v>21.597282362945975</c:v>
                </c:pt>
                <c:pt idx="199">
                  <c:v>20.322986994591588</c:v>
                </c:pt>
                <c:pt idx="200">
                  <c:v>21.773994626237197</c:v>
                </c:pt>
                <c:pt idx="201">
                  <c:v>20.020527257882804</c:v>
                </c:pt>
                <c:pt idx="202">
                  <c:v>19.574805889528406</c:v>
                </c:pt>
                <c:pt idx="203">
                  <c:v>23.556430521174022</c:v>
                </c:pt>
                <c:pt idx="204">
                  <c:v>28.444007152819651</c:v>
                </c:pt>
                <c:pt idx="205">
                  <c:v>25.425227784465235</c:v>
                </c:pt>
                <c:pt idx="206">
                  <c:v>14.679770416110856</c:v>
                </c:pt>
                <c:pt idx="207">
                  <c:v>14.516063047756461</c:v>
                </c:pt>
                <c:pt idx="208">
                  <c:v>6.1465136794020623</c:v>
                </c:pt>
                <c:pt idx="209">
                  <c:v>10.395190311047671</c:v>
                </c:pt>
                <c:pt idx="210">
                  <c:v>6.328214942693279</c:v>
                </c:pt>
                <c:pt idx="211">
                  <c:v>4.5972085743388931</c:v>
                </c:pt>
                <c:pt idx="212">
                  <c:v>7.7078462059844952</c:v>
                </c:pt>
                <c:pt idx="213">
                  <c:v>7.643968837630112</c:v>
                </c:pt>
                <c:pt idx="214">
                  <c:v>3.9962674692757219</c:v>
                </c:pt>
                <c:pt idx="215">
                  <c:v>1.9657761009213317</c:v>
                </c:pt>
                <c:pt idx="216">
                  <c:v>-1.7717682674330604</c:v>
                </c:pt>
                <c:pt idx="217">
                  <c:v>1.219079364212547</c:v>
                </c:pt>
                <c:pt idx="218">
                  <c:v>2.7025279958581478</c:v>
                </c:pt>
                <c:pt idx="219">
                  <c:v>-2.2229673724962424</c:v>
                </c:pt>
                <c:pt idx="220">
                  <c:v>-1.3684337408506337</c:v>
                </c:pt>
                <c:pt idx="221">
                  <c:v>2.4410028907949766</c:v>
                </c:pt>
                <c:pt idx="222">
                  <c:v>4.8728155224405896</c:v>
                </c:pt>
                <c:pt idx="223">
                  <c:v>3.7607351540861913</c:v>
                </c:pt>
                <c:pt idx="224">
                  <c:v>5.2342037857317933</c:v>
                </c:pt>
                <c:pt idx="225">
                  <c:v>5.9689494173774023</c:v>
                </c:pt>
                <c:pt idx="226">
                  <c:v>1.9618650490230181</c:v>
                </c:pt>
                <c:pt idx="227">
                  <c:v>5.1922996806686257</c:v>
                </c:pt>
                <c:pt idx="228">
                  <c:v>1.6144833123142206</c:v>
                </c:pt>
                <c:pt idx="229">
                  <c:v>3.2876049439598347</c:v>
                </c:pt>
                <c:pt idx="230">
                  <c:v>2.9342155756054353</c:v>
                </c:pt>
                <c:pt idx="231">
                  <c:v>4.6872022072510475</c:v>
                </c:pt>
                <c:pt idx="232">
                  <c:v>11.860835838896662</c:v>
                </c:pt>
                <c:pt idx="233">
                  <c:v>8.3229444705422679</c:v>
                </c:pt>
                <c:pt idx="234">
                  <c:v>8.1692151021878772</c:v>
                </c:pt>
                <c:pt idx="235">
                  <c:v>7.4464717338334765</c:v>
                </c:pt>
                <c:pt idx="236">
                  <c:v>5.515803365479087</c:v>
                </c:pt>
                <c:pt idx="237">
                  <c:v>2.2374719971247004</c:v>
                </c:pt>
                <c:pt idx="238">
                  <c:v>3.5212656287702941</c:v>
                </c:pt>
                <c:pt idx="239">
                  <c:v>2.6388002604159055</c:v>
                </c:pt>
                <c:pt idx="240">
                  <c:v>1.2771478920615209</c:v>
                </c:pt>
                <c:pt idx="241">
                  <c:v>0.32480452370714374</c:v>
                </c:pt>
                <c:pt idx="242">
                  <c:v>9.121115535273816E-2</c:v>
                </c:pt>
                <c:pt idx="243">
                  <c:v>1.3949647869983579</c:v>
                </c:pt>
                <c:pt idx="244">
                  <c:v>-4.2393095813560393</c:v>
                </c:pt>
                <c:pt idx="245">
                  <c:v>-0.36997394971042752</c:v>
                </c:pt>
                <c:pt idx="246">
                  <c:v>-7.0624143180648247</c:v>
                </c:pt>
                <c:pt idx="247">
                  <c:v>-7.3958386864192249</c:v>
                </c:pt>
                <c:pt idx="248">
                  <c:v>-5.9722810547736174</c:v>
                </c:pt>
                <c:pt idx="249">
                  <c:v>-1.7136254231280077</c:v>
                </c:pt>
                <c:pt idx="250">
                  <c:v>2.1157772085175992</c:v>
                </c:pt>
                <c:pt idx="251">
                  <c:v>1.7372098401632314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EF-442B-A117-827FAF253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071471"/>
        <c:axId val="318663631"/>
      </c:scatterChart>
      <c:valAx>
        <c:axId val="48507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663631"/>
        <c:crosses val="autoZero"/>
        <c:crossBetween val="midCat"/>
      </c:valAx>
      <c:valAx>
        <c:axId val="31866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7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Residuals</a:t>
            </a:r>
            <a:r>
              <a:rPr lang="en-US" baseline="0"/>
              <a:t> vs. x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'Part 3'!$C$2:$C$258</c:f>
              <c:numCache>
                <c:formatCode>General</c:formatCode>
                <c:ptCount val="2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</c:numCache>
            </c:numRef>
          </c:xVal>
          <c:yVal>
            <c:numRef>
              <c:f>'Part 3'!$AD$2:$AD$253</c:f>
              <c:numCache>
                <c:formatCode>0.00</c:formatCode>
                <c:ptCount val="252"/>
                <c:pt idx="0">
                  <c:v>8.1384162971155831</c:v>
                </c:pt>
                <c:pt idx="1">
                  <c:v>8.401290928761199</c:v>
                </c:pt>
                <c:pt idx="2">
                  <c:v>8.098705560406799</c:v>
                </c:pt>
                <c:pt idx="3">
                  <c:v>8.4722061920524112</c:v>
                </c:pt>
                <c:pt idx="4">
                  <c:v>7.7787428236980176</c:v>
                </c:pt>
                <c:pt idx="5">
                  <c:v>8.3022224553436317</c:v>
                </c:pt>
                <c:pt idx="6">
                  <c:v>8.3880720869892329</c:v>
                </c:pt>
                <c:pt idx="7">
                  <c:v>7.9453727186348502</c:v>
                </c:pt>
                <c:pt idx="8">
                  <c:v>6.9396693502804467</c:v>
                </c:pt>
                <c:pt idx="9">
                  <c:v>6.4059889819260647</c:v>
                </c:pt>
                <c:pt idx="10">
                  <c:v>6.1058756135716621</c:v>
                </c:pt>
                <c:pt idx="11">
                  <c:v>6.9907442452172788</c:v>
                </c:pt>
                <c:pt idx="12">
                  <c:v>6.2358188768628864</c:v>
                </c:pt>
                <c:pt idx="13">
                  <c:v>6.8649965085084972</c:v>
                </c:pt>
                <c:pt idx="14">
                  <c:v>6.4763741401541068</c:v>
                </c:pt>
                <c:pt idx="15">
                  <c:v>5.4731277717997102</c:v>
                </c:pt>
                <c:pt idx="16">
                  <c:v>4.0716304034453188</c:v>
                </c:pt>
                <c:pt idx="17">
                  <c:v>4.3910350350909226</c:v>
                </c:pt>
                <c:pt idx="18">
                  <c:v>5.0915156667365267</c:v>
                </c:pt>
                <c:pt idx="19">
                  <c:v>6.1091282983821316</c:v>
                </c:pt>
                <c:pt idx="20">
                  <c:v>4.9338089300277517</c:v>
                </c:pt>
                <c:pt idx="21">
                  <c:v>5.07375056167335</c:v>
                </c:pt>
                <c:pt idx="22">
                  <c:v>5.3931661933189616</c:v>
                </c:pt>
                <c:pt idx="23">
                  <c:v>5.3192258249645619</c:v>
                </c:pt>
                <c:pt idx="24">
                  <c:v>5.9828424566101788</c:v>
                </c:pt>
                <c:pt idx="25">
                  <c:v>6.8971980882557844</c:v>
                </c:pt>
                <c:pt idx="26">
                  <c:v>6.7888417199013915</c:v>
                </c:pt>
                <c:pt idx="27">
                  <c:v>6.3805503515470079</c:v>
                </c:pt>
                <c:pt idx="28">
                  <c:v>6.2058109831926132</c:v>
                </c:pt>
                <c:pt idx="29">
                  <c:v>5.8196606148382202</c:v>
                </c:pt>
                <c:pt idx="30">
                  <c:v>6.6971432464838259</c:v>
                </c:pt>
                <c:pt idx="31">
                  <c:v>6.5199468781294385</c:v>
                </c:pt>
                <c:pt idx="32">
                  <c:v>7.6629485097750489</c:v>
                </c:pt>
                <c:pt idx="33">
                  <c:v>7.3923371414206542</c:v>
                </c:pt>
                <c:pt idx="34">
                  <c:v>7.5716237730662641</c:v>
                </c:pt>
                <c:pt idx="35">
                  <c:v>7.8517024047118724</c:v>
                </c:pt>
                <c:pt idx="36">
                  <c:v>9.2553090363574739</c:v>
                </c:pt>
                <c:pt idx="37">
                  <c:v>8.2938486680030792</c:v>
                </c:pt>
                <c:pt idx="38">
                  <c:v>8.6329412996486923</c:v>
                </c:pt>
                <c:pt idx="39">
                  <c:v>8.0427349312943051</c:v>
                </c:pt>
                <c:pt idx="40">
                  <c:v>8.9792165629399108</c:v>
                </c:pt>
                <c:pt idx="41">
                  <c:v>10.318903194585516</c:v>
                </c:pt>
                <c:pt idx="42">
                  <c:v>10.247411826231115</c:v>
                </c:pt>
                <c:pt idx="43">
                  <c:v>11.633798457876722</c:v>
                </c:pt>
                <c:pt idx="44">
                  <c:v>10.33801108952234</c:v>
                </c:pt>
                <c:pt idx="45">
                  <c:v>9.7650007211679366</c:v>
                </c:pt>
                <c:pt idx="46">
                  <c:v>10.480237352813546</c:v>
                </c:pt>
                <c:pt idx="47">
                  <c:v>11.094666984459153</c:v>
                </c:pt>
                <c:pt idx="48">
                  <c:v>10.320065616104785</c:v>
                </c:pt>
                <c:pt idx="49">
                  <c:v>10.354302247750383</c:v>
                </c:pt>
                <c:pt idx="50">
                  <c:v>10.486874879395998</c:v>
                </c:pt>
                <c:pt idx="51">
                  <c:v>10.017121511041594</c:v>
                </c:pt>
                <c:pt idx="52">
                  <c:v>7.4724241426872027</c:v>
                </c:pt>
                <c:pt idx="53">
                  <c:v>9.3775487743328227</c:v>
                </c:pt>
                <c:pt idx="54">
                  <c:v>10.76886440597842</c:v>
                </c:pt>
                <c:pt idx="55">
                  <c:v>10.409729037624032</c:v>
                </c:pt>
                <c:pt idx="56">
                  <c:v>6.6358146692696351</c:v>
                </c:pt>
                <c:pt idx="57">
                  <c:v>6.1832653009152523</c:v>
                </c:pt>
                <c:pt idx="58">
                  <c:v>8.4448739325608528</c:v>
                </c:pt>
                <c:pt idx="59">
                  <c:v>8.8405075642064617</c:v>
                </c:pt>
                <c:pt idx="60">
                  <c:v>9.5213051958520651</c:v>
                </c:pt>
                <c:pt idx="61">
                  <c:v>8.1909788274976734</c:v>
                </c:pt>
                <c:pt idx="62">
                  <c:v>8.3219794591432787</c:v>
                </c:pt>
                <c:pt idx="63">
                  <c:v>7.6003330907888937</c:v>
                </c:pt>
                <c:pt idx="64">
                  <c:v>9.2271677224345012</c:v>
                </c:pt>
                <c:pt idx="65">
                  <c:v>8.4094073540801162</c:v>
                </c:pt>
                <c:pt idx="66">
                  <c:v>8.1855569857257251</c:v>
                </c:pt>
                <c:pt idx="67">
                  <c:v>6.4757216173713346</c:v>
                </c:pt>
                <c:pt idx="68">
                  <c:v>7.3706532490169394</c:v>
                </c:pt>
                <c:pt idx="69">
                  <c:v>6.3089428806625421</c:v>
                </c:pt>
                <c:pt idx="70">
                  <c:v>4.2787495123081527</c:v>
                </c:pt>
                <c:pt idx="71">
                  <c:v>0.37075614395375567</c:v>
                </c:pt>
                <c:pt idx="72">
                  <c:v>-2.3617612244006239</c:v>
                </c:pt>
                <c:pt idx="73">
                  <c:v>-1.4791435927550225</c:v>
                </c:pt>
                <c:pt idx="74">
                  <c:v>-6.4369259611094094</c:v>
                </c:pt>
                <c:pt idx="75">
                  <c:v>-6.7199273294638147</c:v>
                </c:pt>
                <c:pt idx="76">
                  <c:v>-0.69185469781820075</c:v>
                </c:pt>
                <c:pt idx="77">
                  <c:v>-3.2740430661725952</c:v>
                </c:pt>
                <c:pt idx="78">
                  <c:v>-0.21053243452698212</c:v>
                </c:pt>
                <c:pt idx="79">
                  <c:v>-2.8740418028813792</c:v>
                </c:pt>
                <c:pt idx="80">
                  <c:v>-4.0762321712357732</c:v>
                </c:pt>
                <c:pt idx="81">
                  <c:v>-9.9531815395901617</c:v>
                </c:pt>
                <c:pt idx="82">
                  <c:v>-5.47269390794456</c:v>
                </c:pt>
                <c:pt idx="83">
                  <c:v>-8.1583892762989478</c:v>
                </c:pt>
                <c:pt idx="84">
                  <c:v>-15.104865644653344</c:v>
                </c:pt>
                <c:pt idx="85">
                  <c:v>-8.0196040130077364</c:v>
                </c:pt>
                <c:pt idx="86">
                  <c:v>-17.075519381362128</c:v>
                </c:pt>
                <c:pt idx="87">
                  <c:v>-14.694614749716507</c:v>
                </c:pt>
                <c:pt idx="88">
                  <c:v>-16.463585118070895</c:v>
                </c:pt>
                <c:pt idx="89">
                  <c:v>-17.17291248642529</c:v>
                </c:pt>
                <c:pt idx="90">
                  <c:v>-21.246006854779687</c:v>
                </c:pt>
                <c:pt idx="91">
                  <c:v>-22.689694223134076</c:v>
                </c:pt>
                <c:pt idx="92">
                  <c:v>-17.386124591488468</c:v>
                </c:pt>
                <c:pt idx="93">
                  <c:v>-17.96484095984286</c:v>
                </c:pt>
                <c:pt idx="94">
                  <c:v>-15.024537328197255</c:v>
                </c:pt>
                <c:pt idx="95">
                  <c:v>-17.904908696551651</c:v>
                </c:pt>
                <c:pt idx="96">
                  <c:v>-16.406225064906039</c:v>
                </c:pt>
                <c:pt idx="97">
                  <c:v>-16.777940433260433</c:v>
                </c:pt>
                <c:pt idx="98">
                  <c:v>-20.318745801614824</c:v>
                </c:pt>
                <c:pt idx="99">
                  <c:v>-19.571672169969219</c:v>
                </c:pt>
                <c:pt idx="100">
                  <c:v>-20.682672538323608</c:v>
                </c:pt>
                <c:pt idx="101">
                  <c:v>-15.73643290667799</c:v>
                </c:pt>
                <c:pt idx="102">
                  <c:v>-16.729154275032379</c:v>
                </c:pt>
                <c:pt idx="103">
                  <c:v>-15.336424643386778</c:v>
                </c:pt>
                <c:pt idx="104">
                  <c:v>-15.106852011741168</c:v>
                </c:pt>
                <c:pt idx="105">
                  <c:v>-14.054197380095559</c:v>
                </c:pt>
                <c:pt idx="106">
                  <c:v>-10.897043748449946</c:v>
                </c:pt>
                <c:pt idx="107">
                  <c:v>-11.78626111680434</c:v>
                </c:pt>
                <c:pt idx="108">
                  <c:v>-11.472903485158739</c:v>
                </c:pt>
                <c:pt idx="109">
                  <c:v>-12.675093853513133</c:v>
                </c:pt>
                <c:pt idx="110">
                  <c:v>-14.365207221867522</c:v>
                </c:pt>
                <c:pt idx="111">
                  <c:v>-16.718222590221913</c:v>
                </c:pt>
                <c:pt idx="112">
                  <c:v>-15.056880958576315</c:v>
                </c:pt>
                <c:pt idx="113">
                  <c:v>-15.564132326930704</c:v>
                </c:pt>
                <c:pt idx="114">
                  <c:v>-13.8510546952851</c:v>
                </c:pt>
                <c:pt idx="115">
                  <c:v>-14.045341063639484</c:v>
                </c:pt>
                <c:pt idx="116">
                  <c:v>-15.420032431993874</c:v>
                </c:pt>
                <c:pt idx="117">
                  <c:v>-13.408760800348276</c:v>
                </c:pt>
                <c:pt idx="118">
                  <c:v>-12.156513168702659</c:v>
                </c:pt>
                <c:pt idx="119">
                  <c:v>-13.565697537057062</c:v>
                </c:pt>
                <c:pt idx="120">
                  <c:v>-12.801365905411444</c:v>
                </c:pt>
                <c:pt idx="121">
                  <c:v>-11.960648273765841</c:v>
                </c:pt>
                <c:pt idx="122">
                  <c:v>-11.447674642120234</c:v>
                </c:pt>
                <c:pt idx="123">
                  <c:v>-10.924859010474634</c:v>
                </c:pt>
                <c:pt idx="124">
                  <c:v>-8.7594273788290167</c:v>
                </c:pt>
                <c:pt idx="125">
                  <c:v>-7.7873017471834061</c:v>
                </c:pt>
                <c:pt idx="126">
                  <c:v>-8.9277091155377946</c:v>
                </c:pt>
                <c:pt idx="127">
                  <c:v>-10.107965483892187</c:v>
                </c:pt>
                <c:pt idx="128">
                  <c:v>-9.8807048522465806</c:v>
                </c:pt>
                <c:pt idx="129">
                  <c:v>-10.580171220600974</c:v>
                </c:pt>
                <c:pt idx="130">
                  <c:v>-9.0176215889553646</c:v>
                </c:pt>
                <c:pt idx="131">
                  <c:v>-9.7145869573097485</c:v>
                </c:pt>
                <c:pt idx="132">
                  <c:v>-8.4410153256641536</c:v>
                </c:pt>
                <c:pt idx="133">
                  <c:v>-9.2774986940185471</c:v>
                </c:pt>
                <c:pt idx="134">
                  <c:v>-9.0128620623729319</c:v>
                </c:pt>
                <c:pt idx="135">
                  <c:v>-9.794535430727322</c:v>
                </c:pt>
                <c:pt idx="136">
                  <c:v>-9.6943267990817219</c:v>
                </c:pt>
                <c:pt idx="137">
                  <c:v>-9.9030181674361017</c:v>
                </c:pt>
                <c:pt idx="138">
                  <c:v>-10.223815535790493</c:v>
                </c:pt>
                <c:pt idx="139">
                  <c:v>-9.493327904144877</c:v>
                </c:pt>
                <c:pt idx="140">
                  <c:v>-9.3657142724992752</c:v>
                </c:pt>
                <c:pt idx="141">
                  <c:v>-9.1658516408536741</c:v>
                </c:pt>
                <c:pt idx="142">
                  <c:v>-10.106956009208062</c:v>
                </c:pt>
                <c:pt idx="143">
                  <c:v>-8.0636023775624466</c:v>
                </c:pt>
                <c:pt idx="144">
                  <c:v>-7.8189087459168434</c:v>
                </c:pt>
                <c:pt idx="145">
                  <c:v>-5.4392431142712354</c:v>
                </c:pt>
                <c:pt idx="146">
                  <c:v>-3.4781034826256274</c:v>
                </c:pt>
                <c:pt idx="147">
                  <c:v>-7.9417688509800257</c:v>
                </c:pt>
                <c:pt idx="148">
                  <c:v>-7.4628912193344092</c:v>
                </c:pt>
                <c:pt idx="149">
                  <c:v>-6.6626555876888034</c:v>
                </c:pt>
                <c:pt idx="150">
                  <c:v>-4.6417249560432055</c:v>
                </c:pt>
                <c:pt idx="151">
                  <c:v>-5.0073593243975978</c:v>
                </c:pt>
                <c:pt idx="152">
                  <c:v>-5.2160506927519918</c:v>
                </c:pt>
                <c:pt idx="153">
                  <c:v>-5.9603630611063778</c:v>
                </c:pt>
                <c:pt idx="154">
                  <c:v>-3.9244854294607734</c:v>
                </c:pt>
                <c:pt idx="155">
                  <c:v>-2.2597937978151634</c:v>
                </c:pt>
                <c:pt idx="156">
                  <c:v>-4.1151751661695641</c:v>
                </c:pt>
                <c:pt idx="157">
                  <c:v>-3.1679515345239508</c:v>
                </c:pt>
                <c:pt idx="158">
                  <c:v>-6.2041569028783385</c:v>
                </c:pt>
                <c:pt idx="159">
                  <c:v>-4.4174022712327314</c:v>
                </c:pt>
                <c:pt idx="160">
                  <c:v>-3.9086406395871336</c:v>
                </c:pt>
                <c:pt idx="161">
                  <c:v>-4.3241030079415168</c:v>
                </c:pt>
                <c:pt idx="162">
                  <c:v>-4.5676753762959095</c:v>
                </c:pt>
                <c:pt idx="163">
                  <c:v>-2.3848097446503118</c:v>
                </c:pt>
                <c:pt idx="164">
                  <c:v>-2.9173611130047021</c:v>
                </c:pt>
                <c:pt idx="165">
                  <c:v>-0.99857248135907639</c:v>
                </c:pt>
                <c:pt idx="166">
                  <c:v>-0.83358284971346563</c:v>
                </c:pt>
                <c:pt idx="167">
                  <c:v>-0.91024721806786602</c:v>
                </c:pt>
                <c:pt idx="168">
                  <c:v>-1.5947605864222538</c:v>
                </c:pt>
                <c:pt idx="169">
                  <c:v>-0.26389295477665087</c:v>
                </c:pt>
                <c:pt idx="170">
                  <c:v>0.15768067686896359</c:v>
                </c:pt>
                <c:pt idx="171">
                  <c:v>-1.2841566914854354</c:v>
                </c:pt>
                <c:pt idx="172">
                  <c:v>-1.7220420598398221</c:v>
                </c:pt>
                <c:pt idx="173">
                  <c:v>5.7243571805784654E-2</c:v>
                </c:pt>
                <c:pt idx="174">
                  <c:v>-1.5390587965486162</c:v>
                </c:pt>
                <c:pt idx="175">
                  <c:v>-1.511093164902988</c:v>
                </c:pt>
                <c:pt idx="176">
                  <c:v>-6.1665765332573841</c:v>
                </c:pt>
                <c:pt idx="177">
                  <c:v>-6.639343901611781</c:v>
                </c:pt>
                <c:pt idx="178">
                  <c:v>-4.6956452699661639</c:v>
                </c:pt>
                <c:pt idx="179">
                  <c:v>-6.4912266383205548</c:v>
                </c:pt>
                <c:pt idx="180">
                  <c:v>-4.9535950066749592</c:v>
                </c:pt>
                <c:pt idx="181">
                  <c:v>-4.0512093750293445</c:v>
                </c:pt>
                <c:pt idx="182">
                  <c:v>5.7397872566162675</c:v>
                </c:pt>
                <c:pt idx="183">
                  <c:v>8.1642818882618684</c:v>
                </c:pt>
                <c:pt idx="184">
                  <c:v>8.6456555199074785</c:v>
                </c:pt>
                <c:pt idx="185">
                  <c:v>8.7981781515530884</c:v>
                </c:pt>
                <c:pt idx="186">
                  <c:v>12.381089783198689</c:v>
                </c:pt>
                <c:pt idx="187">
                  <c:v>9.556974414844305</c:v>
                </c:pt>
                <c:pt idx="188">
                  <c:v>10.925623046489903</c:v>
                </c:pt>
                <c:pt idx="189">
                  <c:v>7.3353176781355103</c:v>
                </c:pt>
                <c:pt idx="190">
                  <c:v>10.720491309781124</c:v>
                </c:pt>
                <c:pt idx="191">
                  <c:v>12.473469941426728</c:v>
                </c:pt>
                <c:pt idx="192">
                  <c:v>12.127579573072339</c:v>
                </c:pt>
                <c:pt idx="193">
                  <c:v>11.584515204717945</c:v>
                </c:pt>
                <c:pt idx="194">
                  <c:v>12.294304836363551</c:v>
                </c:pt>
                <c:pt idx="195">
                  <c:v>12.195477468009159</c:v>
                </c:pt>
                <c:pt idx="196">
                  <c:v>14.514985099654766</c:v>
                </c:pt>
                <c:pt idx="197">
                  <c:v>20.355915731300371</c:v>
                </c:pt>
                <c:pt idx="198">
                  <c:v>21.597282362945975</c:v>
                </c:pt>
                <c:pt idx="199">
                  <c:v>20.322986994591588</c:v>
                </c:pt>
                <c:pt idx="200">
                  <c:v>21.773994626237197</c:v>
                </c:pt>
                <c:pt idx="201">
                  <c:v>20.020527257882804</c:v>
                </c:pt>
                <c:pt idx="202">
                  <c:v>19.574805889528406</c:v>
                </c:pt>
                <c:pt idx="203">
                  <c:v>23.556430521174022</c:v>
                </c:pt>
                <c:pt idx="204">
                  <c:v>28.444007152819651</c:v>
                </c:pt>
                <c:pt idx="205">
                  <c:v>25.425227784465235</c:v>
                </c:pt>
                <c:pt idx="206">
                  <c:v>14.679770416110856</c:v>
                </c:pt>
                <c:pt idx="207">
                  <c:v>14.516063047756461</c:v>
                </c:pt>
                <c:pt idx="208">
                  <c:v>6.1465136794020623</c:v>
                </c:pt>
                <c:pt idx="209">
                  <c:v>10.395190311047671</c:v>
                </c:pt>
                <c:pt idx="210">
                  <c:v>6.328214942693279</c:v>
                </c:pt>
                <c:pt idx="211">
                  <c:v>4.5972085743388931</c:v>
                </c:pt>
                <c:pt idx="212">
                  <c:v>7.7078462059844952</c:v>
                </c:pt>
                <c:pt idx="213">
                  <c:v>7.643968837630112</c:v>
                </c:pt>
                <c:pt idx="214">
                  <c:v>3.9962674692757219</c:v>
                </c:pt>
                <c:pt idx="215">
                  <c:v>1.9657761009213317</c:v>
                </c:pt>
                <c:pt idx="216">
                  <c:v>-1.7717682674330604</c:v>
                </c:pt>
                <c:pt idx="217">
                  <c:v>1.219079364212547</c:v>
                </c:pt>
                <c:pt idx="218">
                  <c:v>2.7025279958581478</c:v>
                </c:pt>
                <c:pt idx="219">
                  <c:v>-2.2229673724962424</c:v>
                </c:pt>
                <c:pt idx="220">
                  <c:v>-1.3684337408506337</c:v>
                </c:pt>
                <c:pt idx="221">
                  <c:v>2.4410028907949766</c:v>
                </c:pt>
                <c:pt idx="222">
                  <c:v>4.8728155224405896</c:v>
                </c:pt>
                <c:pt idx="223">
                  <c:v>3.7607351540861913</c:v>
                </c:pt>
                <c:pt idx="224">
                  <c:v>5.2342037857317933</c:v>
                </c:pt>
                <c:pt idx="225">
                  <c:v>5.9689494173774023</c:v>
                </c:pt>
                <c:pt idx="226">
                  <c:v>1.9618650490230181</c:v>
                </c:pt>
                <c:pt idx="227">
                  <c:v>5.1922996806686257</c:v>
                </c:pt>
                <c:pt idx="228">
                  <c:v>1.6144833123142206</c:v>
                </c:pt>
                <c:pt idx="229">
                  <c:v>3.2876049439598347</c:v>
                </c:pt>
                <c:pt idx="230">
                  <c:v>2.9342155756054353</c:v>
                </c:pt>
                <c:pt idx="231">
                  <c:v>4.6872022072510475</c:v>
                </c:pt>
                <c:pt idx="232">
                  <c:v>11.860835838896662</c:v>
                </c:pt>
                <c:pt idx="233">
                  <c:v>8.3229444705422679</c:v>
                </c:pt>
                <c:pt idx="234">
                  <c:v>8.1692151021878772</c:v>
                </c:pt>
                <c:pt idx="235">
                  <c:v>7.4464717338334765</c:v>
                </c:pt>
                <c:pt idx="236">
                  <c:v>5.515803365479087</c:v>
                </c:pt>
                <c:pt idx="237">
                  <c:v>2.2374719971247004</c:v>
                </c:pt>
                <c:pt idx="238">
                  <c:v>3.5212656287702941</c:v>
                </c:pt>
                <c:pt idx="239">
                  <c:v>2.6388002604159055</c:v>
                </c:pt>
                <c:pt idx="240">
                  <c:v>1.2771478920615209</c:v>
                </c:pt>
                <c:pt idx="241">
                  <c:v>0.32480452370714374</c:v>
                </c:pt>
                <c:pt idx="242">
                  <c:v>9.121115535273816E-2</c:v>
                </c:pt>
                <c:pt idx="243">
                  <c:v>1.3949647869983579</c:v>
                </c:pt>
                <c:pt idx="244">
                  <c:v>-4.2393095813560393</c:v>
                </c:pt>
                <c:pt idx="245">
                  <c:v>-0.36997394971042752</c:v>
                </c:pt>
                <c:pt idx="246">
                  <c:v>-7.0624143180648247</c:v>
                </c:pt>
                <c:pt idx="247">
                  <c:v>-7.3958386864192249</c:v>
                </c:pt>
                <c:pt idx="248">
                  <c:v>-5.9722810547736174</c:v>
                </c:pt>
                <c:pt idx="249">
                  <c:v>-1.7136254231280077</c:v>
                </c:pt>
                <c:pt idx="250">
                  <c:v>2.1157772085175992</c:v>
                </c:pt>
                <c:pt idx="251">
                  <c:v>1.7372098401632314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17-462C-9FBF-E6C081FEA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071471"/>
        <c:axId val="318663631"/>
      </c:scatterChart>
      <c:valAx>
        <c:axId val="485071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8663631"/>
        <c:crosses val="autoZero"/>
        <c:crossBetween val="midCat"/>
      </c:valAx>
      <c:valAx>
        <c:axId val="31866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71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'Part 3'!$AW$3:$AW$18</c:f>
              <c:numCache>
                <c:formatCode>0.00</c:formatCode>
                <c:ptCount val="16"/>
                <c:pt idx="0">
                  <c:v>-22.689694223134076</c:v>
                </c:pt>
                <c:pt idx="1">
                  <c:v>-19.280780798070495</c:v>
                </c:pt>
                <c:pt idx="2">
                  <c:v>-15.871867373006912</c:v>
                </c:pt>
                <c:pt idx="3">
                  <c:v>-12.46295394794333</c:v>
                </c:pt>
                <c:pt idx="4">
                  <c:v>-9.0540405228797489</c:v>
                </c:pt>
                <c:pt idx="5">
                  <c:v>-5.6451270978161681</c:v>
                </c:pt>
                <c:pt idx="6">
                  <c:v>-2.2362136727525836</c:v>
                </c:pt>
                <c:pt idx="7">
                  <c:v>1.1726997523109972</c:v>
                </c:pt>
                <c:pt idx="8">
                  <c:v>4.5816131773745781</c:v>
                </c:pt>
                <c:pt idx="9">
                  <c:v>7.9905266024381589</c:v>
                </c:pt>
                <c:pt idx="10">
                  <c:v>11.39944002750174</c:v>
                </c:pt>
                <c:pt idx="11">
                  <c:v>14.808353452565321</c:v>
                </c:pt>
                <c:pt idx="12">
                  <c:v>18.217266877628909</c:v>
                </c:pt>
                <c:pt idx="13">
                  <c:v>21.626180302692489</c:v>
                </c:pt>
                <c:pt idx="14">
                  <c:v>25.03509372775607</c:v>
                </c:pt>
                <c:pt idx="1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9-4FE0-A503-14B45DCED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61978863"/>
        <c:axId val="1637706047"/>
        <c:axId val="0"/>
      </c:bar3DChart>
      <c:catAx>
        <c:axId val="261978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7706047"/>
        <c:crosses val="autoZero"/>
        <c:auto val="1"/>
        <c:lblAlgn val="ctr"/>
        <c:lblOffset val="100"/>
        <c:noMultiLvlLbl val="0"/>
      </c:catAx>
      <c:valAx>
        <c:axId val="163770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1978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</a:t>
            </a:r>
            <a:r>
              <a:rPr lang="en-US" baseline="0"/>
              <a:t> Probability Plot of Residuals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'Part 3'!$BM$2:$BM$253</c:f>
              <c:numCache>
                <c:formatCode>0.00</c:formatCode>
                <c:ptCount val="252"/>
                <c:pt idx="0">
                  <c:v>-2.8806743591110573</c:v>
                </c:pt>
                <c:pt idx="1">
                  <c:v>-2.514954877802527</c:v>
                </c:pt>
                <c:pt idx="2">
                  <c:v>-2.3293360530619998</c:v>
                </c:pt>
                <c:pt idx="3">
                  <c:v>-2.2004105812100327</c:v>
                </c:pt>
                <c:pt idx="4">
                  <c:v>-2.1001654928444697</c:v>
                </c:pt>
                <c:pt idx="5">
                  <c:v>-2.0174287103431898</c:v>
                </c:pt>
                <c:pt idx="6">
                  <c:v>-1.9465617207989845</c:v>
                </c:pt>
                <c:pt idx="7">
                  <c:v>-1.8843044227824219</c:v>
                </c:pt>
                <c:pt idx="8">
                  <c:v>-1.8285948988056846</c:v>
                </c:pt>
                <c:pt idx="9">
                  <c:v>-1.7780428020381664</c:v>
                </c:pt>
                <c:pt idx="10">
                  <c:v>-1.7316643961222451</c:v>
                </c:pt>
                <c:pt idx="11">
                  <c:v>-1.6887370022667971</c:v>
                </c:pt>
                <c:pt idx="12">
                  <c:v>-1.648713470290851</c:v>
                </c:pt>
                <c:pt idx="13">
                  <c:v>-1.6111691623526765</c:v>
                </c:pt>
                <c:pt idx="14">
                  <c:v>-1.5757676293730742</c:v>
                </c:pt>
                <c:pt idx="15">
                  <c:v>-1.5422375718953325</c:v>
                </c:pt>
                <c:pt idx="16">
                  <c:v>-1.5103568962835028</c:v>
                </c:pt>
                <c:pt idx="17">
                  <c:v>-1.4799413890351922</c:v>
                </c:pt>
                <c:pt idx="18">
                  <c:v>-1.450836487412636</c:v>
                </c:pt>
                <c:pt idx="19">
                  <c:v>-1.4229111803109864</c:v>
                </c:pt>
                <c:pt idx="20">
                  <c:v>-1.3960534082549905</c:v>
                </c:pt>
                <c:pt idx="21">
                  <c:v>-1.3701665397259748</c:v>
                </c:pt>
                <c:pt idx="22">
                  <c:v>-1.3451666341766386</c:v>
                </c:pt>
                <c:pt idx="23">
                  <c:v>-1.3209802893126328</c:v>
                </c:pt>
                <c:pt idx="24">
                  <c:v>-1.2975429286165541</c:v>
                </c:pt>
                <c:pt idx="25">
                  <c:v>-1.2747974249655289</c:v>
                </c:pt>
                <c:pt idx="26">
                  <c:v>-1.2526929839120384</c:v>
                </c:pt>
                <c:pt idx="27">
                  <c:v>-1.2311842297805575</c:v>
                </c:pt>
                <c:pt idx="28">
                  <c:v>-1.2102304517744085</c:v>
                </c:pt>
                <c:pt idx="29">
                  <c:v>-1.189794977493698</c:v>
                </c:pt>
                <c:pt idx="30">
                  <c:v>-1.1698446487773884</c:v>
                </c:pt>
                <c:pt idx="31">
                  <c:v>-1.1503493803760083</c:v>
                </c:pt>
                <c:pt idx="32">
                  <c:v>-1.1312817861712798</c:v>
                </c:pt>
                <c:pt idx="33">
                  <c:v>-1.1126168608589178</c:v>
                </c:pt>
                <c:pt idx="34">
                  <c:v>-1.0943317074660934</c:v>
                </c:pt>
                <c:pt idx="35">
                  <c:v>-1.0764053029751872</c:v>
                </c:pt>
                <c:pt idx="36">
                  <c:v>-1.0588182958080339</c:v>
                </c:pt>
                <c:pt idx="37">
                  <c:v>-1.0415528300904833</c:v>
                </c:pt>
                <c:pt idx="38">
                  <c:v>-1.024592392540099</c:v>
                </c:pt>
                <c:pt idx="39">
                  <c:v>-1.0079216785556244</c:v>
                </c:pt>
                <c:pt idx="40">
                  <c:v>-0.99152647467733057</c:v>
                </c:pt>
                <c:pt idx="41">
                  <c:v>-0.97539355506375336</c:v>
                </c:pt>
                <c:pt idx="42">
                  <c:v>-0.95951059001725081</c:v>
                </c:pt>
                <c:pt idx="43">
                  <c:v>-0.94386606490653602</c:v>
                </c:pt>
                <c:pt idx="44">
                  <c:v>-0.92844920809329989</c:v>
                </c:pt>
                <c:pt idx="45">
                  <c:v>-0.91324992668360727</c:v>
                </c:pt>
                <c:pt idx="46">
                  <c:v>-0.89825874910156867</c:v>
                </c:pt>
                <c:pt idx="47">
                  <c:v>-0.88346677362987858</c:v>
                </c:pt>
                <c:pt idx="48">
                  <c:v>-0.8688656221847797</c:v>
                </c:pt>
                <c:pt idx="49">
                  <c:v>-0.85444739869598973</c:v>
                </c:pt>
                <c:pt idx="50">
                  <c:v>-0.84020465154900881</c:v>
                </c:pt>
                <c:pt idx="51">
                  <c:v>-0.82613033962053128</c:v>
                </c:pt>
                <c:pt idx="52">
                  <c:v>-0.81221780149991241</c:v>
                </c:pt>
                <c:pt idx="53">
                  <c:v>-0.7984607275425748</c:v>
                </c:pt>
                <c:pt idx="54">
                  <c:v>-0.78485313444643534</c:v>
                </c:pt>
                <c:pt idx="55">
                  <c:v>-0.77138934208115728</c:v>
                </c:pt>
                <c:pt idx="56">
                  <c:v>-0.75806395233324275</c:v>
                </c:pt>
                <c:pt idx="57">
                  <c:v>-0.74487182975869159</c:v>
                </c:pt>
                <c:pt idx="58">
                  <c:v>-0.73180808385961749</c:v>
                </c:pt>
                <c:pt idx="59">
                  <c:v>-0.71886805282271549</c:v>
                </c:pt>
                <c:pt idx="60">
                  <c:v>-0.70604728857604471</c:v>
                </c:pt>
                <c:pt idx="61">
                  <c:v>-0.69334154303681728</c:v>
                </c:pt>
                <c:pt idx="62">
                  <c:v>-0.68074675543701968</c:v>
                </c:pt>
                <c:pt idx="63">
                  <c:v>-0.66825904062605401</c:v>
                </c:pt>
                <c:pt idx="64">
                  <c:v>-0.6558746782604522</c:v>
                </c:pt>
                <c:pt idx="65">
                  <c:v>-0.64359010280021778</c:v>
                </c:pt>
                <c:pt idx="66">
                  <c:v>-0.6314018942397609</c:v>
                </c:pt>
                <c:pt idx="67">
                  <c:v>-0.61930676950877617</c:v>
                </c:pt>
                <c:pt idx="68">
                  <c:v>-0.60730157448496325</c:v>
                </c:pt>
                <c:pt idx="69">
                  <c:v>-0.59538327656628021</c:v>
                </c:pt>
                <c:pt idx="70">
                  <c:v>-0.5835489577555576</c:v>
                </c:pt>
                <c:pt idx="71">
                  <c:v>-0.57179580821487397</c:v>
                </c:pt>
                <c:pt idx="72">
                  <c:v>-0.56012112025115535</c:v>
                </c:pt>
                <c:pt idx="73">
                  <c:v>-0.54852228269809788</c:v>
                </c:pt>
                <c:pt idx="74">
                  <c:v>-0.53699677566274262</c:v>
                </c:pt>
                <c:pt idx="75">
                  <c:v>-0.52554216560793954</c:v>
                </c:pt>
                <c:pt idx="76">
                  <c:v>-0.51415610074453411</c:v>
                </c:pt>
                <c:pt idx="77">
                  <c:v>-0.50283630670944168</c:v>
                </c:pt>
                <c:pt idx="78">
                  <c:v>-0.49158058250786868</c:v>
                </c:pt>
                <c:pt idx="79">
                  <c:v>-0.48038679669982853</c:v>
                </c:pt>
                <c:pt idx="80">
                  <c:v>-0.46925288381280222</c:v>
                </c:pt>
                <c:pt idx="81">
                  <c:v>-0.45817684096392136</c:v>
                </c:pt>
                <c:pt idx="82">
                  <c:v>-0.44715672467644574</c:v>
                </c:pt>
                <c:pt idx="83">
                  <c:v>-0.43619064787655393</c:v>
                </c:pt>
                <c:pt idx="84">
                  <c:v>-0.42527677705760725</c:v>
                </c:pt>
                <c:pt idx="85">
                  <c:v>-0.41441332960007643</c:v>
                </c:pt>
                <c:pt idx="86">
                  <c:v>-0.40359857123625476</c:v>
                </c:pt>
                <c:pt idx="87">
                  <c:v>-0.39283081364972938</c:v>
                </c:pt>
                <c:pt idx="88">
                  <c:v>-0.3821084122003639</c:v>
                </c:pt>
                <c:pt idx="89">
                  <c:v>-0.37142976376624032</c:v>
                </c:pt>
                <c:pt idx="90">
                  <c:v>-0.36079330469465853</c:v>
                </c:pt>
                <c:pt idx="91">
                  <c:v>-0.35019750885487144</c:v>
                </c:pt>
                <c:pt idx="92">
                  <c:v>-0.33964088578577573</c:v>
                </c:pt>
                <c:pt idx="93">
                  <c:v>-0.32912197893226108</c:v>
                </c:pt>
                <c:pt idx="94">
                  <c:v>-0.3186393639643752</c:v>
                </c:pt>
                <c:pt idx="95">
                  <c:v>-0.30819164717386466</c:v>
                </c:pt>
                <c:pt idx="96">
                  <c:v>-0.29777746394303445</c:v>
                </c:pt>
                <c:pt idx="97">
                  <c:v>-0.28739547728120973</c:v>
                </c:pt>
                <c:pt idx="98">
                  <c:v>-0.27704437642439755</c:v>
                </c:pt>
                <c:pt idx="99">
                  <c:v>-0.26672287549404339</c:v>
                </c:pt>
                <c:pt idx="100">
                  <c:v>-0.256429712211035</c:v>
                </c:pt>
                <c:pt idx="101">
                  <c:v>-0.24616364666135951</c:v>
                </c:pt>
                <c:pt idx="102">
                  <c:v>-0.23592346011003523</c:v>
                </c:pt>
                <c:pt idx="103">
                  <c:v>-0.2257079538601594</c:v>
                </c:pt>
                <c:pt idx="104">
                  <c:v>-0.21551594815408856</c:v>
                </c:pt>
                <c:pt idx="105">
                  <c:v>-0.20534628111395689</c:v>
                </c:pt>
                <c:pt idx="106">
                  <c:v>-0.19519780771888826</c:v>
                </c:pt>
                <c:pt idx="107">
                  <c:v>-0.18506939881641302</c:v>
                </c:pt>
                <c:pt idx="108">
                  <c:v>-0.17495994016573252</c:v>
                </c:pt>
                <c:pt idx="109">
                  <c:v>-0.16486833151060187</c:v>
                </c:pt>
                <c:pt idx="110">
                  <c:v>-0.15479348567971193</c:v>
                </c:pt>
                <c:pt idx="111">
                  <c:v>-0.14473432771256409</c:v>
                </c:pt>
                <c:pt idx="112">
                  <c:v>-0.13468979400891959</c:v>
                </c:pt>
                <c:pt idx="113">
                  <c:v>-0.1246588315</c:v>
                </c:pt>
                <c:pt idx="114">
                  <c:v>-0.11464039683969043</c:v>
                </c:pt>
                <c:pt idx="115">
                  <c:v>-0.10463345561407539</c:v>
                </c:pt>
                <c:pt idx="116">
                  <c:v>-9.4636981567699813E-2</c:v>
                </c:pt>
                <c:pt idx="117">
                  <c:v>-8.4649955845010449E-2</c:v>
                </c:pt>
                <c:pt idx="118">
                  <c:v>-7.4671366245484247E-2</c:v>
                </c:pt>
                <c:pt idx="119">
                  <c:v>-6.4700206491002693E-2</c:v>
                </c:pt>
                <c:pt idx="120">
                  <c:v>-5.4735475504070312E-2</c:v>
                </c:pt>
                <c:pt idx="121">
                  <c:v>-4.477617669551625E-2</c:v>
                </c:pt>
                <c:pt idx="122">
                  <c:v>-3.4821317260347699E-2</c:v>
                </c:pt>
                <c:pt idx="123">
                  <c:v>-2.4869907480456668E-2</c:v>
                </c:pt>
                <c:pt idx="124">
                  <c:v>-1.4920960032900372E-2</c:v>
                </c:pt>
                <c:pt idx="125">
                  <c:v>-4.9734893024984917E-3</c:v>
                </c:pt>
                <c:pt idx="126">
                  <c:v>4.9734893024984917E-3</c:v>
                </c:pt>
                <c:pt idx="127">
                  <c:v>1.4920960032900372E-2</c:v>
                </c:pt>
                <c:pt idx="128">
                  <c:v>2.4869907480456525E-2</c:v>
                </c:pt>
                <c:pt idx="129">
                  <c:v>3.482131726034756E-2</c:v>
                </c:pt>
                <c:pt idx="130">
                  <c:v>4.4776176695516381E-2</c:v>
                </c:pt>
                <c:pt idx="131">
                  <c:v>5.4735475504070437E-2</c:v>
                </c:pt>
                <c:pt idx="132">
                  <c:v>6.4700206491002693E-2</c:v>
                </c:pt>
                <c:pt idx="133">
                  <c:v>7.4671366245484247E-2</c:v>
                </c:pt>
                <c:pt idx="134">
                  <c:v>8.4649955845010449E-2</c:v>
                </c:pt>
                <c:pt idx="135">
                  <c:v>9.4636981567699813E-2</c:v>
                </c:pt>
                <c:pt idx="136">
                  <c:v>0.10463345561407525</c:v>
                </c:pt>
                <c:pt idx="137">
                  <c:v>0.1146403968396903</c:v>
                </c:pt>
                <c:pt idx="138">
                  <c:v>0.12465883150000014</c:v>
                </c:pt>
                <c:pt idx="139">
                  <c:v>0.13468979400891973</c:v>
                </c:pt>
                <c:pt idx="140">
                  <c:v>0.14473432771256409</c:v>
                </c:pt>
                <c:pt idx="141">
                  <c:v>0.15479348567971193</c:v>
                </c:pt>
                <c:pt idx="142">
                  <c:v>0.16486833151060187</c:v>
                </c:pt>
                <c:pt idx="143">
                  <c:v>0.17495994016573252</c:v>
                </c:pt>
                <c:pt idx="144">
                  <c:v>0.18506939881641285</c:v>
                </c:pt>
                <c:pt idx="145">
                  <c:v>0.19519780771888809</c:v>
                </c:pt>
                <c:pt idx="146">
                  <c:v>0.20534628111395706</c:v>
                </c:pt>
                <c:pt idx="147">
                  <c:v>0.21551594815408867</c:v>
                </c:pt>
                <c:pt idx="148">
                  <c:v>0.2257079538601594</c:v>
                </c:pt>
                <c:pt idx="149">
                  <c:v>0.23592346011003523</c:v>
                </c:pt>
                <c:pt idx="150">
                  <c:v>0.24616364666135951</c:v>
                </c:pt>
                <c:pt idx="151">
                  <c:v>0.256429712211035</c:v>
                </c:pt>
                <c:pt idx="152">
                  <c:v>0.26672287549404317</c:v>
                </c:pt>
                <c:pt idx="153">
                  <c:v>0.27704437642439733</c:v>
                </c:pt>
                <c:pt idx="154">
                  <c:v>0.28739547728120984</c:v>
                </c:pt>
                <c:pt idx="155">
                  <c:v>0.29777746394303461</c:v>
                </c:pt>
                <c:pt idx="156">
                  <c:v>0.30819164717386466</c:v>
                </c:pt>
                <c:pt idx="157">
                  <c:v>0.3186393639643752</c:v>
                </c:pt>
                <c:pt idx="158">
                  <c:v>0.32912197893226108</c:v>
                </c:pt>
                <c:pt idx="159">
                  <c:v>0.3396408857857755</c:v>
                </c:pt>
                <c:pt idx="160">
                  <c:v>0.35019750885487133</c:v>
                </c:pt>
                <c:pt idx="161">
                  <c:v>0.3607933046946587</c:v>
                </c:pt>
                <c:pt idx="162">
                  <c:v>0.37142976376624048</c:v>
                </c:pt>
                <c:pt idx="163">
                  <c:v>0.3821084122003639</c:v>
                </c:pt>
                <c:pt idx="164">
                  <c:v>0.39283081364972938</c:v>
                </c:pt>
                <c:pt idx="165">
                  <c:v>0.40359857123625476</c:v>
                </c:pt>
                <c:pt idx="166">
                  <c:v>0.41441332960007643</c:v>
                </c:pt>
                <c:pt idx="167">
                  <c:v>0.42527677705760714</c:v>
                </c:pt>
                <c:pt idx="168">
                  <c:v>0.43619064787655376</c:v>
                </c:pt>
                <c:pt idx="169">
                  <c:v>0.44715672467644596</c:v>
                </c:pt>
                <c:pt idx="170">
                  <c:v>0.45817684096392136</c:v>
                </c:pt>
                <c:pt idx="171">
                  <c:v>0.46925288381280222</c:v>
                </c:pt>
                <c:pt idx="172">
                  <c:v>0.48038679669982853</c:v>
                </c:pt>
                <c:pt idx="173">
                  <c:v>0.49158058250786868</c:v>
                </c:pt>
                <c:pt idx="174">
                  <c:v>0.50283630670944168</c:v>
                </c:pt>
                <c:pt idx="175">
                  <c:v>0.51415610074453411</c:v>
                </c:pt>
                <c:pt idx="176">
                  <c:v>0.52554216560793932</c:v>
                </c:pt>
                <c:pt idx="177">
                  <c:v>0.53699677566274295</c:v>
                </c:pt>
                <c:pt idx="178">
                  <c:v>0.54852228269809822</c:v>
                </c:pt>
                <c:pt idx="179">
                  <c:v>0.56012112025115535</c:v>
                </c:pt>
                <c:pt idx="180">
                  <c:v>0.57179580821487397</c:v>
                </c:pt>
                <c:pt idx="181">
                  <c:v>0.5835489577555576</c:v>
                </c:pt>
                <c:pt idx="182">
                  <c:v>0.59538327656628021</c:v>
                </c:pt>
                <c:pt idx="183">
                  <c:v>0.60730157448496336</c:v>
                </c:pt>
                <c:pt idx="184">
                  <c:v>0.61930676950877606</c:v>
                </c:pt>
                <c:pt idx="185">
                  <c:v>0.63140189423976112</c:v>
                </c:pt>
                <c:pt idx="186">
                  <c:v>0.64359010280021778</c:v>
                </c:pt>
                <c:pt idx="187">
                  <c:v>0.6558746782604522</c:v>
                </c:pt>
                <c:pt idx="188">
                  <c:v>0.66825904062605401</c:v>
                </c:pt>
                <c:pt idx="189">
                  <c:v>0.68074675543701968</c:v>
                </c:pt>
                <c:pt idx="190">
                  <c:v>0.69334154303681728</c:v>
                </c:pt>
                <c:pt idx="191">
                  <c:v>0.70604728857604471</c:v>
                </c:pt>
                <c:pt idx="192">
                  <c:v>0.71886805282271604</c:v>
                </c:pt>
                <c:pt idx="193">
                  <c:v>0.73180808385961771</c:v>
                </c:pt>
                <c:pt idx="194">
                  <c:v>0.74487182975869159</c:v>
                </c:pt>
                <c:pt idx="195">
                  <c:v>0.75806395233324275</c:v>
                </c:pt>
                <c:pt idx="196">
                  <c:v>0.77138934208115728</c:v>
                </c:pt>
                <c:pt idx="197">
                  <c:v>0.78485313444643534</c:v>
                </c:pt>
                <c:pt idx="198">
                  <c:v>0.7984607275425748</c:v>
                </c:pt>
                <c:pt idx="199">
                  <c:v>0.81221780149991241</c:v>
                </c:pt>
                <c:pt idx="200">
                  <c:v>0.82613033962053162</c:v>
                </c:pt>
                <c:pt idx="201">
                  <c:v>0.84020465154900847</c:v>
                </c:pt>
                <c:pt idx="202">
                  <c:v>0.85444739869598973</c:v>
                </c:pt>
                <c:pt idx="203">
                  <c:v>0.8688656221847797</c:v>
                </c:pt>
                <c:pt idx="204">
                  <c:v>0.88346677362987858</c:v>
                </c:pt>
                <c:pt idx="205">
                  <c:v>0.89825874910156867</c:v>
                </c:pt>
                <c:pt idx="206">
                  <c:v>0.91324992668360727</c:v>
                </c:pt>
                <c:pt idx="207">
                  <c:v>0.92844920809329989</c:v>
                </c:pt>
                <c:pt idx="208">
                  <c:v>0.94386606490653491</c:v>
                </c:pt>
                <c:pt idx="209">
                  <c:v>0.95951059001724914</c:v>
                </c:pt>
                <c:pt idx="210">
                  <c:v>0.97539355506375336</c:v>
                </c:pt>
                <c:pt idx="211">
                  <c:v>0.99152647467733057</c:v>
                </c:pt>
                <c:pt idx="212">
                  <c:v>1.0079216785556244</c:v>
                </c:pt>
                <c:pt idx="213">
                  <c:v>1.024592392540099</c:v>
                </c:pt>
                <c:pt idx="214">
                  <c:v>1.0415528300904833</c:v>
                </c:pt>
                <c:pt idx="215">
                  <c:v>1.0588182958080339</c:v>
                </c:pt>
                <c:pt idx="216">
                  <c:v>1.0764053029751868</c:v>
                </c:pt>
                <c:pt idx="217">
                  <c:v>1.0943317074660934</c:v>
                </c:pt>
                <c:pt idx="218">
                  <c:v>1.1126168608589178</c:v>
                </c:pt>
                <c:pt idx="219">
                  <c:v>1.1312817861712798</c:v>
                </c:pt>
                <c:pt idx="220">
                  <c:v>1.1503493803760083</c:v>
                </c:pt>
                <c:pt idx="221">
                  <c:v>1.1698446487773884</c:v>
                </c:pt>
                <c:pt idx="222">
                  <c:v>1.189794977493698</c:v>
                </c:pt>
                <c:pt idx="223">
                  <c:v>1.2102304517744078</c:v>
                </c:pt>
                <c:pt idx="224">
                  <c:v>1.2311842297805575</c:v>
                </c:pt>
                <c:pt idx="225">
                  <c:v>1.2526929839120398</c:v>
                </c:pt>
                <c:pt idx="226">
                  <c:v>1.2747974249655289</c:v>
                </c:pt>
                <c:pt idx="227">
                  <c:v>1.2975429286165541</c:v>
                </c:pt>
                <c:pt idx="228">
                  <c:v>1.3209802893126328</c:v>
                </c:pt>
                <c:pt idx="229">
                  <c:v>1.3451666341766386</c:v>
                </c:pt>
                <c:pt idx="230">
                  <c:v>1.3701665397259748</c:v>
                </c:pt>
                <c:pt idx="231">
                  <c:v>1.3960534082549898</c:v>
                </c:pt>
                <c:pt idx="232">
                  <c:v>1.4229111803109853</c:v>
                </c:pt>
                <c:pt idx="233">
                  <c:v>1.4508364874126363</c:v>
                </c:pt>
                <c:pt idx="234">
                  <c:v>1.4799413890351927</c:v>
                </c:pt>
                <c:pt idx="235">
                  <c:v>1.5103568962835032</c:v>
                </c:pt>
                <c:pt idx="236">
                  <c:v>1.5422375718953325</c:v>
                </c:pt>
                <c:pt idx="237">
                  <c:v>1.5757676293730736</c:v>
                </c:pt>
                <c:pt idx="238">
                  <c:v>1.6111691623526765</c:v>
                </c:pt>
                <c:pt idx="239">
                  <c:v>1.6487134702908506</c:v>
                </c:pt>
                <c:pt idx="240">
                  <c:v>1.688737002266798</c:v>
                </c:pt>
                <c:pt idx="241">
                  <c:v>1.7316643961222455</c:v>
                </c:pt>
                <c:pt idx="242">
                  <c:v>1.7780428020381671</c:v>
                </c:pt>
                <c:pt idx="243">
                  <c:v>1.8285948988056846</c:v>
                </c:pt>
                <c:pt idx="244">
                  <c:v>1.8843044227824219</c:v>
                </c:pt>
                <c:pt idx="245">
                  <c:v>1.946561720798984</c:v>
                </c:pt>
                <c:pt idx="246">
                  <c:v>2.0174287103431894</c:v>
                </c:pt>
                <c:pt idx="247">
                  <c:v>2.100165492844468</c:v>
                </c:pt>
                <c:pt idx="248">
                  <c:v>2.2004105812100336</c:v>
                </c:pt>
                <c:pt idx="249">
                  <c:v>2.3293360530620011</c:v>
                </c:pt>
                <c:pt idx="250">
                  <c:v>2.5149548778025288</c:v>
                </c:pt>
                <c:pt idx="251">
                  <c:v>2.8806743591110586</c:v>
                </c:pt>
              </c:numCache>
            </c:numRef>
          </c:xVal>
          <c:yVal>
            <c:numRef>
              <c:f>'Part 3'!$BI$2:$BI$253</c:f>
              <c:numCache>
                <c:formatCode>General</c:formatCode>
                <c:ptCount val="252"/>
                <c:pt idx="0">
                  <c:v>-2.3077608589739764</c:v>
                </c:pt>
                <c:pt idx="1">
                  <c:v>-2.1625210026248771</c:v>
                </c:pt>
                <c:pt idx="2">
                  <c:v>-2.1058476556163339</c:v>
                </c:pt>
                <c:pt idx="3">
                  <c:v>-2.0692353889166331</c:v>
                </c:pt>
                <c:pt idx="4">
                  <c:v>-1.994077242270182</c:v>
                </c:pt>
                <c:pt idx="5">
                  <c:v>-1.8324245609129854</c:v>
                </c:pt>
                <c:pt idx="6">
                  <c:v>-1.8263951715161568</c:v>
                </c:pt>
                <c:pt idx="7">
                  <c:v>-1.7742037271998852</c:v>
                </c:pt>
                <c:pt idx="8">
                  <c:v>-1.7527538647226901</c:v>
                </c:pt>
                <c:pt idx="9">
                  <c:v>-1.7429557873142203</c:v>
                </c:pt>
                <c:pt idx="10">
                  <c:v>-1.7130183336644931</c:v>
                </c:pt>
                <c:pt idx="11">
                  <c:v>-1.7081102803226234</c:v>
                </c:pt>
                <c:pt idx="12">
                  <c:v>-1.7070105156738993</c:v>
                </c:pt>
                <c:pt idx="13">
                  <c:v>-1.6813931204628656</c:v>
                </c:pt>
                <c:pt idx="14">
                  <c:v>-1.6756225041476887</c:v>
                </c:pt>
                <c:pt idx="15">
                  <c:v>-1.6082391364067341</c:v>
                </c:pt>
                <c:pt idx="16">
                  <c:v>-1.5909051124345721</c:v>
                </c:pt>
                <c:pt idx="17">
                  <c:v>-1.5764081732084558</c:v>
                </c:pt>
                <c:pt idx="18">
                  <c:v>-1.5679969454917499</c:v>
                </c:pt>
                <c:pt idx="19">
                  <c:v>-1.5449011584309407</c:v>
                </c:pt>
                <c:pt idx="20">
                  <c:v>-1.5447013231502449</c:v>
                </c:pt>
                <c:pt idx="21">
                  <c:v>-1.5398739006309716</c:v>
                </c:pt>
                <c:pt idx="22">
                  <c:v>-1.5366200214788546</c:v>
                </c:pt>
                <c:pt idx="23">
                  <c:v>-1.503428688677011</c:v>
                </c:pt>
                <c:pt idx="24">
                  <c:v>-1.4702891717193796</c:v>
                </c:pt>
                <c:pt idx="25">
                  <c:v>-1.4390005245148225</c:v>
                </c:pt>
                <c:pt idx="26">
                  <c:v>-1.4381095489767262</c:v>
                </c:pt>
                <c:pt idx="27">
                  <c:v>-1.4185636799410055</c:v>
                </c:pt>
                <c:pt idx="28">
                  <c:v>-1.389855779894426</c:v>
                </c:pt>
                <c:pt idx="29">
                  <c:v>-1.3740674107536319</c:v>
                </c:pt>
                <c:pt idx="30">
                  <c:v>-1.3129614197880406</c:v>
                </c:pt>
                <c:pt idx="31">
                  <c:v>-1.3002580221684288</c:v>
                </c:pt>
                <c:pt idx="32">
                  <c:v>-1.2480870426210051</c:v>
                </c:pt>
                <c:pt idx="33">
                  <c:v>-1.2283823684456805</c:v>
                </c:pt>
                <c:pt idx="34">
                  <c:v>-1.2108384277134936</c:v>
                </c:pt>
                <c:pt idx="35">
                  <c:v>-1.1793135848675118</c:v>
                </c:pt>
                <c:pt idx="36">
                  <c:v>-1.1767754775050134</c:v>
                </c:pt>
                <c:pt idx="37">
                  <c:v>-1.1241784479113939</c:v>
                </c:pt>
                <c:pt idx="38">
                  <c:v>-1.1213801380076482</c:v>
                </c:pt>
                <c:pt idx="39">
                  <c:v>-1.0895016846564771</c:v>
                </c:pt>
                <c:pt idx="40">
                  <c:v>-1.053651091511747</c:v>
                </c:pt>
                <c:pt idx="41">
                  <c:v>-1.0419961825165085</c:v>
                </c:pt>
                <c:pt idx="42">
                  <c:v>-1.0418946259320816</c:v>
                </c:pt>
                <c:pt idx="43">
                  <c:v>-1.0264243916091751</c:v>
                </c:pt>
                <c:pt idx="44">
                  <c:v>-1.0213777858651996</c:v>
                </c:pt>
                <c:pt idx="45">
                  <c:v>-1.0191329905141866</c:v>
                </c:pt>
                <c:pt idx="46">
                  <c:v>-1.0104640538195282</c:v>
                </c:pt>
                <c:pt idx="47">
                  <c:v>-1.0024209656488989</c:v>
                </c:pt>
                <c:pt idx="48">
                  <c:v>-1.0003827248668917</c:v>
                </c:pt>
                <c:pt idx="49">
                  <c:v>-0.98016155284110107</c:v>
                </c:pt>
                <c:pt idx="50">
                  <c:v>-0.96732318773888293</c:v>
                </c:pt>
                <c:pt idx="51">
                  <c:v>-0.95844840069901427</c:v>
                </c:pt>
                <c:pt idx="52">
                  <c:v>-0.94721632766234976</c:v>
                </c:pt>
                <c:pt idx="53">
                  <c:v>-0.93230388060750713</c:v>
                </c:pt>
                <c:pt idx="54">
                  <c:v>-0.93182505605568589</c:v>
                </c:pt>
                <c:pt idx="55">
                  <c:v>-0.92325838016924711</c:v>
                </c:pt>
                <c:pt idx="56">
                  <c:v>-0.90632866546680457</c:v>
                </c:pt>
                <c:pt idx="57">
                  <c:v>-0.87429533063600884</c:v>
                </c:pt>
                <c:pt idx="58">
                  <c:v>-0.84586218942406777</c:v>
                </c:pt>
                <c:pt idx="59">
                  <c:v>-0.83632630523055396</c:v>
                </c:pt>
                <c:pt idx="60">
                  <c:v>-0.83189992020593084</c:v>
                </c:pt>
                <c:pt idx="61">
                  <c:v>-0.82406943834426616</c:v>
                </c:pt>
                <c:pt idx="62">
                  <c:v>-0.81170929417347393</c:v>
                </c:pt>
                <c:pt idx="63">
                  <c:v>-0.80852952266871714</c:v>
                </c:pt>
                <c:pt idx="64">
                  <c:v>-0.7758927208958849</c:v>
                </c:pt>
                <c:pt idx="65">
                  <c:v>-0.76914700817309134</c:v>
                </c:pt>
                <c:pt idx="66">
                  <c:v>-0.7356033834073763</c:v>
                </c:pt>
                <c:pt idx="67">
                  <c:v>-0.70114802824101052</c:v>
                </c:pt>
                <c:pt idx="68">
                  <c:v>-0.69538629635182259</c:v>
                </c:pt>
                <c:pt idx="69">
                  <c:v>-0.69304106149606481</c:v>
                </c:pt>
                <c:pt idx="70">
                  <c:v>-0.67813996135846311</c:v>
                </c:pt>
                <c:pt idx="71">
                  <c:v>-0.67267712866304696</c:v>
                </c:pt>
                <c:pt idx="72">
                  <c:v>-0.64925977022308801</c:v>
                </c:pt>
                <c:pt idx="73">
                  <c:v>-0.64547905730356225</c:v>
                </c:pt>
                <c:pt idx="74">
                  <c:v>-0.62593227175786048</c:v>
                </c:pt>
                <c:pt idx="75">
                  <c:v>-0.6247332810856816</c:v>
                </c:pt>
                <c:pt idx="76">
                  <c:v>-0.57567210669039348</c:v>
                </c:pt>
                <c:pt idx="77">
                  <c:v>-0.57230684314762592</c:v>
                </c:pt>
                <c:pt idx="78">
                  <c:v>-0.54985292691186016</c:v>
                </c:pt>
                <c:pt idx="79">
                  <c:v>-0.52885786591355077</c:v>
                </c:pt>
                <c:pt idx="80">
                  <c:v>-0.52344899280576407</c:v>
                </c:pt>
                <c:pt idx="81">
                  <c:v>-0.49749837252183238</c:v>
                </c:pt>
                <c:pt idx="82">
                  <c:v>-0.49207380566606251</c:v>
                </c:pt>
                <c:pt idx="83">
                  <c:v>-0.48462416624899979</c:v>
                </c:pt>
                <c:pt idx="84">
                  <c:v>-0.46950618110143461</c:v>
                </c:pt>
                <c:pt idx="85">
                  <c:v>-0.46011995809018885</c:v>
                </c:pt>
                <c:pt idx="86">
                  <c:v>-0.45158945116287497</c:v>
                </c:pt>
                <c:pt idx="87">
                  <c:v>-0.43910110706229999</c:v>
                </c:pt>
                <c:pt idx="88">
                  <c:v>-0.4351833094047402</c:v>
                </c:pt>
                <c:pt idx="89">
                  <c:v>-0.43266593105390161</c:v>
                </c:pt>
                <c:pt idx="90">
                  <c:v>-0.41991707139507534</c:v>
                </c:pt>
                <c:pt idx="91">
                  <c:v>-0.41832303167735424</c:v>
                </c:pt>
                <c:pt idx="92">
                  <c:v>-0.37500953029144413</c:v>
                </c:pt>
                <c:pt idx="93">
                  <c:v>-0.35448035879501494</c:v>
                </c:pt>
                <c:pt idx="94">
                  <c:v>-0.34380719010609795</c:v>
                </c:pt>
                <c:pt idx="95">
                  <c:v>-0.31859694194454324</c:v>
                </c:pt>
                <c:pt idx="96">
                  <c:v>-0.3142388721038234</c:v>
                </c:pt>
                <c:pt idx="97">
                  <c:v>-0.26502046414625513</c:v>
                </c:pt>
                <c:pt idx="98">
                  <c:v>-0.26270170466722764</c:v>
                </c:pt>
                <c:pt idx="99">
                  <c:v>-0.25244343496549804</c:v>
                </c:pt>
                <c:pt idx="100">
                  <c:v>-0.24873857140541322</c:v>
                </c:pt>
                <c:pt idx="101">
                  <c:v>-0.20334640781052316</c:v>
                </c:pt>
                <c:pt idx="102">
                  <c:v>-0.1983437823072885</c:v>
                </c:pt>
                <c:pt idx="103">
                  <c:v>-0.19749704004593596</c:v>
                </c:pt>
                <c:pt idx="104">
                  <c:v>-0.18553883345181621</c:v>
                </c:pt>
                <c:pt idx="105">
                  <c:v>-0.17993504406017216</c:v>
                </c:pt>
                <c:pt idx="106">
                  <c:v>-0.17712160646145389</c:v>
                </c:pt>
                <c:pt idx="107">
                  <c:v>-0.17390737090678871</c:v>
                </c:pt>
                <c:pt idx="108">
                  <c:v>-0.16276958350247558</c:v>
                </c:pt>
                <c:pt idx="109">
                  <c:v>-0.1542910258786877</c:v>
                </c:pt>
                <c:pt idx="110">
                  <c:v>-0.12556028363938765</c:v>
                </c:pt>
                <c:pt idx="111">
                  <c:v>-0.11667446193476584</c:v>
                </c:pt>
                <c:pt idx="112">
                  <c:v>-0.10896176589616322</c:v>
                </c:pt>
                <c:pt idx="113">
                  <c:v>-9.470343208158169E-2</c:v>
                </c:pt>
                <c:pt idx="114">
                  <c:v>-6.2321134749436798E-2</c:v>
                </c:pt>
                <c:pt idx="115">
                  <c:v>-5.1649026089849788E-2</c:v>
                </c:pt>
                <c:pt idx="116">
                  <c:v>-4.6280776380351295E-2</c:v>
                </c:pt>
                <c:pt idx="117">
                  <c:v>-1.9341599972762462E-2</c:v>
                </c:pt>
                <c:pt idx="118">
                  <c:v>-1.5924345612139339E-2</c:v>
                </c:pt>
                <c:pt idx="119">
                  <c:v>-9.2372858177364511E-3</c:v>
                </c:pt>
                <c:pt idx="120">
                  <c:v>7.5759412280568469E-3</c:v>
                </c:pt>
                <c:pt idx="121">
                  <c:v>1.2198830414400395E-2</c:v>
                </c:pt>
                <c:pt idx="122">
                  <c:v>9.7543029822639002E-2</c:v>
                </c:pt>
                <c:pt idx="123">
                  <c:v>0.10338492109914309</c:v>
                </c:pt>
                <c:pt idx="124">
                  <c:v>0.11523770118935625</c:v>
                </c:pt>
                <c:pt idx="125">
                  <c:v>0.13732201097949054</c:v>
                </c:pt>
                <c:pt idx="126">
                  <c:v>0.14966871682850821</c:v>
                </c:pt>
                <c:pt idx="127">
                  <c:v>0.17226979444274604</c:v>
                </c:pt>
                <c:pt idx="128">
                  <c:v>0.17266325955737985</c:v>
                </c:pt>
                <c:pt idx="129">
                  <c:v>0.18775388083525457</c:v>
                </c:pt>
                <c:pt idx="130">
                  <c:v>0.19999679020965494</c:v>
                </c:pt>
                <c:pt idx="131">
                  <c:v>0.22047268991429123</c:v>
                </c:pt>
                <c:pt idx="132">
                  <c:v>0.24037177761131776</c:v>
                </c:pt>
                <c:pt idx="133">
                  <c:v>0.24678300440734843</c:v>
                </c:pt>
                <c:pt idx="134">
                  <c:v>0.27009156243589399</c:v>
                </c:pt>
                <c:pt idx="135">
                  <c:v>0.30564373406263406</c:v>
                </c:pt>
                <c:pt idx="136">
                  <c:v>0.32915079316711787</c:v>
                </c:pt>
                <c:pt idx="137">
                  <c:v>0.35324224137069471</c:v>
                </c:pt>
                <c:pt idx="138">
                  <c:v>0.37693759285298378</c:v>
                </c:pt>
                <c:pt idx="139">
                  <c:v>0.38451936018902105</c:v>
                </c:pt>
                <c:pt idx="140">
                  <c:v>0.40535624653837027</c:v>
                </c:pt>
                <c:pt idx="141">
                  <c:v>0.41665255178875304</c:v>
                </c:pt>
                <c:pt idx="142">
                  <c:v>0.43739431062085637</c:v>
                </c:pt>
                <c:pt idx="143">
                  <c:v>0.44644797598013269</c:v>
                </c:pt>
                <c:pt idx="144">
                  <c:v>0.46512130638776672</c:v>
                </c:pt>
                <c:pt idx="145">
                  <c:v>0.47125745050759732</c:v>
                </c:pt>
                <c:pt idx="146">
                  <c:v>0.48533605431268095</c:v>
                </c:pt>
                <c:pt idx="147">
                  <c:v>0.48712328426561979</c:v>
                </c:pt>
                <c:pt idx="148">
                  <c:v>0.49726249863200223</c:v>
                </c:pt>
                <c:pt idx="149">
                  <c:v>0.50147819403338922</c:v>
                </c:pt>
                <c:pt idx="150">
                  <c:v>0.51003170017007482</c:v>
                </c:pt>
                <c:pt idx="151">
                  <c:v>0.51747035254980278</c:v>
                </c:pt>
                <c:pt idx="152">
                  <c:v>0.52551475913433154</c:v>
                </c:pt>
                <c:pt idx="153">
                  <c:v>0.52980806891279864</c:v>
                </c:pt>
                <c:pt idx="154">
                  <c:v>0.5523416096823337</c:v>
                </c:pt>
                <c:pt idx="155">
                  <c:v>0.56037714100896696</c:v>
                </c:pt>
                <c:pt idx="156">
                  <c:v>0.57539610197697444</c:v>
                </c:pt>
                <c:pt idx="157">
                  <c:v>0.57679378894622513</c:v>
                </c:pt>
                <c:pt idx="158">
                  <c:v>0.58917134272618976</c:v>
                </c:pt>
                <c:pt idx="159">
                  <c:v>0.58949857387399707</c:v>
                </c:pt>
                <c:pt idx="160">
                  <c:v>0.5932596702774936</c:v>
                </c:pt>
                <c:pt idx="161">
                  <c:v>0.59695700832046372</c:v>
                </c:pt>
                <c:pt idx="162">
                  <c:v>0.59922518059032914</c:v>
                </c:pt>
                <c:pt idx="163">
                  <c:v>0.60224407669037427</c:v>
                </c:pt>
                <c:pt idx="164">
                  <c:v>0.60960060002107219</c:v>
                </c:pt>
                <c:pt idx="165">
                  <c:v>0.61153943496709362</c:v>
                </c:pt>
                <c:pt idx="166">
                  <c:v>0.61680455498580744</c:v>
                </c:pt>
                <c:pt idx="167">
                  <c:v>0.61936376766783263</c:v>
                </c:pt>
                <c:pt idx="168">
                  <c:v>0.62637910781481998</c:v>
                </c:pt>
                <c:pt idx="169">
                  <c:v>0.62644475382469145</c:v>
                </c:pt>
                <c:pt idx="170">
                  <c:v>0.63082831936872463</c:v>
                </c:pt>
                <c:pt idx="171">
                  <c:v>0.6424850129919929</c:v>
                </c:pt>
                <c:pt idx="172">
                  <c:v>0.64865487631554397</c:v>
                </c:pt>
                <c:pt idx="173">
                  <c:v>0.65788005442441666</c:v>
                </c:pt>
                <c:pt idx="174">
                  <c:v>0.66554148500838017</c:v>
                </c:pt>
                <c:pt idx="175">
                  <c:v>0.66878107338411075</c:v>
                </c:pt>
                <c:pt idx="176">
                  <c:v>0.67305382670359037</c:v>
                </c:pt>
                <c:pt idx="177">
                  <c:v>0.67819213473777817</c:v>
                </c:pt>
                <c:pt idx="178">
                  <c:v>0.71285739329427955</c:v>
                </c:pt>
                <c:pt idx="179">
                  <c:v>0.71641227183053924</c:v>
                </c:pt>
                <c:pt idx="180">
                  <c:v>0.71859374510989238</c:v>
                </c:pt>
                <c:pt idx="181">
                  <c:v>0.72403986911007501</c:v>
                </c:pt>
                <c:pt idx="182">
                  <c:v>0.7266507696529847</c:v>
                </c:pt>
                <c:pt idx="183">
                  <c:v>0.73663058964861261</c:v>
                </c:pt>
                <c:pt idx="184">
                  <c:v>0.73951884459446582</c:v>
                </c:pt>
                <c:pt idx="185">
                  <c:v>0.74390874904457427</c:v>
                </c:pt>
                <c:pt idx="186">
                  <c:v>0.74581816857425109</c:v>
                </c:pt>
                <c:pt idx="187">
                  <c:v>0.7503350294201685</c:v>
                </c:pt>
                <c:pt idx="188">
                  <c:v>0.75746747013971727</c:v>
                </c:pt>
                <c:pt idx="189">
                  <c:v>0.76480745197929068</c:v>
                </c:pt>
                <c:pt idx="190">
                  <c:v>0.77423100394529276</c:v>
                </c:pt>
                <c:pt idx="191">
                  <c:v>0.78402597347294634</c:v>
                </c:pt>
                <c:pt idx="192">
                  <c:v>0.78965680900580382</c:v>
                </c:pt>
                <c:pt idx="193">
                  <c:v>0.79365184409548184</c:v>
                </c:pt>
                <c:pt idx="194">
                  <c:v>0.79625401048192956</c:v>
                </c:pt>
                <c:pt idx="195">
                  <c:v>0.7967503085708777</c:v>
                </c:pt>
                <c:pt idx="196">
                  <c:v>0.79839435760083921</c:v>
                </c:pt>
                <c:pt idx="197">
                  <c:v>0.79893981331193475</c:v>
                </c:pt>
                <c:pt idx="198">
                  <c:v>0.80928886892131524</c:v>
                </c:pt>
                <c:pt idx="199">
                  <c:v>0.81013130039027381</c:v>
                </c:pt>
                <c:pt idx="200">
                  <c:v>0.81211892212656445</c:v>
                </c:pt>
                <c:pt idx="201">
                  <c:v>0.81221600555337603</c:v>
                </c:pt>
                <c:pt idx="202">
                  <c:v>0.81876806513667666</c:v>
                </c:pt>
                <c:pt idx="203">
                  <c:v>0.82009792554977301</c:v>
                </c:pt>
                <c:pt idx="204">
                  <c:v>0.82091446552458169</c:v>
                </c:pt>
                <c:pt idx="205">
                  <c:v>0.82448252387062648</c:v>
                </c:pt>
                <c:pt idx="206">
                  <c:v>0.82723224207781365</c:v>
                </c:pt>
                <c:pt idx="207">
                  <c:v>0.8434027402405504</c:v>
                </c:pt>
                <c:pt idx="208">
                  <c:v>0.8446818340142126</c:v>
                </c:pt>
                <c:pt idx="209">
                  <c:v>0.86002612918211019</c:v>
                </c:pt>
                <c:pt idx="210">
                  <c:v>0.86428461197269213</c:v>
                </c:pt>
                <c:pt idx="211">
                  <c:v>0.87823920871709493</c:v>
                </c:pt>
                <c:pt idx="212">
                  <c:v>0.90318393814811859</c:v>
                </c:pt>
                <c:pt idx="213">
                  <c:v>0.90601504998108173</c:v>
                </c:pt>
                <c:pt idx="214">
                  <c:v>0.9183127831142105</c:v>
                </c:pt>
                <c:pt idx="215">
                  <c:v>0.9327751677470516</c:v>
                </c:pt>
                <c:pt idx="216">
                  <c:v>0.93636361241732857</c:v>
                </c:pt>
                <c:pt idx="217">
                  <c:v>0.9572917659147977</c:v>
                </c:pt>
                <c:pt idx="218">
                  <c:v>0.98265597433452723</c:v>
                </c:pt>
                <c:pt idx="219">
                  <c:v>1.00582396279926</c:v>
                </c:pt>
                <c:pt idx="220">
                  <c:v>1.0130162374548382</c:v>
                </c:pt>
                <c:pt idx="221">
                  <c:v>1.0131331810107467</c:v>
                </c:pt>
                <c:pt idx="222">
                  <c:v>1.0149385566332081</c:v>
                </c:pt>
                <c:pt idx="223">
                  <c:v>1.0165775025245878</c:v>
                </c:pt>
                <c:pt idx="224">
                  <c:v>1.0206909806708018</c:v>
                </c:pt>
                <c:pt idx="225">
                  <c:v>1.0221536259815083</c:v>
                </c:pt>
                <c:pt idx="226">
                  <c:v>1.0292470021473017</c:v>
                </c:pt>
                <c:pt idx="227">
                  <c:v>1.0299147598824459</c:v>
                </c:pt>
                <c:pt idx="228">
                  <c:v>1.0534173668413205</c:v>
                </c:pt>
                <c:pt idx="229">
                  <c:v>1.0582838647388983</c:v>
                </c:pt>
                <c:pt idx="230">
                  <c:v>1.0740543167968948</c:v>
                </c:pt>
                <c:pt idx="231">
                  <c:v>1.0910607115368625</c:v>
                </c:pt>
                <c:pt idx="232">
                  <c:v>1.1403411074887542</c:v>
                </c:pt>
                <c:pt idx="233">
                  <c:v>1.1452991702702802</c:v>
                </c:pt>
                <c:pt idx="234">
                  <c:v>1.1681399025008314</c:v>
                </c:pt>
                <c:pt idx="235">
                  <c:v>1.1949752288207245</c:v>
                </c:pt>
                <c:pt idx="236">
                  <c:v>1.2018059878362797</c:v>
                </c:pt>
                <c:pt idx="237">
                  <c:v>1.2117483570069074</c:v>
                </c:pt>
                <c:pt idx="238">
                  <c:v>1.2204792176405135</c:v>
                </c:pt>
                <c:pt idx="239">
                  <c:v>1.2297729755583662</c:v>
                </c:pt>
                <c:pt idx="240">
                  <c:v>1.4351563395851152</c:v>
                </c:pt>
                <c:pt idx="241">
                  <c:v>1.4352647848280911</c:v>
                </c:pt>
                <c:pt idx="242">
                  <c:v>1.4517343025258067</c:v>
                </c:pt>
                <c:pt idx="243">
                  <c:v>1.9441915093747548</c:v>
                </c:pt>
                <c:pt idx="244">
                  <c:v>1.9890325940379168</c:v>
                </c:pt>
                <c:pt idx="245">
                  <c:v>2.0194610716113153</c:v>
                </c:pt>
                <c:pt idx="246">
                  <c:v>2.0227738144489784</c:v>
                </c:pt>
                <c:pt idx="247">
                  <c:v>2.1476595169970905</c:v>
                </c:pt>
                <c:pt idx="248">
                  <c:v>2.1654373713290829</c:v>
                </c:pt>
                <c:pt idx="249">
                  <c:v>2.3447564808584485</c:v>
                </c:pt>
                <c:pt idx="250">
                  <c:v>2.532763837586514</c:v>
                </c:pt>
                <c:pt idx="251">
                  <c:v>2.8364633028725414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17-40B3-9D92-0E5DEB538A4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3'!$BM$2:$BM$253</c:f>
              <c:numCache>
                <c:formatCode>0.00</c:formatCode>
                <c:ptCount val="252"/>
                <c:pt idx="0">
                  <c:v>-2.8806743591110573</c:v>
                </c:pt>
                <c:pt idx="1">
                  <c:v>-2.514954877802527</c:v>
                </c:pt>
                <c:pt idx="2">
                  <c:v>-2.3293360530619998</c:v>
                </c:pt>
                <c:pt idx="3">
                  <c:v>-2.2004105812100327</c:v>
                </c:pt>
                <c:pt idx="4">
                  <c:v>-2.1001654928444697</c:v>
                </c:pt>
                <c:pt idx="5">
                  <c:v>-2.0174287103431898</c:v>
                </c:pt>
                <c:pt idx="6">
                  <c:v>-1.9465617207989845</c:v>
                </c:pt>
                <c:pt idx="7">
                  <c:v>-1.8843044227824219</c:v>
                </c:pt>
                <c:pt idx="8">
                  <c:v>-1.8285948988056846</c:v>
                </c:pt>
                <c:pt idx="9">
                  <c:v>-1.7780428020381664</c:v>
                </c:pt>
                <c:pt idx="10">
                  <c:v>-1.7316643961222451</c:v>
                </c:pt>
                <c:pt idx="11">
                  <c:v>-1.6887370022667971</c:v>
                </c:pt>
                <c:pt idx="12">
                  <c:v>-1.648713470290851</c:v>
                </c:pt>
                <c:pt idx="13">
                  <c:v>-1.6111691623526765</c:v>
                </c:pt>
                <c:pt idx="14">
                  <c:v>-1.5757676293730742</c:v>
                </c:pt>
                <c:pt idx="15">
                  <c:v>-1.5422375718953325</c:v>
                </c:pt>
                <c:pt idx="16">
                  <c:v>-1.5103568962835028</c:v>
                </c:pt>
                <c:pt idx="17">
                  <c:v>-1.4799413890351922</c:v>
                </c:pt>
                <c:pt idx="18">
                  <c:v>-1.450836487412636</c:v>
                </c:pt>
                <c:pt idx="19">
                  <c:v>-1.4229111803109864</c:v>
                </c:pt>
                <c:pt idx="20">
                  <c:v>-1.3960534082549905</c:v>
                </c:pt>
                <c:pt idx="21">
                  <c:v>-1.3701665397259748</c:v>
                </c:pt>
                <c:pt idx="22">
                  <c:v>-1.3451666341766386</c:v>
                </c:pt>
                <c:pt idx="23">
                  <c:v>-1.3209802893126328</c:v>
                </c:pt>
                <c:pt idx="24">
                  <c:v>-1.2975429286165541</c:v>
                </c:pt>
                <c:pt idx="25">
                  <c:v>-1.2747974249655289</c:v>
                </c:pt>
                <c:pt idx="26">
                  <c:v>-1.2526929839120384</c:v>
                </c:pt>
                <c:pt idx="27">
                  <c:v>-1.2311842297805575</c:v>
                </c:pt>
                <c:pt idx="28">
                  <c:v>-1.2102304517744085</c:v>
                </c:pt>
                <c:pt idx="29">
                  <c:v>-1.189794977493698</c:v>
                </c:pt>
                <c:pt idx="30">
                  <c:v>-1.1698446487773884</c:v>
                </c:pt>
                <c:pt idx="31">
                  <c:v>-1.1503493803760083</c:v>
                </c:pt>
                <c:pt idx="32">
                  <c:v>-1.1312817861712798</c:v>
                </c:pt>
                <c:pt idx="33">
                  <c:v>-1.1126168608589178</c:v>
                </c:pt>
                <c:pt idx="34">
                  <c:v>-1.0943317074660934</c:v>
                </c:pt>
                <c:pt idx="35">
                  <c:v>-1.0764053029751872</c:v>
                </c:pt>
                <c:pt idx="36">
                  <c:v>-1.0588182958080339</c:v>
                </c:pt>
                <c:pt idx="37">
                  <c:v>-1.0415528300904833</c:v>
                </c:pt>
                <c:pt idx="38">
                  <c:v>-1.024592392540099</c:v>
                </c:pt>
                <c:pt idx="39">
                  <c:v>-1.0079216785556244</c:v>
                </c:pt>
                <c:pt idx="40">
                  <c:v>-0.99152647467733057</c:v>
                </c:pt>
                <c:pt idx="41">
                  <c:v>-0.97539355506375336</c:v>
                </c:pt>
                <c:pt idx="42">
                  <c:v>-0.95951059001725081</c:v>
                </c:pt>
                <c:pt idx="43">
                  <c:v>-0.94386606490653602</c:v>
                </c:pt>
                <c:pt idx="44">
                  <c:v>-0.92844920809329989</c:v>
                </c:pt>
                <c:pt idx="45">
                  <c:v>-0.91324992668360727</c:v>
                </c:pt>
                <c:pt idx="46">
                  <c:v>-0.89825874910156867</c:v>
                </c:pt>
                <c:pt idx="47">
                  <c:v>-0.88346677362987858</c:v>
                </c:pt>
                <c:pt idx="48">
                  <c:v>-0.8688656221847797</c:v>
                </c:pt>
                <c:pt idx="49">
                  <c:v>-0.85444739869598973</c:v>
                </c:pt>
                <c:pt idx="50">
                  <c:v>-0.84020465154900881</c:v>
                </c:pt>
                <c:pt idx="51">
                  <c:v>-0.82613033962053128</c:v>
                </c:pt>
                <c:pt idx="52">
                  <c:v>-0.81221780149991241</c:v>
                </c:pt>
                <c:pt idx="53">
                  <c:v>-0.7984607275425748</c:v>
                </c:pt>
                <c:pt idx="54">
                  <c:v>-0.78485313444643534</c:v>
                </c:pt>
                <c:pt idx="55">
                  <c:v>-0.77138934208115728</c:v>
                </c:pt>
                <c:pt idx="56">
                  <c:v>-0.75806395233324275</c:v>
                </c:pt>
                <c:pt idx="57">
                  <c:v>-0.74487182975869159</c:v>
                </c:pt>
                <c:pt idx="58">
                  <c:v>-0.73180808385961749</c:v>
                </c:pt>
                <c:pt idx="59">
                  <c:v>-0.71886805282271549</c:v>
                </c:pt>
                <c:pt idx="60">
                  <c:v>-0.70604728857604471</c:v>
                </c:pt>
                <c:pt idx="61">
                  <c:v>-0.69334154303681728</c:v>
                </c:pt>
                <c:pt idx="62">
                  <c:v>-0.68074675543701968</c:v>
                </c:pt>
                <c:pt idx="63">
                  <c:v>-0.66825904062605401</c:v>
                </c:pt>
                <c:pt idx="64">
                  <c:v>-0.6558746782604522</c:v>
                </c:pt>
                <c:pt idx="65">
                  <c:v>-0.64359010280021778</c:v>
                </c:pt>
                <c:pt idx="66">
                  <c:v>-0.6314018942397609</c:v>
                </c:pt>
                <c:pt idx="67">
                  <c:v>-0.61930676950877617</c:v>
                </c:pt>
                <c:pt idx="68">
                  <c:v>-0.60730157448496325</c:v>
                </c:pt>
                <c:pt idx="69">
                  <c:v>-0.59538327656628021</c:v>
                </c:pt>
                <c:pt idx="70">
                  <c:v>-0.5835489577555576</c:v>
                </c:pt>
                <c:pt idx="71">
                  <c:v>-0.57179580821487397</c:v>
                </c:pt>
                <c:pt idx="72">
                  <c:v>-0.56012112025115535</c:v>
                </c:pt>
                <c:pt idx="73">
                  <c:v>-0.54852228269809788</c:v>
                </c:pt>
                <c:pt idx="74">
                  <c:v>-0.53699677566274262</c:v>
                </c:pt>
                <c:pt idx="75">
                  <c:v>-0.52554216560793954</c:v>
                </c:pt>
                <c:pt idx="76">
                  <c:v>-0.51415610074453411</c:v>
                </c:pt>
                <c:pt idx="77">
                  <c:v>-0.50283630670944168</c:v>
                </c:pt>
                <c:pt idx="78">
                  <c:v>-0.49158058250786868</c:v>
                </c:pt>
                <c:pt idx="79">
                  <c:v>-0.48038679669982853</c:v>
                </c:pt>
                <c:pt idx="80">
                  <c:v>-0.46925288381280222</c:v>
                </c:pt>
                <c:pt idx="81">
                  <c:v>-0.45817684096392136</c:v>
                </c:pt>
                <c:pt idx="82">
                  <c:v>-0.44715672467644574</c:v>
                </c:pt>
                <c:pt idx="83">
                  <c:v>-0.43619064787655393</c:v>
                </c:pt>
                <c:pt idx="84">
                  <c:v>-0.42527677705760725</c:v>
                </c:pt>
                <c:pt idx="85">
                  <c:v>-0.41441332960007643</c:v>
                </c:pt>
                <c:pt idx="86">
                  <c:v>-0.40359857123625476</c:v>
                </c:pt>
                <c:pt idx="87">
                  <c:v>-0.39283081364972938</c:v>
                </c:pt>
                <c:pt idx="88">
                  <c:v>-0.3821084122003639</c:v>
                </c:pt>
                <c:pt idx="89">
                  <c:v>-0.37142976376624032</c:v>
                </c:pt>
                <c:pt idx="90">
                  <c:v>-0.36079330469465853</c:v>
                </c:pt>
                <c:pt idx="91">
                  <c:v>-0.35019750885487144</c:v>
                </c:pt>
                <c:pt idx="92">
                  <c:v>-0.33964088578577573</c:v>
                </c:pt>
                <c:pt idx="93">
                  <c:v>-0.32912197893226108</c:v>
                </c:pt>
                <c:pt idx="94">
                  <c:v>-0.3186393639643752</c:v>
                </c:pt>
                <c:pt idx="95">
                  <c:v>-0.30819164717386466</c:v>
                </c:pt>
                <c:pt idx="96">
                  <c:v>-0.29777746394303445</c:v>
                </c:pt>
                <c:pt idx="97">
                  <c:v>-0.28739547728120973</c:v>
                </c:pt>
                <c:pt idx="98">
                  <c:v>-0.27704437642439755</c:v>
                </c:pt>
                <c:pt idx="99">
                  <c:v>-0.26672287549404339</c:v>
                </c:pt>
                <c:pt idx="100">
                  <c:v>-0.256429712211035</c:v>
                </c:pt>
                <c:pt idx="101">
                  <c:v>-0.24616364666135951</c:v>
                </c:pt>
                <c:pt idx="102">
                  <c:v>-0.23592346011003523</c:v>
                </c:pt>
                <c:pt idx="103">
                  <c:v>-0.2257079538601594</c:v>
                </c:pt>
                <c:pt idx="104">
                  <c:v>-0.21551594815408856</c:v>
                </c:pt>
                <c:pt idx="105">
                  <c:v>-0.20534628111395689</c:v>
                </c:pt>
                <c:pt idx="106">
                  <c:v>-0.19519780771888826</c:v>
                </c:pt>
                <c:pt idx="107">
                  <c:v>-0.18506939881641302</c:v>
                </c:pt>
                <c:pt idx="108">
                  <c:v>-0.17495994016573252</c:v>
                </c:pt>
                <c:pt idx="109">
                  <c:v>-0.16486833151060187</c:v>
                </c:pt>
                <c:pt idx="110">
                  <c:v>-0.15479348567971193</c:v>
                </c:pt>
                <c:pt idx="111">
                  <c:v>-0.14473432771256409</c:v>
                </c:pt>
                <c:pt idx="112">
                  <c:v>-0.13468979400891959</c:v>
                </c:pt>
                <c:pt idx="113">
                  <c:v>-0.1246588315</c:v>
                </c:pt>
                <c:pt idx="114">
                  <c:v>-0.11464039683969043</c:v>
                </c:pt>
                <c:pt idx="115">
                  <c:v>-0.10463345561407539</c:v>
                </c:pt>
                <c:pt idx="116">
                  <c:v>-9.4636981567699813E-2</c:v>
                </c:pt>
                <c:pt idx="117">
                  <c:v>-8.4649955845010449E-2</c:v>
                </c:pt>
                <c:pt idx="118">
                  <c:v>-7.4671366245484247E-2</c:v>
                </c:pt>
                <c:pt idx="119">
                  <c:v>-6.4700206491002693E-2</c:v>
                </c:pt>
                <c:pt idx="120">
                  <c:v>-5.4735475504070312E-2</c:v>
                </c:pt>
                <c:pt idx="121">
                  <c:v>-4.477617669551625E-2</c:v>
                </c:pt>
                <c:pt idx="122">
                  <c:v>-3.4821317260347699E-2</c:v>
                </c:pt>
                <c:pt idx="123">
                  <c:v>-2.4869907480456668E-2</c:v>
                </c:pt>
                <c:pt idx="124">
                  <c:v>-1.4920960032900372E-2</c:v>
                </c:pt>
                <c:pt idx="125">
                  <c:v>-4.9734893024984917E-3</c:v>
                </c:pt>
                <c:pt idx="126">
                  <c:v>4.9734893024984917E-3</c:v>
                </c:pt>
                <c:pt idx="127">
                  <c:v>1.4920960032900372E-2</c:v>
                </c:pt>
                <c:pt idx="128">
                  <c:v>2.4869907480456525E-2</c:v>
                </c:pt>
                <c:pt idx="129">
                  <c:v>3.482131726034756E-2</c:v>
                </c:pt>
                <c:pt idx="130">
                  <c:v>4.4776176695516381E-2</c:v>
                </c:pt>
                <c:pt idx="131">
                  <c:v>5.4735475504070437E-2</c:v>
                </c:pt>
                <c:pt idx="132">
                  <c:v>6.4700206491002693E-2</c:v>
                </c:pt>
                <c:pt idx="133">
                  <c:v>7.4671366245484247E-2</c:v>
                </c:pt>
                <c:pt idx="134">
                  <c:v>8.4649955845010449E-2</c:v>
                </c:pt>
                <c:pt idx="135">
                  <c:v>9.4636981567699813E-2</c:v>
                </c:pt>
                <c:pt idx="136">
                  <c:v>0.10463345561407525</c:v>
                </c:pt>
                <c:pt idx="137">
                  <c:v>0.1146403968396903</c:v>
                </c:pt>
                <c:pt idx="138">
                  <c:v>0.12465883150000014</c:v>
                </c:pt>
                <c:pt idx="139">
                  <c:v>0.13468979400891973</c:v>
                </c:pt>
                <c:pt idx="140">
                  <c:v>0.14473432771256409</c:v>
                </c:pt>
                <c:pt idx="141">
                  <c:v>0.15479348567971193</c:v>
                </c:pt>
                <c:pt idx="142">
                  <c:v>0.16486833151060187</c:v>
                </c:pt>
                <c:pt idx="143">
                  <c:v>0.17495994016573252</c:v>
                </c:pt>
                <c:pt idx="144">
                  <c:v>0.18506939881641285</c:v>
                </c:pt>
                <c:pt idx="145">
                  <c:v>0.19519780771888809</c:v>
                </c:pt>
                <c:pt idx="146">
                  <c:v>0.20534628111395706</c:v>
                </c:pt>
                <c:pt idx="147">
                  <c:v>0.21551594815408867</c:v>
                </c:pt>
                <c:pt idx="148">
                  <c:v>0.2257079538601594</c:v>
                </c:pt>
                <c:pt idx="149">
                  <c:v>0.23592346011003523</c:v>
                </c:pt>
                <c:pt idx="150">
                  <c:v>0.24616364666135951</c:v>
                </c:pt>
                <c:pt idx="151">
                  <c:v>0.256429712211035</c:v>
                </c:pt>
                <c:pt idx="152">
                  <c:v>0.26672287549404317</c:v>
                </c:pt>
                <c:pt idx="153">
                  <c:v>0.27704437642439733</c:v>
                </c:pt>
                <c:pt idx="154">
                  <c:v>0.28739547728120984</c:v>
                </c:pt>
                <c:pt idx="155">
                  <c:v>0.29777746394303461</c:v>
                </c:pt>
                <c:pt idx="156">
                  <c:v>0.30819164717386466</c:v>
                </c:pt>
                <c:pt idx="157">
                  <c:v>0.3186393639643752</c:v>
                </c:pt>
                <c:pt idx="158">
                  <c:v>0.32912197893226108</c:v>
                </c:pt>
                <c:pt idx="159">
                  <c:v>0.3396408857857755</c:v>
                </c:pt>
                <c:pt idx="160">
                  <c:v>0.35019750885487133</c:v>
                </c:pt>
                <c:pt idx="161">
                  <c:v>0.3607933046946587</c:v>
                </c:pt>
                <c:pt idx="162">
                  <c:v>0.37142976376624048</c:v>
                </c:pt>
                <c:pt idx="163">
                  <c:v>0.3821084122003639</c:v>
                </c:pt>
                <c:pt idx="164">
                  <c:v>0.39283081364972938</c:v>
                </c:pt>
                <c:pt idx="165">
                  <c:v>0.40359857123625476</c:v>
                </c:pt>
                <c:pt idx="166">
                  <c:v>0.41441332960007643</c:v>
                </c:pt>
                <c:pt idx="167">
                  <c:v>0.42527677705760714</c:v>
                </c:pt>
                <c:pt idx="168">
                  <c:v>0.43619064787655376</c:v>
                </c:pt>
                <c:pt idx="169">
                  <c:v>0.44715672467644596</c:v>
                </c:pt>
                <c:pt idx="170">
                  <c:v>0.45817684096392136</c:v>
                </c:pt>
                <c:pt idx="171">
                  <c:v>0.46925288381280222</c:v>
                </c:pt>
                <c:pt idx="172">
                  <c:v>0.48038679669982853</c:v>
                </c:pt>
                <c:pt idx="173">
                  <c:v>0.49158058250786868</c:v>
                </c:pt>
                <c:pt idx="174">
                  <c:v>0.50283630670944168</c:v>
                </c:pt>
                <c:pt idx="175">
                  <c:v>0.51415610074453411</c:v>
                </c:pt>
                <c:pt idx="176">
                  <c:v>0.52554216560793932</c:v>
                </c:pt>
                <c:pt idx="177">
                  <c:v>0.53699677566274295</c:v>
                </c:pt>
                <c:pt idx="178">
                  <c:v>0.54852228269809822</c:v>
                </c:pt>
                <c:pt idx="179">
                  <c:v>0.56012112025115535</c:v>
                </c:pt>
                <c:pt idx="180">
                  <c:v>0.57179580821487397</c:v>
                </c:pt>
                <c:pt idx="181">
                  <c:v>0.5835489577555576</c:v>
                </c:pt>
                <c:pt idx="182">
                  <c:v>0.59538327656628021</c:v>
                </c:pt>
                <c:pt idx="183">
                  <c:v>0.60730157448496336</c:v>
                </c:pt>
                <c:pt idx="184">
                  <c:v>0.61930676950877606</c:v>
                </c:pt>
                <c:pt idx="185">
                  <c:v>0.63140189423976112</c:v>
                </c:pt>
                <c:pt idx="186">
                  <c:v>0.64359010280021778</c:v>
                </c:pt>
                <c:pt idx="187">
                  <c:v>0.6558746782604522</c:v>
                </c:pt>
                <c:pt idx="188">
                  <c:v>0.66825904062605401</c:v>
                </c:pt>
                <c:pt idx="189">
                  <c:v>0.68074675543701968</c:v>
                </c:pt>
                <c:pt idx="190">
                  <c:v>0.69334154303681728</c:v>
                </c:pt>
                <c:pt idx="191">
                  <c:v>0.70604728857604471</c:v>
                </c:pt>
                <c:pt idx="192">
                  <c:v>0.71886805282271604</c:v>
                </c:pt>
                <c:pt idx="193">
                  <c:v>0.73180808385961771</c:v>
                </c:pt>
                <c:pt idx="194">
                  <c:v>0.74487182975869159</c:v>
                </c:pt>
                <c:pt idx="195">
                  <c:v>0.75806395233324275</c:v>
                </c:pt>
                <c:pt idx="196">
                  <c:v>0.77138934208115728</c:v>
                </c:pt>
                <c:pt idx="197">
                  <c:v>0.78485313444643534</c:v>
                </c:pt>
                <c:pt idx="198">
                  <c:v>0.7984607275425748</c:v>
                </c:pt>
                <c:pt idx="199">
                  <c:v>0.81221780149991241</c:v>
                </c:pt>
                <c:pt idx="200">
                  <c:v>0.82613033962053162</c:v>
                </c:pt>
                <c:pt idx="201">
                  <c:v>0.84020465154900847</c:v>
                </c:pt>
                <c:pt idx="202">
                  <c:v>0.85444739869598973</c:v>
                </c:pt>
                <c:pt idx="203">
                  <c:v>0.8688656221847797</c:v>
                </c:pt>
                <c:pt idx="204">
                  <c:v>0.88346677362987858</c:v>
                </c:pt>
                <c:pt idx="205">
                  <c:v>0.89825874910156867</c:v>
                </c:pt>
                <c:pt idx="206">
                  <c:v>0.91324992668360727</c:v>
                </c:pt>
                <c:pt idx="207">
                  <c:v>0.92844920809329989</c:v>
                </c:pt>
                <c:pt idx="208">
                  <c:v>0.94386606490653491</c:v>
                </c:pt>
                <c:pt idx="209">
                  <c:v>0.95951059001724914</c:v>
                </c:pt>
                <c:pt idx="210">
                  <c:v>0.97539355506375336</c:v>
                </c:pt>
                <c:pt idx="211">
                  <c:v>0.99152647467733057</c:v>
                </c:pt>
                <c:pt idx="212">
                  <c:v>1.0079216785556244</c:v>
                </c:pt>
                <c:pt idx="213">
                  <c:v>1.024592392540099</c:v>
                </c:pt>
                <c:pt idx="214">
                  <c:v>1.0415528300904833</c:v>
                </c:pt>
                <c:pt idx="215">
                  <c:v>1.0588182958080339</c:v>
                </c:pt>
                <c:pt idx="216">
                  <c:v>1.0764053029751868</c:v>
                </c:pt>
                <c:pt idx="217">
                  <c:v>1.0943317074660934</c:v>
                </c:pt>
                <c:pt idx="218">
                  <c:v>1.1126168608589178</c:v>
                </c:pt>
                <c:pt idx="219">
                  <c:v>1.1312817861712798</c:v>
                </c:pt>
                <c:pt idx="220">
                  <c:v>1.1503493803760083</c:v>
                </c:pt>
                <c:pt idx="221">
                  <c:v>1.1698446487773884</c:v>
                </c:pt>
                <c:pt idx="222">
                  <c:v>1.189794977493698</c:v>
                </c:pt>
                <c:pt idx="223">
                  <c:v>1.2102304517744078</c:v>
                </c:pt>
                <c:pt idx="224">
                  <c:v>1.2311842297805575</c:v>
                </c:pt>
                <c:pt idx="225">
                  <c:v>1.2526929839120398</c:v>
                </c:pt>
                <c:pt idx="226">
                  <c:v>1.2747974249655289</c:v>
                </c:pt>
                <c:pt idx="227">
                  <c:v>1.2975429286165541</c:v>
                </c:pt>
                <c:pt idx="228">
                  <c:v>1.3209802893126328</c:v>
                </c:pt>
                <c:pt idx="229">
                  <c:v>1.3451666341766386</c:v>
                </c:pt>
                <c:pt idx="230">
                  <c:v>1.3701665397259748</c:v>
                </c:pt>
                <c:pt idx="231">
                  <c:v>1.3960534082549898</c:v>
                </c:pt>
                <c:pt idx="232">
                  <c:v>1.4229111803109853</c:v>
                </c:pt>
                <c:pt idx="233">
                  <c:v>1.4508364874126363</c:v>
                </c:pt>
                <c:pt idx="234">
                  <c:v>1.4799413890351927</c:v>
                </c:pt>
                <c:pt idx="235">
                  <c:v>1.5103568962835032</c:v>
                </c:pt>
                <c:pt idx="236">
                  <c:v>1.5422375718953325</c:v>
                </c:pt>
                <c:pt idx="237">
                  <c:v>1.5757676293730736</c:v>
                </c:pt>
                <c:pt idx="238">
                  <c:v>1.6111691623526765</c:v>
                </c:pt>
                <c:pt idx="239">
                  <c:v>1.6487134702908506</c:v>
                </c:pt>
                <c:pt idx="240">
                  <c:v>1.688737002266798</c:v>
                </c:pt>
                <c:pt idx="241">
                  <c:v>1.7316643961222455</c:v>
                </c:pt>
                <c:pt idx="242">
                  <c:v>1.7780428020381671</c:v>
                </c:pt>
                <c:pt idx="243">
                  <c:v>1.8285948988056846</c:v>
                </c:pt>
                <c:pt idx="244">
                  <c:v>1.8843044227824219</c:v>
                </c:pt>
                <c:pt idx="245">
                  <c:v>1.946561720798984</c:v>
                </c:pt>
                <c:pt idx="246">
                  <c:v>2.0174287103431894</c:v>
                </c:pt>
                <c:pt idx="247">
                  <c:v>2.100165492844468</c:v>
                </c:pt>
                <c:pt idx="248">
                  <c:v>2.2004105812100336</c:v>
                </c:pt>
                <c:pt idx="249">
                  <c:v>2.3293360530620011</c:v>
                </c:pt>
                <c:pt idx="250">
                  <c:v>2.5149548778025288</c:v>
                </c:pt>
                <c:pt idx="251">
                  <c:v>2.8806743591110586</c:v>
                </c:pt>
              </c:numCache>
            </c:numRef>
          </c:xVal>
          <c:yVal>
            <c:numRef>
              <c:f>'Part 3'!$BM$2:$BM$253</c:f>
              <c:numCache>
                <c:formatCode>0.00</c:formatCode>
                <c:ptCount val="252"/>
                <c:pt idx="0">
                  <c:v>-2.8806743591110573</c:v>
                </c:pt>
                <c:pt idx="1">
                  <c:v>-2.514954877802527</c:v>
                </c:pt>
                <c:pt idx="2">
                  <c:v>-2.3293360530619998</c:v>
                </c:pt>
                <c:pt idx="3">
                  <c:v>-2.2004105812100327</c:v>
                </c:pt>
                <c:pt idx="4">
                  <c:v>-2.1001654928444697</c:v>
                </c:pt>
                <c:pt idx="5">
                  <c:v>-2.0174287103431898</c:v>
                </c:pt>
                <c:pt idx="6">
                  <c:v>-1.9465617207989845</c:v>
                </c:pt>
                <c:pt idx="7">
                  <c:v>-1.8843044227824219</c:v>
                </c:pt>
                <c:pt idx="8">
                  <c:v>-1.8285948988056846</c:v>
                </c:pt>
                <c:pt idx="9">
                  <c:v>-1.7780428020381664</c:v>
                </c:pt>
                <c:pt idx="10">
                  <c:v>-1.7316643961222451</c:v>
                </c:pt>
                <c:pt idx="11">
                  <c:v>-1.6887370022667971</c:v>
                </c:pt>
                <c:pt idx="12">
                  <c:v>-1.648713470290851</c:v>
                </c:pt>
                <c:pt idx="13">
                  <c:v>-1.6111691623526765</c:v>
                </c:pt>
                <c:pt idx="14">
                  <c:v>-1.5757676293730742</c:v>
                </c:pt>
                <c:pt idx="15">
                  <c:v>-1.5422375718953325</c:v>
                </c:pt>
                <c:pt idx="16">
                  <c:v>-1.5103568962835028</c:v>
                </c:pt>
                <c:pt idx="17">
                  <c:v>-1.4799413890351922</c:v>
                </c:pt>
                <c:pt idx="18">
                  <c:v>-1.450836487412636</c:v>
                </c:pt>
                <c:pt idx="19">
                  <c:v>-1.4229111803109864</c:v>
                </c:pt>
                <c:pt idx="20">
                  <c:v>-1.3960534082549905</c:v>
                </c:pt>
                <c:pt idx="21">
                  <c:v>-1.3701665397259748</c:v>
                </c:pt>
                <c:pt idx="22">
                  <c:v>-1.3451666341766386</c:v>
                </c:pt>
                <c:pt idx="23">
                  <c:v>-1.3209802893126328</c:v>
                </c:pt>
                <c:pt idx="24">
                  <c:v>-1.2975429286165541</c:v>
                </c:pt>
                <c:pt idx="25">
                  <c:v>-1.2747974249655289</c:v>
                </c:pt>
                <c:pt idx="26">
                  <c:v>-1.2526929839120384</c:v>
                </c:pt>
                <c:pt idx="27">
                  <c:v>-1.2311842297805575</c:v>
                </c:pt>
                <c:pt idx="28">
                  <c:v>-1.2102304517744085</c:v>
                </c:pt>
                <c:pt idx="29">
                  <c:v>-1.189794977493698</c:v>
                </c:pt>
                <c:pt idx="30">
                  <c:v>-1.1698446487773884</c:v>
                </c:pt>
                <c:pt idx="31">
                  <c:v>-1.1503493803760083</c:v>
                </c:pt>
                <c:pt idx="32">
                  <c:v>-1.1312817861712798</c:v>
                </c:pt>
                <c:pt idx="33">
                  <c:v>-1.1126168608589178</c:v>
                </c:pt>
                <c:pt idx="34">
                  <c:v>-1.0943317074660934</c:v>
                </c:pt>
                <c:pt idx="35">
                  <c:v>-1.0764053029751872</c:v>
                </c:pt>
                <c:pt idx="36">
                  <c:v>-1.0588182958080339</c:v>
                </c:pt>
                <c:pt idx="37">
                  <c:v>-1.0415528300904833</c:v>
                </c:pt>
                <c:pt idx="38">
                  <c:v>-1.024592392540099</c:v>
                </c:pt>
                <c:pt idx="39">
                  <c:v>-1.0079216785556244</c:v>
                </c:pt>
                <c:pt idx="40">
                  <c:v>-0.99152647467733057</c:v>
                </c:pt>
                <c:pt idx="41">
                  <c:v>-0.97539355506375336</c:v>
                </c:pt>
                <c:pt idx="42">
                  <c:v>-0.95951059001725081</c:v>
                </c:pt>
                <c:pt idx="43">
                  <c:v>-0.94386606490653602</c:v>
                </c:pt>
                <c:pt idx="44">
                  <c:v>-0.92844920809329989</c:v>
                </c:pt>
                <c:pt idx="45">
                  <c:v>-0.91324992668360727</c:v>
                </c:pt>
                <c:pt idx="46">
                  <c:v>-0.89825874910156867</c:v>
                </c:pt>
                <c:pt idx="47">
                  <c:v>-0.88346677362987858</c:v>
                </c:pt>
                <c:pt idx="48">
                  <c:v>-0.8688656221847797</c:v>
                </c:pt>
                <c:pt idx="49">
                  <c:v>-0.85444739869598973</c:v>
                </c:pt>
                <c:pt idx="50">
                  <c:v>-0.84020465154900881</c:v>
                </c:pt>
                <c:pt idx="51">
                  <c:v>-0.82613033962053128</c:v>
                </c:pt>
                <c:pt idx="52">
                  <c:v>-0.81221780149991241</c:v>
                </c:pt>
                <c:pt idx="53">
                  <c:v>-0.7984607275425748</c:v>
                </c:pt>
                <c:pt idx="54">
                  <c:v>-0.78485313444643534</c:v>
                </c:pt>
                <c:pt idx="55">
                  <c:v>-0.77138934208115728</c:v>
                </c:pt>
                <c:pt idx="56">
                  <c:v>-0.75806395233324275</c:v>
                </c:pt>
                <c:pt idx="57">
                  <c:v>-0.74487182975869159</c:v>
                </c:pt>
                <c:pt idx="58">
                  <c:v>-0.73180808385961749</c:v>
                </c:pt>
                <c:pt idx="59">
                  <c:v>-0.71886805282271549</c:v>
                </c:pt>
                <c:pt idx="60">
                  <c:v>-0.70604728857604471</c:v>
                </c:pt>
                <c:pt idx="61">
                  <c:v>-0.69334154303681728</c:v>
                </c:pt>
                <c:pt idx="62">
                  <c:v>-0.68074675543701968</c:v>
                </c:pt>
                <c:pt idx="63">
                  <c:v>-0.66825904062605401</c:v>
                </c:pt>
                <c:pt idx="64">
                  <c:v>-0.6558746782604522</c:v>
                </c:pt>
                <c:pt idx="65">
                  <c:v>-0.64359010280021778</c:v>
                </c:pt>
                <c:pt idx="66">
                  <c:v>-0.6314018942397609</c:v>
                </c:pt>
                <c:pt idx="67">
                  <c:v>-0.61930676950877617</c:v>
                </c:pt>
                <c:pt idx="68">
                  <c:v>-0.60730157448496325</c:v>
                </c:pt>
                <c:pt idx="69">
                  <c:v>-0.59538327656628021</c:v>
                </c:pt>
                <c:pt idx="70">
                  <c:v>-0.5835489577555576</c:v>
                </c:pt>
                <c:pt idx="71">
                  <c:v>-0.57179580821487397</c:v>
                </c:pt>
                <c:pt idx="72">
                  <c:v>-0.56012112025115535</c:v>
                </c:pt>
                <c:pt idx="73">
                  <c:v>-0.54852228269809788</c:v>
                </c:pt>
                <c:pt idx="74">
                  <c:v>-0.53699677566274262</c:v>
                </c:pt>
                <c:pt idx="75">
                  <c:v>-0.52554216560793954</c:v>
                </c:pt>
                <c:pt idx="76">
                  <c:v>-0.51415610074453411</c:v>
                </c:pt>
                <c:pt idx="77">
                  <c:v>-0.50283630670944168</c:v>
                </c:pt>
                <c:pt idx="78">
                  <c:v>-0.49158058250786868</c:v>
                </c:pt>
                <c:pt idx="79">
                  <c:v>-0.48038679669982853</c:v>
                </c:pt>
                <c:pt idx="80">
                  <c:v>-0.46925288381280222</c:v>
                </c:pt>
                <c:pt idx="81">
                  <c:v>-0.45817684096392136</c:v>
                </c:pt>
                <c:pt idx="82">
                  <c:v>-0.44715672467644574</c:v>
                </c:pt>
                <c:pt idx="83">
                  <c:v>-0.43619064787655393</c:v>
                </c:pt>
                <c:pt idx="84">
                  <c:v>-0.42527677705760725</c:v>
                </c:pt>
                <c:pt idx="85">
                  <c:v>-0.41441332960007643</c:v>
                </c:pt>
                <c:pt idx="86">
                  <c:v>-0.40359857123625476</c:v>
                </c:pt>
                <c:pt idx="87">
                  <c:v>-0.39283081364972938</c:v>
                </c:pt>
                <c:pt idx="88">
                  <c:v>-0.3821084122003639</c:v>
                </c:pt>
                <c:pt idx="89">
                  <c:v>-0.37142976376624032</c:v>
                </c:pt>
                <c:pt idx="90">
                  <c:v>-0.36079330469465853</c:v>
                </c:pt>
                <c:pt idx="91">
                  <c:v>-0.35019750885487144</c:v>
                </c:pt>
                <c:pt idx="92">
                  <c:v>-0.33964088578577573</c:v>
                </c:pt>
                <c:pt idx="93">
                  <c:v>-0.32912197893226108</c:v>
                </c:pt>
                <c:pt idx="94">
                  <c:v>-0.3186393639643752</c:v>
                </c:pt>
                <c:pt idx="95">
                  <c:v>-0.30819164717386466</c:v>
                </c:pt>
                <c:pt idx="96">
                  <c:v>-0.29777746394303445</c:v>
                </c:pt>
                <c:pt idx="97">
                  <c:v>-0.28739547728120973</c:v>
                </c:pt>
                <c:pt idx="98">
                  <c:v>-0.27704437642439755</c:v>
                </c:pt>
                <c:pt idx="99">
                  <c:v>-0.26672287549404339</c:v>
                </c:pt>
                <c:pt idx="100">
                  <c:v>-0.256429712211035</c:v>
                </c:pt>
                <c:pt idx="101">
                  <c:v>-0.24616364666135951</c:v>
                </c:pt>
                <c:pt idx="102">
                  <c:v>-0.23592346011003523</c:v>
                </c:pt>
                <c:pt idx="103">
                  <c:v>-0.2257079538601594</c:v>
                </c:pt>
                <c:pt idx="104">
                  <c:v>-0.21551594815408856</c:v>
                </c:pt>
                <c:pt idx="105">
                  <c:v>-0.20534628111395689</c:v>
                </c:pt>
                <c:pt idx="106">
                  <c:v>-0.19519780771888826</c:v>
                </c:pt>
                <c:pt idx="107">
                  <c:v>-0.18506939881641302</c:v>
                </c:pt>
                <c:pt idx="108">
                  <c:v>-0.17495994016573252</c:v>
                </c:pt>
                <c:pt idx="109">
                  <c:v>-0.16486833151060187</c:v>
                </c:pt>
                <c:pt idx="110">
                  <c:v>-0.15479348567971193</c:v>
                </c:pt>
                <c:pt idx="111">
                  <c:v>-0.14473432771256409</c:v>
                </c:pt>
                <c:pt idx="112">
                  <c:v>-0.13468979400891959</c:v>
                </c:pt>
                <c:pt idx="113">
                  <c:v>-0.1246588315</c:v>
                </c:pt>
                <c:pt idx="114">
                  <c:v>-0.11464039683969043</c:v>
                </c:pt>
                <c:pt idx="115">
                  <c:v>-0.10463345561407539</c:v>
                </c:pt>
                <c:pt idx="116">
                  <c:v>-9.4636981567699813E-2</c:v>
                </c:pt>
                <c:pt idx="117">
                  <c:v>-8.4649955845010449E-2</c:v>
                </c:pt>
                <c:pt idx="118">
                  <c:v>-7.4671366245484247E-2</c:v>
                </c:pt>
                <c:pt idx="119">
                  <c:v>-6.4700206491002693E-2</c:v>
                </c:pt>
                <c:pt idx="120">
                  <c:v>-5.4735475504070312E-2</c:v>
                </c:pt>
                <c:pt idx="121">
                  <c:v>-4.477617669551625E-2</c:v>
                </c:pt>
                <c:pt idx="122">
                  <c:v>-3.4821317260347699E-2</c:v>
                </c:pt>
                <c:pt idx="123">
                  <c:v>-2.4869907480456668E-2</c:v>
                </c:pt>
                <c:pt idx="124">
                  <c:v>-1.4920960032900372E-2</c:v>
                </c:pt>
                <c:pt idx="125">
                  <c:v>-4.9734893024984917E-3</c:v>
                </c:pt>
                <c:pt idx="126">
                  <c:v>4.9734893024984917E-3</c:v>
                </c:pt>
                <c:pt idx="127">
                  <c:v>1.4920960032900372E-2</c:v>
                </c:pt>
                <c:pt idx="128">
                  <c:v>2.4869907480456525E-2</c:v>
                </c:pt>
                <c:pt idx="129">
                  <c:v>3.482131726034756E-2</c:v>
                </c:pt>
                <c:pt idx="130">
                  <c:v>4.4776176695516381E-2</c:v>
                </c:pt>
                <c:pt idx="131">
                  <c:v>5.4735475504070437E-2</c:v>
                </c:pt>
                <c:pt idx="132">
                  <c:v>6.4700206491002693E-2</c:v>
                </c:pt>
                <c:pt idx="133">
                  <c:v>7.4671366245484247E-2</c:v>
                </c:pt>
                <c:pt idx="134">
                  <c:v>8.4649955845010449E-2</c:v>
                </c:pt>
                <c:pt idx="135">
                  <c:v>9.4636981567699813E-2</c:v>
                </c:pt>
                <c:pt idx="136">
                  <c:v>0.10463345561407525</c:v>
                </c:pt>
                <c:pt idx="137">
                  <c:v>0.1146403968396903</c:v>
                </c:pt>
                <c:pt idx="138">
                  <c:v>0.12465883150000014</c:v>
                </c:pt>
                <c:pt idx="139">
                  <c:v>0.13468979400891973</c:v>
                </c:pt>
                <c:pt idx="140">
                  <c:v>0.14473432771256409</c:v>
                </c:pt>
                <c:pt idx="141">
                  <c:v>0.15479348567971193</c:v>
                </c:pt>
                <c:pt idx="142">
                  <c:v>0.16486833151060187</c:v>
                </c:pt>
                <c:pt idx="143">
                  <c:v>0.17495994016573252</c:v>
                </c:pt>
                <c:pt idx="144">
                  <c:v>0.18506939881641285</c:v>
                </c:pt>
                <c:pt idx="145">
                  <c:v>0.19519780771888809</c:v>
                </c:pt>
                <c:pt idx="146">
                  <c:v>0.20534628111395706</c:v>
                </c:pt>
                <c:pt idx="147">
                  <c:v>0.21551594815408867</c:v>
                </c:pt>
                <c:pt idx="148">
                  <c:v>0.2257079538601594</c:v>
                </c:pt>
                <c:pt idx="149">
                  <c:v>0.23592346011003523</c:v>
                </c:pt>
                <c:pt idx="150">
                  <c:v>0.24616364666135951</c:v>
                </c:pt>
                <c:pt idx="151">
                  <c:v>0.256429712211035</c:v>
                </c:pt>
                <c:pt idx="152">
                  <c:v>0.26672287549404317</c:v>
                </c:pt>
                <c:pt idx="153">
                  <c:v>0.27704437642439733</c:v>
                </c:pt>
                <c:pt idx="154">
                  <c:v>0.28739547728120984</c:v>
                </c:pt>
                <c:pt idx="155">
                  <c:v>0.29777746394303461</c:v>
                </c:pt>
                <c:pt idx="156">
                  <c:v>0.30819164717386466</c:v>
                </c:pt>
                <c:pt idx="157">
                  <c:v>0.3186393639643752</c:v>
                </c:pt>
                <c:pt idx="158">
                  <c:v>0.32912197893226108</c:v>
                </c:pt>
                <c:pt idx="159">
                  <c:v>0.3396408857857755</c:v>
                </c:pt>
                <c:pt idx="160">
                  <c:v>0.35019750885487133</c:v>
                </c:pt>
                <c:pt idx="161">
                  <c:v>0.3607933046946587</c:v>
                </c:pt>
                <c:pt idx="162">
                  <c:v>0.37142976376624048</c:v>
                </c:pt>
                <c:pt idx="163">
                  <c:v>0.3821084122003639</c:v>
                </c:pt>
                <c:pt idx="164">
                  <c:v>0.39283081364972938</c:v>
                </c:pt>
                <c:pt idx="165">
                  <c:v>0.40359857123625476</c:v>
                </c:pt>
                <c:pt idx="166">
                  <c:v>0.41441332960007643</c:v>
                </c:pt>
                <c:pt idx="167">
                  <c:v>0.42527677705760714</c:v>
                </c:pt>
                <c:pt idx="168">
                  <c:v>0.43619064787655376</c:v>
                </c:pt>
                <c:pt idx="169">
                  <c:v>0.44715672467644596</c:v>
                </c:pt>
                <c:pt idx="170">
                  <c:v>0.45817684096392136</c:v>
                </c:pt>
                <c:pt idx="171">
                  <c:v>0.46925288381280222</c:v>
                </c:pt>
                <c:pt idx="172">
                  <c:v>0.48038679669982853</c:v>
                </c:pt>
                <c:pt idx="173">
                  <c:v>0.49158058250786868</c:v>
                </c:pt>
                <c:pt idx="174">
                  <c:v>0.50283630670944168</c:v>
                </c:pt>
                <c:pt idx="175">
                  <c:v>0.51415610074453411</c:v>
                </c:pt>
                <c:pt idx="176">
                  <c:v>0.52554216560793932</c:v>
                </c:pt>
                <c:pt idx="177">
                  <c:v>0.53699677566274295</c:v>
                </c:pt>
                <c:pt idx="178">
                  <c:v>0.54852228269809822</c:v>
                </c:pt>
                <c:pt idx="179">
                  <c:v>0.56012112025115535</c:v>
                </c:pt>
                <c:pt idx="180">
                  <c:v>0.57179580821487397</c:v>
                </c:pt>
                <c:pt idx="181">
                  <c:v>0.5835489577555576</c:v>
                </c:pt>
                <c:pt idx="182">
                  <c:v>0.59538327656628021</c:v>
                </c:pt>
                <c:pt idx="183">
                  <c:v>0.60730157448496336</c:v>
                </c:pt>
                <c:pt idx="184">
                  <c:v>0.61930676950877606</c:v>
                </c:pt>
                <c:pt idx="185">
                  <c:v>0.63140189423976112</c:v>
                </c:pt>
                <c:pt idx="186">
                  <c:v>0.64359010280021778</c:v>
                </c:pt>
                <c:pt idx="187">
                  <c:v>0.6558746782604522</c:v>
                </c:pt>
                <c:pt idx="188">
                  <c:v>0.66825904062605401</c:v>
                </c:pt>
                <c:pt idx="189">
                  <c:v>0.68074675543701968</c:v>
                </c:pt>
                <c:pt idx="190">
                  <c:v>0.69334154303681728</c:v>
                </c:pt>
                <c:pt idx="191">
                  <c:v>0.70604728857604471</c:v>
                </c:pt>
                <c:pt idx="192">
                  <c:v>0.71886805282271604</c:v>
                </c:pt>
                <c:pt idx="193">
                  <c:v>0.73180808385961771</c:v>
                </c:pt>
                <c:pt idx="194">
                  <c:v>0.74487182975869159</c:v>
                </c:pt>
                <c:pt idx="195">
                  <c:v>0.75806395233324275</c:v>
                </c:pt>
                <c:pt idx="196">
                  <c:v>0.77138934208115728</c:v>
                </c:pt>
                <c:pt idx="197">
                  <c:v>0.78485313444643534</c:v>
                </c:pt>
                <c:pt idx="198">
                  <c:v>0.7984607275425748</c:v>
                </c:pt>
                <c:pt idx="199">
                  <c:v>0.81221780149991241</c:v>
                </c:pt>
                <c:pt idx="200">
                  <c:v>0.82613033962053162</c:v>
                </c:pt>
                <c:pt idx="201">
                  <c:v>0.84020465154900847</c:v>
                </c:pt>
                <c:pt idx="202">
                  <c:v>0.85444739869598973</c:v>
                </c:pt>
                <c:pt idx="203">
                  <c:v>0.8688656221847797</c:v>
                </c:pt>
                <c:pt idx="204">
                  <c:v>0.88346677362987858</c:v>
                </c:pt>
                <c:pt idx="205">
                  <c:v>0.89825874910156867</c:v>
                </c:pt>
                <c:pt idx="206">
                  <c:v>0.91324992668360727</c:v>
                </c:pt>
                <c:pt idx="207">
                  <c:v>0.92844920809329989</c:v>
                </c:pt>
                <c:pt idx="208">
                  <c:v>0.94386606490653491</c:v>
                </c:pt>
                <c:pt idx="209">
                  <c:v>0.95951059001724914</c:v>
                </c:pt>
                <c:pt idx="210">
                  <c:v>0.97539355506375336</c:v>
                </c:pt>
                <c:pt idx="211">
                  <c:v>0.99152647467733057</c:v>
                </c:pt>
                <c:pt idx="212">
                  <c:v>1.0079216785556244</c:v>
                </c:pt>
                <c:pt idx="213">
                  <c:v>1.024592392540099</c:v>
                </c:pt>
                <c:pt idx="214">
                  <c:v>1.0415528300904833</c:v>
                </c:pt>
                <c:pt idx="215">
                  <c:v>1.0588182958080339</c:v>
                </c:pt>
                <c:pt idx="216">
                  <c:v>1.0764053029751868</c:v>
                </c:pt>
                <c:pt idx="217">
                  <c:v>1.0943317074660934</c:v>
                </c:pt>
                <c:pt idx="218">
                  <c:v>1.1126168608589178</c:v>
                </c:pt>
                <c:pt idx="219">
                  <c:v>1.1312817861712798</c:v>
                </c:pt>
                <c:pt idx="220">
                  <c:v>1.1503493803760083</c:v>
                </c:pt>
                <c:pt idx="221">
                  <c:v>1.1698446487773884</c:v>
                </c:pt>
                <c:pt idx="222">
                  <c:v>1.189794977493698</c:v>
                </c:pt>
                <c:pt idx="223">
                  <c:v>1.2102304517744078</c:v>
                </c:pt>
                <c:pt idx="224">
                  <c:v>1.2311842297805575</c:v>
                </c:pt>
                <c:pt idx="225">
                  <c:v>1.2526929839120398</c:v>
                </c:pt>
                <c:pt idx="226">
                  <c:v>1.2747974249655289</c:v>
                </c:pt>
                <c:pt idx="227">
                  <c:v>1.2975429286165541</c:v>
                </c:pt>
                <c:pt idx="228">
                  <c:v>1.3209802893126328</c:v>
                </c:pt>
                <c:pt idx="229">
                  <c:v>1.3451666341766386</c:v>
                </c:pt>
                <c:pt idx="230">
                  <c:v>1.3701665397259748</c:v>
                </c:pt>
                <c:pt idx="231">
                  <c:v>1.3960534082549898</c:v>
                </c:pt>
                <c:pt idx="232">
                  <c:v>1.4229111803109853</c:v>
                </c:pt>
                <c:pt idx="233">
                  <c:v>1.4508364874126363</c:v>
                </c:pt>
                <c:pt idx="234">
                  <c:v>1.4799413890351927</c:v>
                </c:pt>
                <c:pt idx="235">
                  <c:v>1.5103568962835032</c:v>
                </c:pt>
                <c:pt idx="236">
                  <c:v>1.5422375718953325</c:v>
                </c:pt>
                <c:pt idx="237">
                  <c:v>1.5757676293730736</c:v>
                </c:pt>
                <c:pt idx="238">
                  <c:v>1.6111691623526765</c:v>
                </c:pt>
                <c:pt idx="239">
                  <c:v>1.6487134702908506</c:v>
                </c:pt>
                <c:pt idx="240">
                  <c:v>1.688737002266798</c:v>
                </c:pt>
                <c:pt idx="241">
                  <c:v>1.7316643961222455</c:v>
                </c:pt>
                <c:pt idx="242">
                  <c:v>1.7780428020381671</c:v>
                </c:pt>
                <c:pt idx="243">
                  <c:v>1.8285948988056846</c:v>
                </c:pt>
                <c:pt idx="244">
                  <c:v>1.8843044227824219</c:v>
                </c:pt>
                <c:pt idx="245">
                  <c:v>1.946561720798984</c:v>
                </c:pt>
                <c:pt idx="246">
                  <c:v>2.0174287103431894</c:v>
                </c:pt>
                <c:pt idx="247">
                  <c:v>2.100165492844468</c:v>
                </c:pt>
                <c:pt idx="248">
                  <c:v>2.2004105812100336</c:v>
                </c:pt>
                <c:pt idx="249">
                  <c:v>2.3293360530620011</c:v>
                </c:pt>
                <c:pt idx="250">
                  <c:v>2.5149548778025288</c:v>
                </c:pt>
                <c:pt idx="251">
                  <c:v>2.8806743591110586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17-40B3-9D92-0E5DEB538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217055"/>
        <c:axId val="317216095"/>
      </c:scatterChart>
      <c:valAx>
        <c:axId val="31721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16095"/>
        <c:crosses val="autoZero"/>
        <c:crossBetween val="midCat"/>
      </c:valAx>
      <c:valAx>
        <c:axId val="317216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17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Residuals vs. Predicted 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'Part 3'!$T$2:$T$258</c:f>
              <c:numCache>
                <c:formatCode>0.00</c:formatCode>
                <c:ptCount val="257"/>
                <c:pt idx="0">
                  <c:v>161.61830424681591</c:v>
                </c:pt>
                <c:pt idx="1">
                  <c:v>161.58691498952138</c:v>
                </c:pt>
                <c:pt idx="2">
                  <c:v>161.55552573222681</c:v>
                </c:pt>
                <c:pt idx="3">
                  <c:v>161.52413647493225</c:v>
                </c:pt>
                <c:pt idx="4">
                  <c:v>161.49274721763769</c:v>
                </c:pt>
                <c:pt idx="5">
                  <c:v>161.46135796034315</c:v>
                </c:pt>
                <c:pt idx="6">
                  <c:v>161.42996870304859</c:v>
                </c:pt>
                <c:pt idx="7">
                  <c:v>161.39857944575402</c:v>
                </c:pt>
                <c:pt idx="8">
                  <c:v>161.36719018845946</c:v>
                </c:pt>
                <c:pt idx="9">
                  <c:v>161.33580093116493</c:v>
                </c:pt>
                <c:pt idx="10">
                  <c:v>161.30441167387036</c:v>
                </c:pt>
                <c:pt idx="11">
                  <c:v>161.2730224165758</c:v>
                </c:pt>
                <c:pt idx="12">
                  <c:v>161.24163315928124</c:v>
                </c:pt>
                <c:pt idx="13">
                  <c:v>161.2102439019867</c:v>
                </c:pt>
                <c:pt idx="14">
                  <c:v>161.17885464469214</c:v>
                </c:pt>
                <c:pt idx="15">
                  <c:v>161.14746538739757</c:v>
                </c:pt>
                <c:pt idx="16">
                  <c:v>161.11607613010301</c:v>
                </c:pt>
                <c:pt idx="17">
                  <c:v>161.08468687280848</c:v>
                </c:pt>
                <c:pt idx="18">
                  <c:v>161.05329761551391</c:v>
                </c:pt>
                <c:pt idx="19">
                  <c:v>161.02190835821935</c:v>
                </c:pt>
                <c:pt idx="20">
                  <c:v>160.99051910092479</c:v>
                </c:pt>
                <c:pt idx="21">
                  <c:v>160.95912984363025</c:v>
                </c:pt>
                <c:pt idx="22">
                  <c:v>160.92774058633569</c:v>
                </c:pt>
                <c:pt idx="23">
                  <c:v>160.89635132904112</c:v>
                </c:pt>
                <c:pt idx="24">
                  <c:v>160.86496207174656</c:v>
                </c:pt>
                <c:pt idx="25">
                  <c:v>160.83357281445203</c:v>
                </c:pt>
                <c:pt idx="26">
                  <c:v>160.80218355715746</c:v>
                </c:pt>
                <c:pt idx="27">
                  <c:v>160.7707942998629</c:v>
                </c:pt>
                <c:pt idx="28">
                  <c:v>160.73940504256836</c:v>
                </c:pt>
                <c:pt idx="29">
                  <c:v>160.7080157852738</c:v>
                </c:pt>
                <c:pt idx="30">
                  <c:v>160.67662652797924</c:v>
                </c:pt>
                <c:pt idx="31">
                  <c:v>160.64523727068467</c:v>
                </c:pt>
                <c:pt idx="32">
                  <c:v>160.61384801339014</c:v>
                </c:pt>
                <c:pt idx="33">
                  <c:v>160.58245875609558</c:v>
                </c:pt>
                <c:pt idx="34">
                  <c:v>160.55106949880101</c:v>
                </c:pt>
                <c:pt idx="35">
                  <c:v>160.51968024150645</c:v>
                </c:pt>
                <c:pt idx="36">
                  <c:v>160.48829098421191</c:v>
                </c:pt>
                <c:pt idx="37">
                  <c:v>160.45690172691735</c:v>
                </c:pt>
                <c:pt idx="38">
                  <c:v>160.42551246962279</c:v>
                </c:pt>
                <c:pt idx="39">
                  <c:v>160.39412321232822</c:v>
                </c:pt>
                <c:pt idx="40">
                  <c:v>160.36273395503369</c:v>
                </c:pt>
                <c:pt idx="41">
                  <c:v>160.33134469773913</c:v>
                </c:pt>
                <c:pt idx="42">
                  <c:v>160.29995544044456</c:v>
                </c:pt>
                <c:pt idx="43">
                  <c:v>160.26856618315</c:v>
                </c:pt>
                <c:pt idx="44">
                  <c:v>160.23717692585547</c:v>
                </c:pt>
                <c:pt idx="45">
                  <c:v>160.2057876685609</c:v>
                </c:pt>
                <c:pt idx="46">
                  <c:v>160.17439841126634</c:v>
                </c:pt>
                <c:pt idx="47">
                  <c:v>160.14300915397178</c:v>
                </c:pt>
                <c:pt idx="48">
                  <c:v>160.11161989667724</c:v>
                </c:pt>
                <c:pt idx="49">
                  <c:v>160.08023063938268</c:v>
                </c:pt>
                <c:pt idx="50">
                  <c:v>160.04884138208811</c:v>
                </c:pt>
                <c:pt idx="51">
                  <c:v>160.01745212479358</c:v>
                </c:pt>
                <c:pt idx="52">
                  <c:v>159.98606286749902</c:v>
                </c:pt>
                <c:pt idx="53">
                  <c:v>159.95467361020445</c:v>
                </c:pt>
                <c:pt idx="54">
                  <c:v>159.92328435290989</c:v>
                </c:pt>
                <c:pt idx="55">
                  <c:v>159.89189509561535</c:v>
                </c:pt>
                <c:pt idx="56">
                  <c:v>159.86050583832079</c:v>
                </c:pt>
                <c:pt idx="57">
                  <c:v>159.82911658102623</c:v>
                </c:pt>
                <c:pt idx="58">
                  <c:v>159.79772732373166</c:v>
                </c:pt>
                <c:pt idx="59">
                  <c:v>159.76633806643713</c:v>
                </c:pt>
                <c:pt idx="60">
                  <c:v>159.73494880914257</c:v>
                </c:pt>
                <c:pt idx="61">
                  <c:v>159.703559551848</c:v>
                </c:pt>
                <c:pt idx="62">
                  <c:v>159.67217029455344</c:v>
                </c:pt>
                <c:pt idx="63">
                  <c:v>159.6407810372589</c:v>
                </c:pt>
                <c:pt idx="64">
                  <c:v>159.60939177996434</c:v>
                </c:pt>
                <c:pt idx="65">
                  <c:v>159.57800252266978</c:v>
                </c:pt>
                <c:pt idx="66">
                  <c:v>159.54661326537521</c:v>
                </c:pt>
                <c:pt idx="67">
                  <c:v>159.51522400808068</c:v>
                </c:pt>
                <c:pt idx="68">
                  <c:v>159.48383475078612</c:v>
                </c:pt>
                <c:pt idx="69">
                  <c:v>159.45244549349155</c:v>
                </c:pt>
                <c:pt idx="70">
                  <c:v>159.42105623619699</c:v>
                </c:pt>
                <c:pt idx="71">
                  <c:v>159.38966697890245</c:v>
                </c:pt>
                <c:pt idx="72">
                  <c:v>159.35827772160789</c:v>
                </c:pt>
                <c:pt idx="73">
                  <c:v>159.32688846431333</c:v>
                </c:pt>
                <c:pt idx="74">
                  <c:v>159.29549920701876</c:v>
                </c:pt>
                <c:pt idx="75">
                  <c:v>159.26410994972423</c:v>
                </c:pt>
                <c:pt idx="76">
                  <c:v>159.23272069242967</c:v>
                </c:pt>
                <c:pt idx="77">
                  <c:v>159.2013314351351</c:v>
                </c:pt>
                <c:pt idx="78">
                  <c:v>159.16994217784057</c:v>
                </c:pt>
                <c:pt idx="79">
                  <c:v>159.138552920546</c:v>
                </c:pt>
                <c:pt idx="80">
                  <c:v>159.10716366325144</c:v>
                </c:pt>
                <c:pt idx="81">
                  <c:v>159.07577440595688</c:v>
                </c:pt>
                <c:pt idx="82">
                  <c:v>159.04438514866234</c:v>
                </c:pt>
                <c:pt idx="83">
                  <c:v>159.01299589136778</c:v>
                </c:pt>
                <c:pt idx="84">
                  <c:v>158.98160663407322</c:v>
                </c:pt>
                <c:pt idx="85">
                  <c:v>158.95021737677865</c:v>
                </c:pt>
                <c:pt idx="86">
                  <c:v>158.91882811948412</c:v>
                </c:pt>
                <c:pt idx="87">
                  <c:v>158.88743886218955</c:v>
                </c:pt>
                <c:pt idx="88">
                  <c:v>158.85604960489499</c:v>
                </c:pt>
                <c:pt idx="89">
                  <c:v>158.82466034760043</c:v>
                </c:pt>
                <c:pt idx="90">
                  <c:v>158.79327109030589</c:v>
                </c:pt>
                <c:pt idx="91">
                  <c:v>158.76188183301133</c:v>
                </c:pt>
                <c:pt idx="92">
                  <c:v>158.73049257571677</c:v>
                </c:pt>
                <c:pt idx="93">
                  <c:v>158.6991033184222</c:v>
                </c:pt>
                <c:pt idx="94">
                  <c:v>158.66771406112767</c:v>
                </c:pt>
                <c:pt idx="95">
                  <c:v>158.63632480383311</c:v>
                </c:pt>
                <c:pt idx="96">
                  <c:v>158.60493554653854</c:v>
                </c:pt>
                <c:pt idx="97">
                  <c:v>158.57354628924398</c:v>
                </c:pt>
                <c:pt idx="98">
                  <c:v>158.54215703194944</c:v>
                </c:pt>
                <c:pt idx="99">
                  <c:v>158.51076777465488</c:v>
                </c:pt>
                <c:pt idx="100">
                  <c:v>158.47937851736032</c:v>
                </c:pt>
                <c:pt idx="101">
                  <c:v>158.44798926006575</c:v>
                </c:pt>
                <c:pt idx="102">
                  <c:v>158.41660000277122</c:v>
                </c:pt>
                <c:pt idx="103">
                  <c:v>158.38521074547666</c:v>
                </c:pt>
                <c:pt idx="104">
                  <c:v>158.35382148818209</c:v>
                </c:pt>
                <c:pt idx="105">
                  <c:v>158.32243223088756</c:v>
                </c:pt>
                <c:pt idx="106">
                  <c:v>158.29104297359299</c:v>
                </c:pt>
                <c:pt idx="107">
                  <c:v>158.25965371629843</c:v>
                </c:pt>
                <c:pt idx="108">
                  <c:v>158.22826445900387</c:v>
                </c:pt>
                <c:pt idx="109">
                  <c:v>158.19687520170933</c:v>
                </c:pt>
                <c:pt idx="110">
                  <c:v>158.16548594441477</c:v>
                </c:pt>
                <c:pt idx="111">
                  <c:v>158.13409668712021</c:v>
                </c:pt>
                <c:pt idx="112">
                  <c:v>158.10270742982564</c:v>
                </c:pt>
                <c:pt idx="113">
                  <c:v>158.07131817253111</c:v>
                </c:pt>
                <c:pt idx="114">
                  <c:v>158.03992891523654</c:v>
                </c:pt>
                <c:pt idx="115">
                  <c:v>158.00853965794198</c:v>
                </c:pt>
                <c:pt idx="116">
                  <c:v>157.97715040064742</c:v>
                </c:pt>
                <c:pt idx="117">
                  <c:v>157.94576114335288</c:v>
                </c:pt>
                <c:pt idx="118">
                  <c:v>157.91437188605832</c:v>
                </c:pt>
                <c:pt idx="119">
                  <c:v>157.88298262876376</c:v>
                </c:pt>
                <c:pt idx="120">
                  <c:v>157.85159337146919</c:v>
                </c:pt>
                <c:pt idx="121">
                  <c:v>157.82020411417466</c:v>
                </c:pt>
                <c:pt idx="122">
                  <c:v>157.78881485688009</c:v>
                </c:pt>
                <c:pt idx="123">
                  <c:v>157.75742559958553</c:v>
                </c:pt>
                <c:pt idx="124">
                  <c:v>157.72603634229097</c:v>
                </c:pt>
                <c:pt idx="125">
                  <c:v>157.69464708499643</c:v>
                </c:pt>
                <c:pt idx="126">
                  <c:v>157.66325782770187</c:v>
                </c:pt>
                <c:pt idx="127">
                  <c:v>157.63186857040731</c:v>
                </c:pt>
                <c:pt idx="128">
                  <c:v>157.60047931311277</c:v>
                </c:pt>
                <c:pt idx="129">
                  <c:v>157.56909005581821</c:v>
                </c:pt>
                <c:pt idx="130">
                  <c:v>157.53770079852364</c:v>
                </c:pt>
                <c:pt idx="131">
                  <c:v>157.50631154122908</c:v>
                </c:pt>
                <c:pt idx="132">
                  <c:v>157.47492228393455</c:v>
                </c:pt>
                <c:pt idx="133">
                  <c:v>157.44353302663998</c:v>
                </c:pt>
                <c:pt idx="134">
                  <c:v>157.41214376934542</c:v>
                </c:pt>
                <c:pt idx="135">
                  <c:v>157.38075451205086</c:v>
                </c:pt>
                <c:pt idx="136">
                  <c:v>157.34936525475632</c:v>
                </c:pt>
                <c:pt idx="137">
                  <c:v>157.31797599746176</c:v>
                </c:pt>
                <c:pt idx="138">
                  <c:v>157.28658674016719</c:v>
                </c:pt>
                <c:pt idx="139">
                  <c:v>157.25519748287263</c:v>
                </c:pt>
                <c:pt idx="140">
                  <c:v>157.2238082255781</c:v>
                </c:pt>
                <c:pt idx="141">
                  <c:v>157.19241896828353</c:v>
                </c:pt>
                <c:pt idx="142">
                  <c:v>157.16102971098897</c:v>
                </c:pt>
                <c:pt idx="143">
                  <c:v>157.12964045369441</c:v>
                </c:pt>
                <c:pt idx="144">
                  <c:v>157.09825119639987</c:v>
                </c:pt>
                <c:pt idx="145">
                  <c:v>157.06686193910531</c:v>
                </c:pt>
                <c:pt idx="146">
                  <c:v>157.03547268181075</c:v>
                </c:pt>
                <c:pt idx="147">
                  <c:v>157.00408342451618</c:v>
                </c:pt>
                <c:pt idx="148">
                  <c:v>156.97269416722165</c:v>
                </c:pt>
                <c:pt idx="149">
                  <c:v>156.94130490992708</c:v>
                </c:pt>
                <c:pt idx="150">
                  <c:v>156.90991565263252</c:v>
                </c:pt>
                <c:pt idx="151">
                  <c:v>156.87852639533799</c:v>
                </c:pt>
                <c:pt idx="152">
                  <c:v>156.84713713804342</c:v>
                </c:pt>
                <c:pt idx="153">
                  <c:v>156.81574788074886</c:v>
                </c:pt>
                <c:pt idx="154">
                  <c:v>156.7843586234543</c:v>
                </c:pt>
                <c:pt idx="155">
                  <c:v>156.75296936615976</c:v>
                </c:pt>
                <c:pt idx="156">
                  <c:v>156.7215801088652</c:v>
                </c:pt>
                <c:pt idx="157">
                  <c:v>156.69019085157063</c:v>
                </c:pt>
                <c:pt idx="158">
                  <c:v>156.65880159427607</c:v>
                </c:pt>
                <c:pt idx="159">
                  <c:v>156.62741233698154</c:v>
                </c:pt>
                <c:pt idx="160">
                  <c:v>156.59602307968697</c:v>
                </c:pt>
                <c:pt idx="161">
                  <c:v>156.56463382239241</c:v>
                </c:pt>
                <c:pt idx="162">
                  <c:v>156.53324456509785</c:v>
                </c:pt>
                <c:pt idx="163">
                  <c:v>156.50185530780331</c:v>
                </c:pt>
                <c:pt idx="164">
                  <c:v>156.47046605050875</c:v>
                </c:pt>
                <c:pt idx="165">
                  <c:v>156.43907679321418</c:v>
                </c:pt>
                <c:pt idx="166">
                  <c:v>156.40768753591962</c:v>
                </c:pt>
                <c:pt idx="167">
                  <c:v>156.37629827862509</c:v>
                </c:pt>
                <c:pt idx="168">
                  <c:v>156.34490902133052</c:v>
                </c:pt>
                <c:pt idx="169">
                  <c:v>156.31351976403596</c:v>
                </c:pt>
                <c:pt idx="170">
                  <c:v>156.2821305067414</c:v>
                </c:pt>
                <c:pt idx="171">
                  <c:v>156.25074124944686</c:v>
                </c:pt>
                <c:pt idx="172">
                  <c:v>156.2193519921523</c:v>
                </c:pt>
                <c:pt idx="173">
                  <c:v>156.18796273485773</c:v>
                </c:pt>
                <c:pt idx="174">
                  <c:v>156.15657347756317</c:v>
                </c:pt>
                <c:pt idx="175">
                  <c:v>156.12518422026864</c:v>
                </c:pt>
                <c:pt idx="176">
                  <c:v>156.09379496297407</c:v>
                </c:pt>
                <c:pt idx="177">
                  <c:v>156.06240570567951</c:v>
                </c:pt>
                <c:pt idx="178">
                  <c:v>156.03101644838495</c:v>
                </c:pt>
                <c:pt idx="179">
                  <c:v>155.99962719109041</c:v>
                </c:pt>
                <c:pt idx="180">
                  <c:v>155.96823793379585</c:v>
                </c:pt>
                <c:pt idx="181">
                  <c:v>155.93684867650128</c:v>
                </c:pt>
                <c:pt idx="182">
                  <c:v>155.90545941920675</c:v>
                </c:pt>
                <c:pt idx="183">
                  <c:v>155.87407016191219</c:v>
                </c:pt>
                <c:pt idx="184">
                  <c:v>155.84268090461762</c:v>
                </c:pt>
                <c:pt idx="185">
                  <c:v>155.81129164732306</c:v>
                </c:pt>
                <c:pt idx="186">
                  <c:v>155.77990239002852</c:v>
                </c:pt>
                <c:pt idx="187">
                  <c:v>155.74851313273396</c:v>
                </c:pt>
                <c:pt idx="188">
                  <c:v>155.7171238754394</c:v>
                </c:pt>
                <c:pt idx="189">
                  <c:v>155.68573461814483</c:v>
                </c:pt>
                <c:pt idx="190">
                  <c:v>155.6543453608503</c:v>
                </c:pt>
                <c:pt idx="191">
                  <c:v>155.62295610355574</c:v>
                </c:pt>
                <c:pt idx="192">
                  <c:v>155.59156684626117</c:v>
                </c:pt>
                <c:pt idx="193">
                  <c:v>155.56017758896661</c:v>
                </c:pt>
                <c:pt idx="194">
                  <c:v>155.52878833167208</c:v>
                </c:pt>
                <c:pt idx="195">
                  <c:v>155.49739907437751</c:v>
                </c:pt>
                <c:pt idx="196">
                  <c:v>155.46600981708295</c:v>
                </c:pt>
                <c:pt idx="197">
                  <c:v>155.43462055978839</c:v>
                </c:pt>
                <c:pt idx="198">
                  <c:v>155.40323130249385</c:v>
                </c:pt>
                <c:pt idx="199">
                  <c:v>155.37184204519929</c:v>
                </c:pt>
                <c:pt idx="200">
                  <c:v>155.34045278790472</c:v>
                </c:pt>
                <c:pt idx="201">
                  <c:v>155.30906353061016</c:v>
                </c:pt>
                <c:pt idx="202">
                  <c:v>155.27767427331563</c:v>
                </c:pt>
                <c:pt idx="203">
                  <c:v>155.24628501602106</c:v>
                </c:pt>
                <c:pt idx="204">
                  <c:v>155.2148957587265</c:v>
                </c:pt>
                <c:pt idx="205">
                  <c:v>155.18350650143196</c:v>
                </c:pt>
                <c:pt idx="206">
                  <c:v>155.1521172441374</c:v>
                </c:pt>
                <c:pt idx="207">
                  <c:v>155.12072798684284</c:v>
                </c:pt>
                <c:pt idx="208">
                  <c:v>155.08933872954827</c:v>
                </c:pt>
                <c:pt idx="209">
                  <c:v>155.05794947225374</c:v>
                </c:pt>
                <c:pt idx="210">
                  <c:v>155.02656021495918</c:v>
                </c:pt>
                <c:pt idx="211">
                  <c:v>154.99517095766461</c:v>
                </c:pt>
                <c:pt idx="212">
                  <c:v>154.96378170037005</c:v>
                </c:pt>
                <c:pt idx="213">
                  <c:v>154.93239244307551</c:v>
                </c:pt>
                <c:pt idx="214">
                  <c:v>154.90100318578095</c:v>
                </c:pt>
                <c:pt idx="215">
                  <c:v>154.86961392848639</c:v>
                </c:pt>
                <c:pt idx="216">
                  <c:v>154.83822467119182</c:v>
                </c:pt>
                <c:pt idx="217">
                  <c:v>154.80683541389729</c:v>
                </c:pt>
                <c:pt idx="218">
                  <c:v>154.77544615660273</c:v>
                </c:pt>
                <c:pt idx="219">
                  <c:v>154.74405689930816</c:v>
                </c:pt>
                <c:pt idx="220">
                  <c:v>154.7126676420136</c:v>
                </c:pt>
                <c:pt idx="221">
                  <c:v>154.68127838471906</c:v>
                </c:pt>
                <c:pt idx="222">
                  <c:v>154.6498891274245</c:v>
                </c:pt>
                <c:pt idx="223">
                  <c:v>154.61849987012994</c:v>
                </c:pt>
                <c:pt idx="224">
                  <c:v>154.58711061283537</c:v>
                </c:pt>
                <c:pt idx="225">
                  <c:v>154.55572135554084</c:v>
                </c:pt>
                <c:pt idx="226">
                  <c:v>154.52433209824628</c:v>
                </c:pt>
                <c:pt idx="227">
                  <c:v>154.49294284095171</c:v>
                </c:pt>
                <c:pt idx="228">
                  <c:v>154.46155358365718</c:v>
                </c:pt>
                <c:pt idx="229">
                  <c:v>154.43016432636261</c:v>
                </c:pt>
                <c:pt idx="230">
                  <c:v>154.39877506906805</c:v>
                </c:pt>
                <c:pt idx="231">
                  <c:v>154.36738581177349</c:v>
                </c:pt>
                <c:pt idx="232">
                  <c:v>154.33599655447895</c:v>
                </c:pt>
                <c:pt idx="233">
                  <c:v>154.30460729718439</c:v>
                </c:pt>
                <c:pt idx="234">
                  <c:v>154.27321803988983</c:v>
                </c:pt>
                <c:pt idx="235">
                  <c:v>154.24182878259526</c:v>
                </c:pt>
                <c:pt idx="236">
                  <c:v>154.21043952530073</c:v>
                </c:pt>
                <c:pt idx="237">
                  <c:v>154.17905026800616</c:v>
                </c:pt>
                <c:pt idx="238">
                  <c:v>154.1476610107116</c:v>
                </c:pt>
                <c:pt idx="239">
                  <c:v>154.11627175341704</c:v>
                </c:pt>
                <c:pt idx="240">
                  <c:v>154.0848824961225</c:v>
                </c:pt>
                <c:pt idx="241">
                  <c:v>154.05349323882794</c:v>
                </c:pt>
                <c:pt idx="242">
                  <c:v>154.02210398153338</c:v>
                </c:pt>
                <c:pt idx="243">
                  <c:v>153.99071472423881</c:v>
                </c:pt>
                <c:pt idx="244">
                  <c:v>153.95932546694428</c:v>
                </c:pt>
                <c:pt idx="245">
                  <c:v>153.92793620964972</c:v>
                </c:pt>
                <c:pt idx="246">
                  <c:v>153.89654695235515</c:v>
                </c:pt>
                <c:pt idx="247">
                  <c:v>153.86515769506059</c:v>
                </c:pt>
                <c:pt idx="248">
                  <c:v>153.83376843776605</c:v>
                </c:pt>
                <c:pt idx="249">
                  <c:v>153.80237918047149</c:v>
                </c:pt>
                <c:pt idx="250">
                  <c:v>153.77098992317693</c:v>
                </c:pt>
                <c:pt idx="251">
                  <c:v>153.73960066588236</c:v>
                </c:pt>
                <c:pt idx="252">
                  <c:v>153.70821140858783</c:v>
                </c:pt>
                <c:pt idx="253">
                  <c:v>153.67682215129327</c:v>
                </c:pt>
                <c:pt idx="254">
                  <c:v>153.6454328939987</c:v>
                </c:pt>
                <c:pt idx="255">
                  <c:v>153.61404363670414</c:v>
                </c:pt>
                <c:pt idx="256">
                  <c:v>153.5826543794096</c:v>
                </c:pt>
              </c:numCache>
            </c:numRef>
          </c:xVal>
          <c:yVal>
            <c:numRef>
              <c:f>'Part 3'!$CH$2:$CH$253</c:f>
              <c:numCache>
                <c:formatCode>0.00</c:formatCode>
                <c:ptCount val="252"/>
                <c:pt idx="0">
                  <c:v>15.411068753184082</c:v>
                </c:pt>
                <c:pt idx="1">
                  <c:v>15.071227010478623</c:v>
                </c:pt>
                <c:pt idx="2">
                  <c:v>16.255387267773187</c:v>
                </c:pt>
                <c:pt idx="3">
                  <c:v>16.228182525067751</c:v>
                </c:pt>
                <c:pt idx="4">
                  <c:v>14.885060782362302</c:v>
                </c:pt>
                <c:pt idx="5">
                  <c:v>16.97820203965685</c:v>
                </c:pt>
                <c:pt idx="6">
                  <c:v>15.095101296951412</c:v>
                </c:pt>
                <c:pt idx="7">
                  <c:v>15.440669554245972</c:v>
                </c:pt>
                <c:pt idx="8">
                  <c:v>12.624890811540553</c:v>
                </c:pt>
                <c:pt idx="9">
                  <c:v>11.978835068835082</c:v>
                </c:pt>
                <c:pt idx="10">
                  <c:v>12.265489326129625</c:v>
                </c:pt>
                <c:pt idx="11">
                  <c:v>12.021975583424194</c:v>
                </c:pt>
                <c:pt idx="12">
                  <c:v>14.026753840718754</c:v>
                </c:pt>
                <c:pt idx="13">
                  <c:v>14.941749098013304</c:v>
                </c:pt>
                <c:pt idx="14">
                  <c:v>14.118997355307869</c:v>
                </c:pt>
                <c:pt idx="15">
                  <c:v>9.9974476126024285</c:v>
                </c:pt>
                <c:pt idx="16">
                  <c:v>8.2910588698970002</c:v>
                </c:pt>
                <c:pt idx="17">
                  <c:v>8.9704281271915249</c:v>
                </c:pt>
                <c:pt idx="18">
                  <c:v>9.7872323844860887</c:v>
                </c:pt>
                <c:pt idx="19">
                  <c:v>11.242236641780664</c:v>
                </c:pt>
                <c:pt idx="20">
                  <c:v>10.321278899075224</c:v>
                </c:pt>
                <c:pt idx="21">
                  <c:v>9.9108501563697473</c:v>
                </c:pt>
                <c:pt idx="22">
                  <c:v>11.87635141366431</c:v>
                </c:pt>
                <c:pt idx="23">
                  <c:v>13.262629670958887</c:v>
                </c:pt>
                <c:pt idx="24">
                  <c:v>12.891476928253439</c:v>
                </c:pt>
                <c:pt idx="25">
                  <c:v>12.353423185547967</c:v>
                </c:pt>
                <c:pt idx="26">
                  <c:v>12.67935344284254</c:v>
                </c:pt>
                <c:pt idx="27">
                  <c:v>10.688266700137092</c:v>
                </c:pt>
                <c:pt idx="28">
                  <c:v>12.545781957431643</c:v>
                </c:pt>
                <c:pt idx="29">
                  <c:v>12.488807214726194</c:v>
                </c:pt>
                <c:pt idx="30">
                  <c:v>12.539834472020772</c:v>
                </c:pt>
                <c:pt idx="31">
                  <c:v>12.453410729315323</c:v>
                </c:pt>
                <c:pt idx="32">
                  <c:v>13.044415986609863</c:v>
                </c:pt>
                <c:pt idx="33">
                  <c:v>12.683105243904436</c:v>
                </c:pt>
                <c:pt idx="34">
                  <c:v>12.655549501198976</c:v>
                </c:pt>
                <c:pt idx="35">
                  <c:v>13.256381758493546</c:v>
                </c:pt>
                <c:pt idx="36">
                  <c:v>17.008749015788084</c:v>
                </c:pt>
                <c:pt idx="37">
                  <c:v>15.145301273082652</c:v>
                </c:pt>
                <c:pt idx="38">
                  <c:v>13.851281530377207</c:v>
                </c:pt>
                <c:pt idx="39">
                  <c:v>13.980845787671768</c:v>
                </c:pt>
                <c:pt idx="40">
                  <c:v>14.159498044966313</c:v>
                </c:pt>
                <c:pt idx="41">
                  <c:v>15.477035302260873</c:v>
                </c:pt>
                <c:pt idx="42">
                  <c:v>15.12550555955545</c:v>
                </c:pt>
                <c:pt idx="43">
                  <c:v>17.699725816849991</c:v>
                </c:pt>
                <c:pt idx="44">
                  <c:v>16.926046074144523</c:v>
                </c:pt>
                <c:pt idx="45">
                  <c:v>17.232338331439109</c:v>
                </c:pt>
                <c:pt idx="46">
                  <c:v>18.765863588733652</c:v>
                </c:pt>
                <c:pt idx="47">
                  <c:v>19.74958384602823</c:v>
                </c:pt>
                <c:pt idx="48">
                  <c:v>17.522871103322757</c:v>
                </c:pt>
                <c:pt idx="49">
                  <c:v>16.69029236061732</c:v>
                </c:pt>
                <c:pt idx="50">
                  <c:v>16.260255617911895</c:v>
                </c:pt>
                <c:pt idx="51">
                  <c:v>13.886264875206422</c:v>
                </c:pt>
                <c:pt idx="52">
                  <c:v>10.393026132500978</c:v>
                </c:pt>
                <c:pt idx="53">
                  <c:v>12.309471389795561</c:v>
                </c:pt>
                <c:pt idx="54">
                  <c:v>12.547021647090105</c:v>
                </c:pt>
                <c:pt idx="55">
                  <c:v>15.199764904384637</c:v>
                </c:pt>
                <c:pt idx="56">
                  <c:v>10.204420161679224</c:v>
                </c:pt>
                <c:pt idx="57">
                  <c:v>8.3704374189737791</c:v>
                </c:pt>
                <c:pt idx="58">
                  <c:v>12.220964676268324</c:v>
                </c:pt>
                <c:pt idx="59">
                  <c:v>13.911548933562869</c:v>
                </c:pt>
                <c:pt idx="60">
                  <c:v>13.402975190857433</c:v>
                </c:pt>
                <c:pt idx="61">
                  <c:v>12.383827448152005</c:v>
                </c:pt>
                <c:pt idx="62">
                  <c:v>14.054819705446562</c:v>
                </c:pt>
                <c:pt idx="63">
                  <c:v>16.246135962741107</c:v>
                </c:pt>
                <c:pt idx="64">
                  <c:v>18.270537220035663</c:v>
                </c:pt>
                <c:pt idx="65">
                  <c:v>17.261246477330218</c:v>
                </c:pt>
                <c:pt idx="66">
                  <c:v>17.97007973462479</c:v>
                </c:pt>
                <c:pt idx="67">
                  <c:v>16.636768991919325</c:v>
                </c:pt>
                <c:pt idx="68">
                  <c:v>18.081930249213883</c:v>
                </c:pt>
                <c:pt idx="69">
                  <c:v>17.956245506508452</c:v>
                </c:pt>
                <c:pt idx="70">
                  <c:v>17.182565763803012</c:v>
                </c:pt>
                <c:pt idx="71">
                  <c:v>12.687924021097558</c:v>
                </c:pt>
                <c:pt idx="72">
                  <c:v>5.3853742783921064</c:v>
                </c:pt>
                <c:pt idx="73">
                  <c:v>4.8080295356866714</c:v>
                </c:pt>
                <c:pt idx="74">
                  <c:v>-1.803739207018765</c:v>
                </c:pt>
                <c:pt idx="75">
                  <c:v>0.81384705027576842</c:v>
                </c:pt>
                <c:pt idx="76">
                  <c:v>2.888556307570326</c:v>
                </c:pt>
                <c:pt idx="77">
                  <c:v>0.60024356486491115</c:v>
                </c:pt>
                <c:pt idx="78">
                  <c:v>9.8116708221594422</c:v>
                </c:pt>
                <c:pt idx="79">
                  <c:v>3.6539270794540073</c:v>
                </c:pt>
                <c:pt idx="80">
                  <c:v>2.8068073367485624</c:v>
                </c:pt>
                <c:pt idx="81">
                  <c:v>-8.1877124059568871</c:v>
                </c:pt>
                <c:pt idx="82">
                  <c:v>0.55977085133764604</c:v>
                </c:pt>
                <c:pt idx="83">
                  <c:v>-7.6017718913677754</c:v>
                </c:pt>
                <c:pt idx="84">
                  <c:v>-25.87120963407321</c:v>
                </c:pt>
                <c:pt idx="85">
                  <c:v>-11.467643376778653</c:v>
                </c:pt>
                <c:pt idx="86">
                  <c:v>-25.393849119484116</c:v>
                </c:pt>
                <c:pt idx="87">
                  <c:v>-28.787691862189547</c:v>
                </c:pt>
                <c:pt idx="88">
                  <c:v>-40.789048604894987</c:v>
                </c:pt>
                <c:pt idx="89">
                  <c:v>-41.399275347600422</c:v>
                </c:pt>
                <c:pt idx="90">
                  <c:v>-47.744550090305893</c:v>
                </c:pt>
                <c:pt idx="91">
                  <c:v>-56.241709833011328</c:v>
                </c:pt>
                <c:pt idx="92">
                  <c:v>-40.762207575716772</c:v>
                </c:pt>
                <c:pt idx="93">
                  <c:v>-30.721625318422198</c:v>
                </c:pt>
                <c:pt idx="94">
                  <c:v>-23.040227061127666</c:v>
                </c:pt>
                <c:pt idx="95">
                  <c:v>-29.059725803833118</c:v>
                </c:pt>
                <c:pt idx="96">
                  <c:v>-28.554550546538536</c:v>
                </c:pt>
                <c:pt idx="97">
                  <c:v>-26.509474289243968</c:v>
                </c:pt>
                <c:pt idx="98">
                  <c:v>-30.505444031949452</c:v>
                </c:pt>
                <c:pt idx="99">
                  <c:v>-27.414057774654879</c:v>
                </c:pt>
                <c:pt idx="100">
                  <c:v>-32.673516517360312</c:v>
                </c:pt>
                <c:pt idx="101">
                  <c:v>-26.176627260065743</c:v>
                </c:pt>
                <c:pt idx="102">
                  <c:v>-24.921239002771216</c:v>
                </c:pt>
                <c:pt idx="103">
                  <c:v>-20.931566745476658</c:v>
                </c:pt>
                <c:pt idx="104">
                  <c:v>-16.774109488182091</c:v>
                </c:pt>
                <c:pt idx="105">
                  <c:v>-22.161894230887555</c:v>
                </c:pt>
                <c:pt idx="106">
                  <c:v>-19.514705973592982</c:v>
                </c:pt>
                <c:pt idx="107">
                  <c:v>-25.159128716298426</c:v>
                </c:pt>
                <c:pt idx="108">
                  <c:v>-27.605354459003877</c:v>
                </c:pt>
                <c:pt idx="109">
                  <c:v>-21.661230201709344</c:v>
                </c:pt>
                <c:pt idx="110">
                  <c:v>-24.216053944414767</c:v>
                </c:pt>
                <c:pt idx="111">
                  <c:v>-27.836931687120199</c:v>
                </c:pt>
                <c:pt idx="112">
                  <c:v>-26.788834429825641</c:v>
                </c:pt>
                <c:pt idx="113">
                  <c:v>-25.128737172531117</c:v>
                </c:pt>
                <c:pt idx="114">
                  <c:v>-24.268169915236541</c:v>
                </c:pt>
                <c:pt idx="115">
                  <c:v>-19.933023657941987</c:v>
                </c:pt>
                <c:pt idx="116">
                  <c:v>-17.058800400647414</c:v>
                </c:pt>
                <c:pt idx="117">
                  <c:v>-13.67125514335288</c:v>
                </c:pt>
                <c:pt idx="118">
                  <c:v>-17.844928886058312</c:v>
                </c:pt>
                <c:pt idx="119">
                  <c:v>-22.403551628763751</c:v>
                </c:pt>
                <c:pt idx="120">
                  <c:v>-24.395706371469203</c:v>
                </c:pt>
                <c:pt idx="121">
                  <c:v>-24.690062114174651</c:v>
                </c:pt>
                <c:pt idx="122">
                  <c:v>-26.465068856880094</c:v>
                </c:pt>
                <c:pt idx="123">
                  <c:v>-26.68046059958553</c:v>
                </c:pt>
                <c:pt idx="124">
                  <c:v>-22.582207342290957</c:v>
                </c:pt>
                <c:pt idx="125">
                  <c:v>-25.146887084996422</c:v>
                </c:pt>
                <c:pt idx="126">
                  <c:v>-31.719211827701869</c:v>
                </c:pt>
                <c:pt idx="127">
                  <c:v>-36.248216570407308</c:v>
                </c:pt>
                <c:pt idx="128">
                  <c:v>-31.264824313112769</c:v>
                </c:pt>
                <c:pt idx="129">
                  <c:v>-32.864210055818205</c:v>
                </c:pt>
                <c:pt idx="130">
                  <c:v>-22.262599798523638</c:v>
                </c:pt>
                <c:pt idx="131">
                  <c:v>-26.298212541229077</c:v>
                </c:pt>
                <c:pt idx="132">
                  <c:v>-22.209755283934555</c:v>
                </c:pt>
                <c:pt idx="133">
                  <c:v>-20.527700026639991</c:v>
                </c:pt>
                <c:pt idx="134">
                  <c:v>-19.014697769345418</c:v>
                </c:pt>
                <c:pt idx="135">
                  <c:v>-13.255693512050868</c:v>
                </c:pt>
                <c:pt idx="136">
                  <c:v>-9.5948332547563098</c:v>
                </c:pt>
                <c:pt idx="137">
                  <c:v>-10.587644997461751</c:v>
                </c:pt>
                <c:pt idx="138">
                  <c:v>-12.256633740167189</c:v>
                </c:pt>
                <c:pt idx="139">
                  <c:v>-11.897104482872635</c:v>
                </c:pt>
                <c:pt idx="140">
                  <c:v>-9.7079082255781088</c:v>
                </c:pt>
                <c:pt idx="141">
                  <c:v>-4.7046259682835228</c:v>
                </c:pt>
                <c:pt idx="142">
                  <c:v>-2.1276437109889628</c:v>
                </c:pt>
                <c:pt idx="143">
                  <c:v>3.3330365463056069</c:v>
                </c:pt>
                <c:pt idx="144">
                  <c:v>4.9057158036001169</c:v>
                </c:pt>
                <c:pt idx="145">
                  <c:v>0.14421306089468544</c:v>
                </c:pt>
                <c:pt idx="146">
                  <c:v>-3.7820246818107535</c:v>
                </c:pt>
                <c:pt idx="147">
                  <c:v>-14.370584424516181</c:v>
                </c:pt>
                <c:pt idx="148">
                  <c:v>-13.27521516722166</c:v>
                </c:pt>
                <c:pt idx="149">
                  <c:v>-11.135731909927074</c:v>
                </c:pt>
                <c:pt idx="150">
                  <c:v>-8.6382936526325125</c:v>
                </c:pt>
                <c:pt idx="151">
                  <c:v>-9.3725753953379751</c:v>
                </c:pt>
                <c:pt idx="152">
                  <c:v>-9.4505761380434308</c:v>
                </c:pt>
                <c:pt idx="153">
                  <c:v>-12.26310488074887</c:v>
                </c:pt>
                <c:pt idx="154">
                  <c:v>-12.659297623454307</c:v>
                </c:pt>
                <c:pt idx="155">
                  <c:v>-12.707452366159771</c:v>
                </c:pt>
                <c:pt idx="156">
                  <c:v>-19.149452108865205</c:v>
                </c:pt>
                <c:pt idx="157">
                  <c:v>-15.031178851570644</c:v>
                </c:pt>
                <c:pt idx="158">
                  <c:v>-19.22589459427607</c:v>
                </c:pt>
                <c:pt idx="159">
                  <c:v>-14.19278133698154</c:v>
                </c:pt>
                <c:pt idx="160">
                  <c:v>-12.819000079686958</c:v>
                </c:pt>
                <c:pt idx="161">
                  <c:v>-13.264905822392421</c:v>
                </c:pt>
                <c:pt idx="162">
                  <c:v>-12.32862456509784</c:v>
                </c:pt>
                <c:pt idx="163">
                  <c:v>-10.109613307803301</c:v>
                </c:pt>
                <c:pt idx="164">
                  <c:v>-12.315574050508758</c:v>
                </c:pt>
                <c:pt idx="165">
                  <c:v>-11.667668793214176</c:v>
                </c:pt>
                <c:pt idx="166">
                  <c:v>-15.832553535919629</c:v>
                </c:pt>
                <c:pt idx="167">
                  <c:v>-14.727235278625074</c:v>
                </c:pt>
                <c:pt idx="168">
                  <c:v>-13.661681021330509</c:v>
                </c:pt>
                <c:pt idx="169">
                  <c:v>-9.046216764035961</c:v>
                </c:pt>
                <c:pt idx="170">
                  <c:v>-5.2063705067413935</c:v>
                </c:pt>
                <c:pt idx="171">
                  <c:v>-4.0314422494468545</c:v>
                </c:pt>
                <c:pt idx="172">
                  <c:v>-2.0908419921522921</c:v>
                </c:pt>
                <c:pt idx="173">
                  <c:v>-3.6604057348577328</c:v>
                </c:pt>
                <c:pt idx="174">
                  <c:v>-2.2667264775631679</c:v>
                </c:pt>
                <c:pt idx="175">
                  <c:v>-2.3844922202686405</c:v>
                </c:pt>
                <c:pt idx="176">
                  <c:v>-3.2281639629740653</c:v>
                </c:pt>
                <c:pt idx="177">
                  <c:v>-7.4725927056795172</c:v>
                </c:pt>
                <c:pt idx="178">
                  <c:v>-6.1186784483849408</c:v>
                </c:pt>
                <c:pt idx="179">
                  <c:v>-4.8443231910904103</c:v>
                </c:pt>
                <c:pt idx="180">
                  <c:v>-2.2573769337958538</c:v>
                </c:pt>
                <c:pt idx="181">
                  <c:v>-7.6155136765012799</c:v>
                </c:pt>
                <c:pt idx="182">
                  <c:v>-7.3753084192067604</c:v>
                </c:pt>
                <c:pt idx="183">
                  <c:v>-8.1791851619121871</c:v>
                </c:pt>
                <c:pt idx="184">
                  <c:v>-9.3410479046176249</c:v>
                </c:pt>
                <c:pt idx="185">
                  <c:v>-5.8392766473230608</c:v>
                </c:pt>
                <c:pt idx="186">
                  <c:v>-4.0577953900285308</c:v>
                </c:pt>
                <c:pt idx="187">
                  <c:v>-1.5106281327339559</c:v>
                </c:pt>
                <c:pt idx="188">
                  <c:v>2.8164611245605897</c:v>
                </c:pt>
                <c:pt idx="189">
                  <c:v>3.6930803818551681</c:v>
                </c:pt>
                <c:pt idx="190">
                  <c:v>3.5156526391496925</c:v>
                </c:pt>
                <c:pt idx="191">
                  <c:v>3.3570398964442631</c:v>
                </c:pt>
                <c:pt idx="192">
                  <c:v>4.6884321537388303</c:v>
                </c:pt>
                <c:pt idx="193">
                  <c:v>3.1998174110333935</c:v>
                </c:pt>
                <c:pt idx="194">
                  <c:v>1.8512166683279361</c:v>
                </c:pt>
                <c:pt idx="195">
                  <c:v>1.3526069256224957</c:v>
                </c:pt>
                <c:pt idx="196">
                  <c:v>0.70398818291704401</c:v>
                </c:pt>
                <c:pt idx="197">
                  <c:v>2.0653794402116148</c:v>
                </c:pt>
                <c:pt idx="198">
                  <c:v>3.9667636975061384</c:v>
                </c:pt>
                <c:pt idx="199">
                  <c:v>9.1581569548007167</c:v>
                </c:pt>
                <c:pt idx="200">
                  <c:v>9.9695452120952837</c:v>
                </c:pt>
                <c:pt idx="201">
                  <c:v>10.680941469389836</c:v>
                </c:pt>
                <c:pt idx="202">
                  <c:v>13.102330726684386</c:v>
                </c:pt>
                <c:pt idx="203">
                  <c:v>10.303717983978942</c:v>
                </c:pt>
                <c:pt idx="204">
                  <c:v>12.755105241273498</c:v>
                </c:pt>
                <c:pt idx="205">
                  <c:v>17.286494498568032</c:v>
                </c:pt>
                <c:pt idx="206">
                  <c:v>11.147885755862603</c:v>
                </c:pt>
                <c:pt idx="207">
                  <c:v>11.569274013157155</c:v>
                </c:pt>
                <c:pt idx="208">
                  <c:v>9.1806652704517262</c:v>
                </c:pt>
                <c:pt idx="209">
                  <c:v>10.692050527746261</c:v>
                </c:pt>
                <c:pt idx="210">
                  <c:v>9.2434437850408244</c:v>
                </c:pt>
                <c:pt idx="211">
                  <c:v>11.454826042335384</c:v>
                </c:pt>
                <c:pt idx="212">
                  <c:v>13.506219299629947</c:v>
                </c:pt>
                <c:pt idx="213">
                  <c:v>13.36761055692449</c:v>
                </c:pt>
                <c:pt idx="214">
                  <c:v>15.098996814219049</c:v>
                </c:pt>
                <c:pt idx="215">
                  <c:v>15.470382071513626</c:v>
                </c:pt>
                <c:pt idx="216">
                  <c:v>13.861772328808172</c:v>
                </c:pt>
                <c:pt idx="217">
                  <c:v>6.5631595861026994</c:v>
                </c:pt>
                <c:pt idx="218">
                  <c:v>7.9045468433972701</c:v>
                </c:pt>
                <c:pt idx="219">
                  <c:v>4.0459361006918471</c:v>
                </c:pt>
                <c:pt idx="220">
                  <c:v>4.0473273579864042</c:v>
                </c:pt>
                <c:pt idx="221">
                  <c:v>6.808726615280932</c:v>
                </c:pt>
                <c:pt idx="222">
                  <c:v>9.9901098725754878</c:v>
                </c:pt>
                <c:pt idx="223">
                  <c:v>9.8914951298700657</c:v>
                </c:pt>
                <c:pt idx="224">
                  <c:v>10.022890387164637</c:v>
                </c:pt>
                <c:pt idx="225">
                  <c:v>9.1242716444591565</c:v>
                </c:pt>
                <c:pt idx="226">
                  <c:v>11.085668901753735</c:v>
                </c:pt>
                <c:pt idx="227">
                  <c:v>14.227058159048283</c:v>
                </c:pt>
                <c:pt idx="228">
                  <c:v>12.428445416342811</c:v>
                </c:pt>
                <c:pt idx="229">
                  <c:v>17.119838673637389</c:v>
                </c:pt>
                <c:pt idx="230">
                  <c:v>19.381223930931952</c:v>
                </c:pt>
                <c:pt idx="231">
                  <c:v>20.012619188226523</c:v>
                </c:pt>
                <c:pt idx="232">
                  <c:v>21.024004445521058</c:v>
                </c:pt>
                <c:pt idx="233">
                  <c:v>17.245395702815614</c:v>
                </c:pt>
                <c:pt idx="234">
                  <c:v>19.19678296011017</c:v>
                </c:pt>
                <c:pt idx="235">
                  <c:v>18.368172217404748</c:v>
                </c:pt>
                <c:pt idx="236">
                  <c:v>20.649561474699283</c:v>
                </c:pt>
                <c:pt idx="237">
                  <c:v>17.410945731993849</c:v>
                </c:pt>
                <c:pt idx="238">
                  <c:v>19.112333989288402</c:v>
                </c:pt>
                <c:pt idx="239">
                  <c:v>18.75372324658295</c:v>
                </c:pt>
                <c:pt idx="240">
                  <c:v>22.765123503877504</c:v>
                </c:pt>
                <c:pt idx="241">
                  <c:v>21.48649976117207</c:v>
                </c:pt>
                <c:pt idx="242">
                  <c:v>16.147894018466616</c:v>
                </c:pt>
                <c:pt idx="243">
                  <c:v>12.759285275761187</c:v>
                </c:pt>
                <c:pt idx="244">
                  <c:v>7.2006785330557079</c:v>
                </c:pt>
                <c:pt idx="245">
                  <c:v>10.672069790350292</c:v>
                </c:pt>
                <c:pt idx="246">
                  <c:v>11.053450047644844</c:v>
                </c:pt>
                <c:pt idx="247">
                  <c:v>19.744843304939423</c:v>
                </c:pt>
                <c:pt idx="248">
                  <c:v>25.376238562233937</c:v>
                </c:pt>
                <c:pt idx="249">
                  <c:v>25.107624819528496</c:v>
                </c:pt>
                <c:pt idx="250">
                  <c:v>29.509009076823077</c:v>
                </c:pt>
                <c:pt idx="251">
                  <c:v>30.530403334117636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1F-4F1D-9A90-FDF243916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665279"/>
        <c:axId val="831668159"/>
      </c:scatterChart>
      <c:valAx>
        <c:axId val="83166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68159"/>
        <c:crosses val="autoZero"/>
        <c:crossBetween val="midCat"/>
      </c:valAx>
      <c:valAx>
        <c:axId val="8316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6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Residuals vs. 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'Part 3'!$Q$2:$Q$258</c:f>
              <c:numCache>
                <c:formatCode>General</c:formatCode>
                <c:ptCount val="25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</c:numCache>
            </c:numRef>
          </c:xVal>
          <c:yVal>
            <c:numRef>
              <c:f>'Part 3'!$CH$2:$CH$253</c:f>
              <c:numCache>
                <c:formatCode>0.00</c:formatCode>
                <c:ptCount val="252"/>
                <c:pt idx="0">
                  <c:v>15.411068753184082</c:v>
                </c:pt>
                <c:pt idx="1">
                  <c:v>15.071227010478623</c:v>
                </c:pt>
                <c:pt idx="2">
                  <c:v>16.255387267773187</c:v>
                </c:pt>
                <c:pt idx="3">
                  <c:v>16.228182525067751</c:v>
                </c:pt>
                <c:pt idx="4">
                  <c:v>14.885060782362302</c:v>
                </c:pt>
                <c:pt idx="5">
                  <c:v>16.97820203965685</c:v>
                </c:pt>
                <c:pt idx="6">
                  <c:v>15.095101296951412</c:v>
                </c:pt>
                <c:pt idx="7">
                  <c:v>15.440669554245972</c:v>
                </c:pt>
                <c:pt idx="8">
                  <c:v>12.624890811540553</c:v>
                </c:pt>
                <c:pt idx="9">
                  <c:v>11.978835068835082</c:v>
                </c:pt>
                <c:pt idx="10">
                  <c:v>12.265489326129625</c:v>
                </c:pt>
                <c:pt idx="11">
                  <c:v>12.021975583424194</c:v>
                </c:pt>
                <c:pt idx="12">
                  <c:v>14.026753840718754</c:v>
                </c:pt>
                <c:pt idx="13">
                  <c:v>14.941749098013304</c:v>
                </c:pt>
                <c:pt idx="14">
                  <c:v>14.118997355307869</c:v>
                </c:pt>
                <c:pt idx="15">
                  <c:v>9.9974476126024285</c:v>
                </c:pt>
                <c:pt idx="16">
                  <c:v>8.2910588698970002</c:v>
                </c:pt>
                <c:pt idx="17">
                  <c:v>8.9704281271915249</c:v>
                </c:pt>
                <c:pt idx="18">
                  <c:v>9.7872323844860887</c:v>
                </c:pt>
                <c:pt idx="19">
                  <c:v>11.242236641780664</c:v>
                </c:pt>
                <c:pt idx="20">
                  <c:v>10.321278899075224</c:v>
                </c:pt>
                <c:pt idx="21">
                  <c:v>9.9108501563697473</c:v>
                </c:pt>
                <c:pt idx="22">
                  <c:v>11.87635141366431</c:v>
                </c:pt>
                <c:pt idx="23">
                  <c:v>13.262629670958887</c:v>
                </c:pt>
                <c:pt idx="24">
                  <c:v>12.891476928253439</c:v>
                </c:pt>
                <c:pt idx="25">
                  <c:v>12.353423185547967</c:v>
                </c:pt>
                <c:pt idx="26">
                  <c:v>12.67935344284254</c:v>
                </c:pt>
                <c:pt idx="27">
                  <c:v>10.688266700137092</c:v>
                </c:pt>
                <c:pt idx="28">
                  <c:v>12.545781957431643</c:v>
                </c:pt>
                <c:pt idx="29">
                  <c:v>12.488807214726194</c:v>
                </c:pt>
                <c:pt idx="30">
                  <c:v>12.539834472020772</c:v>
                </c:pt>
                <c:pt idx="31">
                  <c:v>12.453410729315323</c:v>
                </c:pt>
                <c:pt idx="32">
                  <c:v>13.044415986609863</c:v>
                </c:pt>
                <c:pt idx="33">
                  <c:v>12.683105243904436</c:v>
                </c:pt>
                <c:pt idx="34">
                  <c:v>12.655549501198976</c:v>
                </c:pt>
                <c:pt idx="35">
                  <c:v>13.256381758493546</c:v>
                </c:pt>
                <c:pt idx="36">
                  <c:v>17.008749015788084</c:v>
                </c:pt>
                <c:pt idx="37">
                  <c:v>15.145301273082652</c:v>
                </c:pt>
                <c:pt idx="38">
                  <c:v>13.851281530377207</c:v>
                </c:pt>
                <c:pt idx="39">
                  <c:v>13.980845787671768</c:v>
                </c:pt>
                <c:pt idx="40">
                  <c:v>14.159498044966313</c:v>
                </c:pt>
                <c:pt idx="41">
                  <c:v>15.477035302260873</c:v>
                </c:pt>
                <c:pt idx="42">
                  <c:v>15.12550555955545</c:v>
                </c:pt>
                <c:pt idx="43">
                  <c:v>17.699725816849991</c:v>
                </c:pt>
                <c:pt idx="44">
                  <c:v>16.926046074144523</c:v>
                </c:pt>
                <c:pt idx="45">
                  <c:v>17.232338331439109</c:v>
                </c:pt>
                <c:pt idx="46">
                  <c:v>18.765863588733652</c:v>
                </c:pt>
                <c:pt idx="47">
                  <c:v>19.74958384602823</c:v>
                </c:pt>
                <c:pt idx="48">
                  <c:v>17.522871103322757</c:v>
                </c:pt>
                <c:pt idx="49">
                  <c:v>16.69029236061732</c:v>
                </c:pt>
                <c:pt idx="50">
                  <c:v>16.260255617911895</c:v>
                </c:pt>
                <c:pt idx="51">
                  <c:v>13.886264875206422</c:v>
                </c:pt>
                <c:pt idx="52">
                  <c:v>10.393026132500978</c:v>
                </c:pt>
                <c:pt idx="53">
                  <c:v>12.309471389795561</c:v>
                </c:pt>
                <c:pt idx="54">
                  <c:v>12.547021647090105</c:v>
                </c:pt>
                <c:pt idx="55">
                  <c:v>15.199764904384637</c:v>
                </c:pt>
                <c:pt idx="56">
                  <c:v>10.204420161679224</c:v>
                </c:pt>
                <c:pt idx="57">
                  <c:v>8.3704374189737791</c:v>
                </c:pt>
                <c:pt idx="58">
                  <c:v>12.220964676268324</c:v>
                </c:pt>
                <c:pt idx="59">
                  <c:v>13.911548933562869</c:v>
                </c:pt>
                <c:pt idx="60">
                  <c:v>13.402975190857433</c:v>
                </c:pt>
                <c:pt idx="61">
                  <c:v>12.383827448152005</c:v>
                </c:pt>
                <c:pt idx="62">
                  <c:v>14.054819705446562</c:v>
                </c:pt>
                <c:pt idx="63">
                  <c:v>16.246135962741107</c:v>
                </c:pt>
                <c:pt idx="64">
                  <c:v>18.270537220035663</c:v>
                </c:pt>
                <c:pt idx="65">
                  <c:v>17.261246477330218</c:v>
                </c:pt>
                <c:pt idx="66">
                  <c:v>17.97007973462479</c:v>
                </c:pt>
                <c:pt idx="67">
                  <c:v>16.636768991919325</c:v>
                </c:pt>
                <c:pt idx="68">
                  <c:v>18.081930249213883</c:v>
                </c:pt>
                <c:pt idx="69">
                  <c:v>17.956245506508452</c:v>
                </c:pt>
                <c:pt idx="70">
                  <c:v>17.182565763803012</c:v>
                </c:pt>
                <c:pt idx="71">
                  <c:v>12.687924021097558</c:v>
                </c:pt>
                <c:pt idx="72">
                  <c:v>5.3853742783921064</c:v>
                </c:pt>
                <c:pt idx="73">
                  <c:v>4.8080295356866714</c:v>
                </c:pt>
                <c:pt idx="74">
                  <c:v>-1.803739207018765</c:v>
                </c:pt>
                <c:pt idx="75">
                  <c:v>0.81384705027576842</c:v>
                </c:pt>
                <c:pt idx="76">
                  <c:v>2.888556307570326</c:v>
                </c:pt>
                <c:pt idx="77">
                  <c:v>0.60024356486491115</c:v>
                </c:pt>
                <c:pt idx="78">
                  <c:v>9.8116708221594422</c:v>
                </c:pt>
                <c:pt idx="79">
                  <c:v>3.6539270794540073</c:v>
                </c:pt>
                <c:pt idx="80">
                  <c:v>2.8068073367485624</c:v>
                </c:pt>
                <c:pt idx="81">
                  <c:v>-8.1877124059568871</c:v>
                </c:pt>
                <c:pt idx="82">
                  <c:v>0.55977085133764604</c:v>
                </c:pt>
                <c:pt idx="83">
                  <c:v>-7.6017718913677754</c:v>
                </c:pt>
                <c:pt idx="84">
                  <c:v>-25.87120963407321</c:v>
                </c:pt>
                <c:pt idx="85">
                  <c:v>-11.467643376778653</c:v>
                </c:pt>
                <c:pt idx="86">
                  <c:v>-25.393849119484116</c:v>
                </c:pt>
                <c:pt idx="87">
                  <c:v>-28.787691862189547</c:v>
                </c:pt>
                <c:pt idx="88">
                  <c:v>-40.789048604894987</c:v>
                </c:pt>
                <c:pt idx="89">
                  <c:v>-41.399275347600422</c:v>
                </c:pt>
                <c:pt idx="90">
                  <c:v>-47.744550090305893</c:v>
                </c:pt>
                <c:pt idx="91">
                  <c:v>-56.241709833011328</c:v>
                </c:pt>
                <c:pt idx="92">
                  <c:v>-40.762207575716772</c:v>
                </c:pt>
                <c:pt idx="93">
                  <c:v>-30.721625318422198</c:v>
                </c:pt>
                <c:pt idx="94">
                  <c:v>-23.040227061127666</c:v>
                </c:pt>
                <c:pt idx="95">
                  <c:v>-29.059725803833118</c:v>
                </c:pt>
                <c:pt idx="96">
                  <c:v>-28.554550546538536</c:v>
                </c:pt>
                <c:pt idx="97">
                  <c:v>-26.509474289243968</c:v>
                </c:pt>
                <c:pt idx="98">
                  <c:v>-30.505444031949452</c:v>
                </c:pt>
                <c:pt idx="99">
                  <c:v>-27.414057774654879</c:v>
                </c:pt>
                <c:pt idx="100">
                  <c:v>-32.673516517360312</c:v>
                </c:pt>
                <c:pt idx="101">
                  <c:v>-26.176627260065743</c:v>
                </c:pt>
                <c:pt idx="102">
                  <c:v>-24.921239002771216</c:v>
                </c:pt>
                <c:pt idx="103">
                  <c:v>-20.931566745476658</c:v>
                </c:pt>
                <c:pt idx="104">
                  <c:v>-16.774109488182091</c:v>
                </c:pt>
                <c:pt idx="105">
                  <c:v>-22.161894230887555</c:v>
                </c:pt>
                <c:pt idx="106">
                  <c:v>-19.514705973592982</c:v>
                </c:pt>
                <c:pt idx="107">
                  <c:v>-25.159128716298426</c:v>
                </c:pt>
                <c:pt idx="108">
                  <c:v>-27.605354459003877</c:v>
                </c:pt>
                <c:pt idx="109">
                  <c:v>-21.661230201709344</c:v>
                </c:pt>
                <c:pt idx="110">
                  <c:v>-24.216053944414767</c:v>
                </c:pt>
                <c:pt idx="111">
                  <c:v>-27.836931687120199</c:v>
                </c:pt>
                <c:pt idx="112">
                  <c:v>-26.788834429825641</c:v>
                </c:pt>
                <c:pt idx="113">
                  <c:v>-25.128737172531117</c:v>
                </c:pt>
                <c:pt idx="114">
                  <c:v>-24.268169915236541</c:v>
                </c:pt>
                <c:pt idx="115">
                  <c:v>-19.933023657941987</c:v>
                </c:pt>
                <c:pt idx="116">
                  <c:v>-17.058800400647414</c:v>
                </c:pt>
                <c:pt idx="117">
                  <c:v>-13.67125514335288</c:v>
                </c:pt>
                <c:pt idx="118">
                  <c:v>-17.844928886058312</c:v>
                </c:pt>
                <c:pt idx="119">
                  <c:v>-22.403551628763751</c:v>
                </c:pt>
                <c:pt idx="120">
                  <c:v>-24.395706371469203</c:v>
                </c:pt>
                <c:pt idx="121">
                  <c:v>-24.690062114174651</c:v>
                </c:pt>
                <c:pt idx="122">
                  <c:v>-26.465068856880094</c:v>
                </c:pt>
                <c:pt idx="123">
                  <c:v>-26.68046059958553</c:v>
                </c:pt>
                <c:pt idx="124">
                  <c:v>-22.582207342290957</c:v>
                </c:pt>
                <c:pt idx="125">
                  <c:v>-25.146887084996422</c:v>
                </c:pt>
                <c:pt idx="126">
                  <c:v>-31.719211827701869</c:v>
                </c:pt>
                <c:pt idx="127">
                  <c:v>-36.248216570407308</c:v>
                </c:pt>
                <c:pt idx="128">
                  <c:v>-31.264824313112769</c:v>
                </c:pt>
                <c:pt idx="129">
                  <c:v>-32.864210055818205</c:v>
                </c:pt>
                <c:pt idx="130">
                  <c:v>-22.262599798523638</c:v>
                </c:pt>
                <c:pt idx="131">
                  <c:v>-26.298212541229077</c:v>
                </c:pt>
                <c:pt idx="132">
                  <c:v>-22.209755283934555</c:v>
                </c:pt>
                <c:pt idx="133">
                  <c:v>-20.527700026639991</c:v>
                </c:pt>
                <c:pt idx="134">
                  <c:v>-19.014697769345418</c:v>
                </c:pt>
                <c:pt idx="135">
                  <c:v>-13.255693512050868</c:v>
                </c:pt>
                <c:pt idx="136">
                  <c:v>-9.5948332547563098</c:v>
                </c:pt>
                <c:pt idx="137">
                  <c:v>-10.587644997461751</c:v>
                </c:pt>
                <c:pt idx="138">
                  <c:v>-12.256633740167189</c:v>
                </c:pt>
                <c:pt idx="139">
                  <c:v>-11.897104482872635</c:v>
                </c:pt>
                <c:pt idx="140">
                  <c:v>-9.7079082255781088</c:v>
                </c:pt>
                <c:pt idx="141">
                  <c:v>-4.7046259682835228</c:v>
                </c:pt>
                <c:pt idx="142">
                  <c:v>-2.1276437109889628</c:v>
                </c:pt>
                <c:pt idx="143">
                  <c:v>3.3330365463056069</c:v>
                </c:pt>
                <c:pt idx="144">
                  <c:v>4.9057158036001169</c:v>
                </c:pt>
                <c:pt idx="145">
                  <c:v>0.14421306089468544</c:v>
                </c:pt>
                <c:pt idx="146">
                  <c:v>-3.7820246818107535</c:v>
                </c:pt>
                <c:pt idx="147">
                  <c:v>-14.370584424516181</c:v>
                </c:pt>
                <c:pt idx="148">
                  <c:v>-13.27521516722166</c:v>
                </c:pt>
                <c:pt idx="149">
                  <c:v>-11.135731909927074</c:v>
                </c:pt>
                <c:pt idx="150">
                  <c:v>-8.6382936526325125</c:v>
                </c:pt>
                <c:pt idx="151">
                  <c:v>-9.3725753953379751</c:v>
                </c:pt>
                <c:pt idx="152">
                  <c:v>-9.4505761380434308</c:v>
                </c:pt>
                <c:pt idx="153">
                  <c:v>-12.26310488074887</c:v>
                </c:pt>
                <c:pt idx="154">
                  <c:v>-12.659297623454307</c:v>
                </c:pt>
                <c:pt idx="155">
                  <c:v>-12.707452366159771</c:v>
                </c:pt>
                <c:pt idx="156">
                  <c:v>-19.149452108865205</c:v>
                </c:pt>
                <c:pt idx="157">
                  <c:v>-15.031178851570644</c:v>
                </c:pt>
                <c:pt idx="158">
                  <c:v>-19.22589459427607</c:v>
                </c:pt>
                <c:pt idx="159">
                  <c:v>-14.19278133698154</c:v>
                </c:pt>
                <c:pt idx="160">
                  <c:v>-12.819000079686958</c:v>
                </c:pt>
                <c:pt idx="161">
                  <c:v>-13.264905822392421</c:v>
                </c:pt>
                <c:pt idx="162">
                  <c:v>-12.32862456509784</c:v>
                </c:pt>
                <c:pt idx="163">
                  <c:v>-10.109613307803301</c:v>
                </c:pt>
                <c:pt idx="164">
                  <c:v>-12.315574050508758</c:v>
                </c:pt>
                <c:pt idx="165">
                  <c:v>-11.667668793214176</c:v>
                </c:pt>
                <c:pt idx="166">
                  <c:v>-15.832553535919629</c:v>
                </c:pt>
                <c:pt idx="167">
                  <c:v>-14.727235278625074</c:v>
                </c:pt>
                <c:pt idx="168">
                  <c:v>-13.661681021330509</c:v>
                </c:pt>
                <c:pt idx="169">
                  <c:v>-9.046216764035961</c:v>
                </c:pt>
                <c:pt idx="170">
                  <c:v>-5.2063705067413935</c:v>
                </c:pt>
                <c:pt idx="171">
                  <c:v>-4.0314422494468545</c:v>
                </c:pt>
                <c:pt idx="172">
                  <c:v>-2.0908419921522921</c:v>
                </c:pt>
                <c:pt idx="173">
                  <c:v>-3.6604057348577328</c:v>
                </c:pt>
                <c:pt idx="174">
                  <c:v>-2.2667264775631679</c:v>
                </c:pt>
                <c:pt idx="175">
                  <c:v>-2.3844922202686405</c:v>
                </c:pt>
                <c:pt idx="176">
                  <c:v>-3.2281639629740653</c:v>
                </c:pt>
                <c:pt idx="177">
                  <c:v>-7.4725927056795172</c:v>
                </c:pt>
                <c:pt idx="178">
                  <c:v>-6.1186784483849408</c:v>
                </c:pt>
                <c:pt idx="179">
                  <c:v>-4.8443231910904103</c:v>
                </c:pt>
                <c:pt idx="180">
                  <c:v>-2.2573769337958538</c:v>
                </c:pt>
                <c:pt idx="181">
                  <c:v>-7.6155136765012799</c:v>
                </c:pt>
                <c:pt idx="182">
                  <c:v>-7.3753084192067604</c:v>
                </c:pt>
                <c:pt idx="183">
                  <c:v>-8.1791851619121871</c:v>
                </c:pt>
                <c:pt idx="184">
                  <c:v>-9.3410479046176249</c:v>
                </c:pt>
                <c:pt idx="185">
                  <c:v>-5.8392766473230608</c:v>
                </c:pt>
                <c:pt idx="186">
                  <c:v>-4.0577953900285308</c:v>
                </c:pt>
                <c:pt idx="187">
                  <c:v>-1.5106281327339559</c:v>
                </c:pt>
                <c:pt idx="188">
                  <c:v>2.8164611245605897</c:v>
                </c:pt>
                <c:pt idx="189">
                  <c:v>3.6930803818551681</c:v>
                </c:pt>
                <c:pt idx="190">
                  <c:v>3.5156526391496925</c:v>
                </c:pt>
                <c:pt idx="191">
                  <c:v>3.3570398964442631</c:v>
                </c:pt>
                <c:pt idx="192">
                  <c:v>4.6884321537388303</c:v>
                </c:pt>
                <c:pt idx="193">
                  <c:v>3.1998174110333935</c:v>
                </c:pt>
                <c:pt idx="194">
                  <c:v>1.8512166683279361</c:v>
                </c:pt>
                <c:pt idx="195">
                  <c:v>1.3526069256224957</c:v>
                </c:pt>
                <c:pt idx="196">
                  <c:v>0.70398818291704401</c:v>
                </c:pt>
                <c:pt idx="197">
                  <c:v>2.0653794402116148</c:v>
                </c:pt>
                <c:pt idx="198">
                  <c:v>3.9667636975061384</c:v>
                </c:pt>
                <c:pt idx="199">
                  <c:v>9.1581569548007167</c:v>
                </c:pt>
                <c:pt idx="200">
                  <c:v>9.9695452120952837</c:v>
                </c:pt>
                <c:pt idx="201">
                  <c:v>10.680941469389836</c:v>
                </c:pt>
                <c:pt idx="202">
                  <c:v>13.102330726684386</c:v>
                </c:pt>
                <c:pt idx="203">
                  <c:v>10.303717983978942</c:v>
                </c:pt>
                <c:pt idx="204">
                  <c:v>12.755105241273498</c:v>
                </c:pt>
                <c:pt idx="205">
                  <c:v>17.286494498568032</c:v>
                </c:pt>
                <c:pt idx="206">
                  <c:v>11.147885755862603</c:v>
                </c:pt>
                <c:pt idx="207">
                  <c:v>11.569274013157155</c:v>
                </c:pt>
                <c:pt idx="208">
                  <c:v>9.1806652704517262</c:v>
                </c:pt>
                <c:pt idx="209">
                  <c:v>10.692050527746261</c:v>
                </c:pt>
                <c:pt idx="210">
                  <c:v>9.2434437850408244</c:v>
                </c:pt>
                <c:pt idx="211">
                  <c:v>11.454826042335384</c:v>
                </c:pt>
                <c:pt idx="212">
                  <c:v>13.506219299629947</c:v>
                </c:pt>
                <c:pt idx="213">
                  <c:v>13.36761055692449</c:v>
                </c:pt>
                <c:pt idx="214">
                  <c:v>15.098996814219049</c:v>
                </c:pt>
                <c:pt idx="215">
                  <c:v>15.470382071513626</c:v>
                </c:pt>
                <c:pt idx="216">
                  <c:v>13.861772328808172</c:v>
                </c:pt>
                <c:pt idx="217">
                  <c:v>6.5631595861026994</c:v>
                </c:pt>
                <c:pt idx="218">
                  <c:v>7.9045468433972701</c:v>
                </c:pt>
                <c:pt idx="219">
                  <c:v>4.0459361006918471</c:v>
                </c:pt>
                <c:pt idx="220">
                  <c:v>4.0473273579864042</c:v>
                </c:pt>
                <c:pt idx="221">
                  <c:v>6.808726615280932</c:v>
                </c:pt>
                <c:pt idx="222">
                  <c:v>9.9901098725754878</c:v>
                </c:pt>
                <c:pt idx="223">
                  <c:v>9.8914951298700657</c:v>
                </c:pt>
                <c:pt idx="224">
                  <c:v>10.022890387164637</c:v>
                </c:pt>
                <c:pt idx="225">
                  <c:v>9.1242716444591565</c:v>
                </c:pt>
                <c:pt idx="226">
                  <c:v>11.085668901753735</c:v>
                </c:pt>
                <c:pt idx="227">
                  <c:v>14.227058159048283</c:v>
                </c:pt>
                <c:pt idx="228">
                  <c:v>12.428445416342811</c:v>
                </c:pt>
                <c:pt idx="229">
                  <c:v>17.119838673637389</c:v>
                </c:pt>
                <c:pt idx="230">
                  <c:v>19.381223930931952</c:v>
                </c:pt>
                <c:pt idx="231">
                  <c:v>20.012619188226523</c:v>
                </c:pt>
                <c:pt idx="232">
                  <c:v>21.024004445521058</c:v>
                </c:pt>
                <c:pt idx="233">
                  <c:v>17.245395702815614</c:v>
                </c:pt>
                <c:pt idx="234">
                  <c:v>19.19678296011017</c:v>
                </c:pt>
                <c:pt idx="235">
                  <c:v>18.368172217404748</c:v>
                </c:pt>
                <c:pt idx="236">
                  <c:v>20.649561474699283</c:v>
                </c:pt>
                <c:pt idx="237">
                  <c:v>17.410945731993849</c:v>
                </c:pt>
                <c:pt idx="238">
                  <c:v>19.112333989288402</c:v>
                </c:pt>
                <c:pt idx="239">
                  <c:v>18.75372324658295</c:v>
                </c:pt>
                <c:pt idx="240">
                  <c:v>22.765123503877504</c:v>
                </c:pt>
                <c:pt idx="241">
                  <c:v>21.48649976117207</c:v>
                </c:pt>
                <c:pt idx="242">
                  <c:v>16.147894018466616</c:v>
                </c:pt>
                <c:pt idx="243">
                  <c:v>12.759285275761187</c:v>
                </c:pt>
                <c:pt idx="244">
                  <c:v>7.2006785330557079</c:v>
                </c:pt>
                <c:pt idx="245">
                  <c:v>10.672069790350292</c:v>
                </c:pt>
                <c:pt idx="246">
                  <c:v>11.053450047644844</c:v>
                </c:pt>
                <c:pt idx="247">
                  <c:v>19.744843304939423</c:v>
                </c:pt>
                <c:pt idx="248">
                  <c:v>25.376238562233937</c:v>
                </c:pt>
                <c:pt idx="249">
                  <c:v>25.107624819528496</c:v>
                </c:pt>
                <c:pt idx="250">
                  <c:v>29.509009076823077</c:v>
                </c:pt>
                <c:pt idx="251">
                  <c:v>30.530403334117636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AD-4652-9721-94DCA42AB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1665279"/>
        <c:axId val="831668159"/>
      </c:scatterChart>
      <c:valAx>
        <c:axId val="831665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68159"/>
        <c:crosses val="autoZero"/>
        <c:crossBetween val="midCat"/>
      </c:valAx>
      <c:valAx>
        <c:axId val="8316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65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'Part 3'!$CZ$1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'Part 3'!$CY$2:$CY$17</c:f>
              <c:strCache>
                <c:ptCount val="16"/>
                <c:pt idx="0">
                  <c:v>-56.24</c:v>
                </c:pt>
                <c:pt idx="1">
                  <c:v>-50.46</c:v>
                </c:pt>
                <c:pt idx="2">
                  <c:v>-44.67</c:v>
                </c:pt>
                <c:pt idx="3">
                  <c:v>-38.89</c:v>
                </c:pt>
                <c:pt idx="4">
                  <c:v>-33.10</c:v>
                </c:pt>
                <c:pt idx="5">
                  <c:v>-27.32</c:v>
                </c:pt>
                <c:pt idx="6">
                  <c:v>-21.53</c:v>
                </c:pt>
                <c:pt idx="7">
                  <c:v>-15.75</c:v>
                </c:pt>
                <c:pt idx="8">
                  <c:v>-9.96</c:v>
                </c:pt>
                <c:pt idx="9">
                  <c:v>-4.18</c:v>
                </c:pt>
                <c:pt idx="10">
                  <c:v>1.61</c:v>
                </c:pt>
                <c:pt idx="11">
                  <c:v>7.39</c:v>
                </c:pt>
                <c:pt idx="12">
                  <c:v>13.18</c:v>
                </c:pt>
                <c:pt idx="13">
                  <c:v>18.96</c:v>
                </c:pt>
                <c:pt idx="14">
                  <c:v>24.75</c:v>
                </c:pt>
                <c:pt idx="15">
                  <c:v>More</c:v>
                </c:pt>
              </c:strCache>
            </c:strRef>
          </c:cat>
          <c:val>
            <c:numRef>
              <c:f>'Part 3'!$CZ$2:$CZ$17</c:f>
              <c:numCache>
                <c:formatCode>General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12</c:v>
                </c:pt>
                <c:pt idx="6">
                  <c:v>23</c:v>
                </c:pt>
                <c:pt idx="7">
                  <c:v>11</c:v>
                </c:pt>
                <c:pt idx="8">
                  <c:v>22</c:v>
                </c:pt>
                <c:pt idx="9">
                  <c:v>18</c:v>
                </c:pt>
                <c:pt idx="10">
                  <c:v>18</c:v>
                </c:pt>
                <c:pt idx="11">
                  <c:v>21</c:v>
                </c:pt>
                <c:pt idx="12">
                  <c:v>54</c:v>
                </c:pt>
                <c:pt idx="13">
                  <c:v>53</c:v>
                </c:pt>
                <c:pt idx="14">
                  <c:v>10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6-47F1-B055-F3DBDA3FE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5887743"/>
        <c:axId val="375888703"/>
        <c:axId val="0"/>
      </c:bar3DChart>
      <c:catAx>
        <c:axId val="375887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88703"/>
        <c:crosses val="autoZero"/>
        <c:auto val="1"/>
        <c:lblAlgn val="ctr"/>
        <c:lblOffset val="100"/>
        <c:noMultiLvlLbl val="0"/>
      </c:catAx>
      <c:valAx>
        <c:axId val="37588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887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Normal Probability Plot of Residuals</a:t>
            </a:r>
          </a:p>
        </c:rich>
      </c:tx>
      <c:layout>
        <c:manualLayout>
          <c:xMode val="edge"/>
          <c:yMode val="edge"/>
          <c:x val="0.20873600174978127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'Part 3'!$DP$2:$DP$253</c:f>
              <c:numCache>
                <c:formatCode>General</c:formatCode>
                <c:ptCount val="252"/>
                <c:pt idx="0">
                  <c:v>-2.8806743591110573</c:v>
                </c:pt>
                <c:pt idx="1">
                  <c:v>-2.514954877802527</c:v>
                </c:pt>
                <c:pt idx="2">
                  <c:v>-2.3293360530619998</c:v>
                </c:pt>
                <c:pt idx="3">
                  <c:v>-2.2004105812100327</c:v>
                </c:pt>
                <c:pt idx="4">
                  <c:v>-2.1001654928444697</c:v>
                </c:pt>
                <c:pt idx="5">
                  <c:v>-2.0174287103431898</c:v>
                </c:pt>
                <c:pt idx="6">
                  <c:v>-1.9465617207989845</c:v>
                </c:pt>
                <c:pt idx="7">
                  <c:v>-1.8843044227824219</c:v>
                </c:pt>
                <c:pt idx="8">
                  <c:v>-1.8285948988056846</c:v>
                </c:pt>
                <c:pt idx="9">
                  <c:v>-1.7780428020381664</c:v>
                </c:pt>
                <c:pt idx="10">
                  <c:v>-1.7316643961222451</c:v>
                </c:pt>
                <c:pt idx="11">
                  <c:v>-1.6887370022667971</c:v>
                </c:pt>
                <c:pt idx="12">
                  <c:v>-1.648713470290851</c:v>
                </c:pt>
                <c:pt idx="13">
                  <c:v>-1.6111691623526765</c:v>
                </c:pt>
                <c:pt idx="14">
                  <c:v>-1.5757676293730742</c:v>
                </c:pt>
                <c:pt idx="15">
                  <c:v>-1.5422375718953325</c:v>
                </c:pt>
                <c:pt idx="16">
                  <c:v>-1.5103568962835028</c:v>
                </c:pt>
                <c:pt idx="17">
                  <c:v>-1.4799413890351922</c:v>
                </c:pt>
                <c:pt idx="18">
                  <c:v>-1.450836487412636</c:v>
                </c:pt>
                <c:pt idx="19">
                  <c:v>-1.4229111803109864</c:v>
                </c:pt>
                <c:pt idx="20">
                  <c:v>-1.3960534082549905</c:v>
                </c:pt>
                <c:pt idx="21">
                  <c:v>-1.3701665397259748</c:v>
                </c:pt>
                <c:pt idx="22">
                  <c:v>-1.3451666341766386</c:v>
                </c:pt>
                <c:pt idx="23">
                  <c:v>-1.3209802893126328</c:v>
                </c:pt>
                <c:pt idx="24">
                  <c:v>-1.2975429286165541</c:v>
                </c:pt>
                <c:pt idx="25">
                  <c:v>-1.2747974249655289</c:v>
                </c:pt>
                <c:pt idx="26">
                  <c:v>-1.2526929839120384</c:v>
                </c:pt>
                <c:pt idx="27">
                  <c:v>-1.2311842297805575</c:v>
                </c:pt>
                <c:pt idx="28">
                  <c:v>-1.2102304517744085</c:v>
                </c:pt>
                <c:pt idx="29">
                  <c:v>-1.189794977493698</c:v>
                </c:pt>
                <c:pt idx="30">
                  <c:v>-1.1698446487773884</c:v>
                </c:pt>
                <c:pt idx="31">
                  <c:v>-1.1503493803760083</c:v>
                </c:pt>
                <c:pt idx="32">
                  <c:v>-1.1312817861712798</c:v>
                </c:pt>
                <c:pt idx="33">
                  <c:v>-1.1126168608589178</c:v>
                </c:pt>
                <c:pt idx="34">
                  <c:v>-1.0943317074660934</c:v>
                </c:pt>
                <c:pt idx="35">
                  <c:v>-1.0764053029751872</c:v>
                </c:pt>
                <c:pt idx="36">
                  <c:v>-1.0588182958080339</c:v>
                </c:pt>
                <c:pt idx="37">
                  <c:v>-1.0415528300904833</c:v>
                </c:pt>
                <c:pt idx="38">
                  <c:v>-1.024592392540099</c:v>
                </c:pt>
                <c:pt idx="39">
                  <c:v>-1.0079216785556244</c:v>
                </c:pt>
                <c:pt idx="40">
                  <c:v>-0.99152647467733057</c:v>
                </c:pt>
                <c:pt idx="41">
                  <c:v>-0.97539355506375336</c:v>
                </c:pt>
                <c:pt idx="42">
                  <c:v>-0.95951059001725081</c:v>
                </c:pt>
                <c:pt idx="43">
                  <c:v>-0.94386606490653602</c:v>
                </c:pt>
                <c:pt idx="44">
                  <c:v>-0.92844920809329989</c:v>
                </c:pt>
                <c:pt idx="45">
                  <c:v>-0.91324992668360727</c:v>
                </c:pt>
                <c:pt idx="46">
                  <c:v>-0.89825874910156867</c:v>
                </c:pt>
                <c:pt idx="47">
                  <c:v>-0.88346677362987858</c:v>
                </c:pt>
                <c:pt idx="48">
                  <c:v>-0.8688656221847797</c:v>
                </c:pt>
                <c:pt idx="49">
                  <c:v>-0.85444739869598973</c:v>
                </c:pt>
                <c:pt idx="50">
                  <c:v>-0.84020465154900881</c:v>
                </c:pt>
                <c:pt idx="51">
                  <c:v>-0.82613033962053128</c:v>
                </c:pt>
                <c:pt idx="52">
                  <c:v>-0.81221780149991241</c:v>
                </c:pt>
                <c:pt idx="53">
                  <c:v>-0.7984607275425748</c:v>
                </c:pt>
                <c:pt idx="54">
                  <c:v>-0.78485313444643534</c:v>
                </c:pt>
                <c:pt idx="55">
                  <c:v>-0.77138934208115728</c:v>
                </c:pt>
                <c:pt idx="56">
                  <c:v>-0.75806395233324275</c:v>
                </c:pt>
                <c:pt idx="57">
                  <c:v>-0.74487182975869159</c:v>
                </c:pt>
                <c:pt idx="58">
                  <c:v>-0.73180808385961749</c:v>
                </c:pt>
                <c:pt idx="59">
                  <c:v>-0.71886805282271549</c:v>
                </c:pt>
                <c:pt idx="60">
                  <c:v>-0.70604728857604471</c:v>
                </c:pt>
                <c:pt idx="61">
                  <c:v>-0.69334154303681728</c:v>
                </c:pt>
                <c:pt idx="62">
                  <c:v>-0.68074675543701968</c:v>
                </c:pt>
                <c:pt idx="63">
                  <c:v>-0.66825904062605401</c:v>
                </c:pt>
                <c:pt idx="64">
                  <c:v>-0.6558746782604522</c:v>
                </c:pt>
                <c:pt idx="65">
                  <c:v>-0.64359010280021778</c:v>
                </c:pt>
                <c:pt idx="66">
                  <c:v>-0.6314018942397609</c:v>
                </c:pt>
                <c:pt idx="67">
                  <c:v>-0.61930676950877617</c:v>
                </c:pt>
                <c:pt idx="68">
                  <c:v>-0.60730157448496325</c:v>
                </c:pt>
                <c:pt idx="69">
                  <c:v>-0.59538327656628021</c:v>
                </c:pt>
                <c:pt idx="70">
                  <c:v>-0.5835489577555576</c:v>
                </c:pt>
                <c:pt idx="71">
                  <c:v>-0.57179580821487397</c:v>
                </c:pt>
                <c:pt idx="72">
                  <c:v>-0.56012112025115535</c:v>
                </c:pt>
                <c:pt idx="73">
                  <c:v>-0.54852228269809788</c:v>
                </c:pt>
                <c:pt idx="74">
                  <c:v>-0.53699677566274262</c:v>
                </c:pt>
                <c:pt idx="75">
                  <c:v>-0.52554216560793954</c:v>
                </c:pt>
                <c:pt idx="76">
                  <c:v>-0.51415610074453411</c:v>
                </c:pt>
                <c:pt idx="77">
                  <c:v>-0.50283630670944168</c:v>
                </c:pt>
                <c:pt idx="78">
                  <c:v>-0.49158058250786868</c:v>
                </c:pt>
                <c:pt idx="79">
                  <c:v>-0.48038679669982853</c:v>
                </c:pt>
                <c:pt idx="80">
                  <c:v>-0.46925288381280222</c:v>
                </c:pt>
                <c:pt idx="81">
                  <c:v>-0.45817684096392136</c:v>
                </c:pt>
                <c:pt idx="82">
                  <c:v>-0.44715672467644574</c:v>
                </c:pt>
                <c:pt idx="83">
                  <c:v>-0.43619064787655393</c:v>
                </c:pt>
                <c:pt idx="84">
                  <c:v>-0.42527677705760725</c:v>
                </c:pt>
                <c:pt idx="85">
                  <c:v>-0.41441332960007643</c:v>
                </c:pt>
                <c:pt idx="86">
                  <c:v>-0.40359857123625476</c:v>
                </c:pt>
                <c:pt idx="87">
                  <c:v>-0.39283081364972938</c:v>
                </c:pt>
                <c:pt idx="88">
                  <c:v>-0.3821084122003639</c:v>
                </c:pt>
                <c:pt idx="89">
                  <c:v>-0.37142976376624032</c:v>
                </c:pt>
                <c:pt idx="90">
                  <c:v>-0.36079330469465853</c:v>
                </c:pt>
                <c:pt idx="91">
                  <c:v>-0.35019750885487144</c:v>
                </c:pt>
                <c:pt idx="92">
                  <c:v>-0.33964088578577573</c:v>
                </c:pt>
                <c:pt idx="93">
                  <c:v>-0.32912197893226108</c:v>
                </c:pt>
                <c:pt idx="94">
                  <c:v>-0.3186393639643752</c:v>
                </c:pt>
                <c:pt idx="95">
                  <c:v>-0.30819164717386466</c:v>
                </c:pt>
                <c:pt idx="96">
                  <c:v>-0.29777746394303445</c:v>
                </c:pt>
                <c:pt idx="97">
                  <c:v>-0.28739547728120973</c:v>
                </c:pt>
                <c:pt idx="98">
                  <c:v>-0.27704437642439755</c:v>
                </c:pt>
                <c:pt idx="99">
                  <c:v>-0.26672287549404339</c:v>
                </c:pt>
                <c:pt idx="100">
                  <c:v>-0.256429712211035</c:v>
                </c:pt>
                <c:pt idx="101">
                  <c:v>-0.24616364666135951</c:v>
                </c:pt>
                <c:pt idx="102">
                  <c:v>-0.23592346011003523</c:v>
                </c:pt>
                <c:pt idx="103">
                  <c:v>-0.2257079538601594</c:v>
                </c:pt>
                <c:pt idx="104">
                  <c:v>-0.21551594815408856</c:v>
                </c:pt>
                <c:pt idx="105">
                  <c:v>-0.20534628111395689</c:v>
                </c:pt>
                <c:pt idx="106">
                  <c:v>-0.19519780771888826</c:v>
                </c:pt>
                <c:pt idx="107">
                  <c:v>-0.18506939881641302</c:v>
                </c:pt>
                <c:pt idx="108">
                  <c:v>-0.17495994016573252</c:v>
                </c:pt>
                <c:pt idx="109">
                  <c:v>-0.16486833151060187</c:v>
                </c:pt>
                <c:pt idx="110">
                  <c:v>-0.15479348567971193</c:v>
                </c:pt>
                <c:pt idx="111">
                  <c:v>-0.14473432771256409</c:v>
                </c:pt>
                <c:pt idx="112">
                  <c:v>-0.13468979400891959</c:v>
                </c:pt>
                <c:pt idx="113">
                  <c:v>-0.1246588315</c:v>
                </c:pt>
                <c:pt idx="114">
                  <c:v>-0.11464039683969043</c:v>
                </c:pt>
                <c:pt idx="115">
                  <c:v>-0.10463345561407539</c:v>
                </c:pt>
                <c:pt idx="116">
                  <c:v>-9.4636981567699813E-2</c:v>
                </c:pt>
                <c:pt idx="117">
                  <c:v>-8.4649955845010449E-2</c:v>
                </c:pt>
                <c:pt idx="118">
                  <c:v>-7.4671366245484247E-2</c:v>
                </c:pt>
                <c:pt idx="119">
                  <c:v>-6.4700206491002693E-2</c:v>
                </c:pt>
                <c:pt idx="120">
                  <c:v>-5.4735475504070312E-2</c:v>
                </c:pt>
                <c:pt idx="121">
                  <c:v>-4.477617669551625E-2</c:v>
                </c:pt>
                <c:pt idx="122">
                  <c:v>-3.4821317260347699E-2</c:v>
                </c:pt>
                <c:pt idx="123">
                  <c:v>-2.4869907480456668E-2</c:v>
                </c:pt>
                <c:pt idx="124">
                  <c:v>-1.4920960032900372E-2</c:v>
                </c:pt>
                <c:pt idx="125">
                  <c:v>-4.9734893024984917E-3</c:v>
                </c:pt>
                <c:pt idx="126">
                  <c:v>4.9734893024984917E-3</c:v>
                </c:pt>
                <c:pt idx="127">
                  <c:v>1.4920960032900372E-2</c:v>
                </c:pt>
                <c:pt idx="128">
                  <c:v>2.4869907480456525E-2</c:v>
                </c:pt>
                <c:pt idx="129">
                  <c:v>3.482131726034756E-2</c:v>
                </c:pt>
                <c:pt idx="130">
                  <c:v>4.4776176695516381E-2</c:v>
                </c:pt>
                <c:pt idx="131">
                  <c:v>5.4735475504070437E-2</c:v>
                </c:pt>
                <c:pt idx="132">
                  <c:v>6.4700206491002693E-2</c:v>
                </c:pt>
                <c:pt idx="133">
                  <c:v>7.4671366245484247E-2</c:v>
                </c:pt>
                <c:pt idx="134">
                  <c:v>8.4649955845010449E-2</c:v>
                </c:pt>
                <c:pt idx="135">
                  <c:v>9.4636981567699813E-2</c:v>
                </c:pt>
                <c:pt idx="136">
                  <c:v>0.10463345561407525</c:v>
                </c:pt>
                <c:pt idx="137">
                  <c:v>0.1146403968396903</c:v>
                </c:pt>
                <c:pt idx="138">
                  <c:v>0.12465883150000014</c:v>
                </c:pt>
                <c:pt idx="139">
                  <c:v>0.13468979400891973</c:v>
                </c:pt>
                <c:pt idx="140">
                  <c:v>0.14473432771256409</c:v>
                </c:pt>
                <c:pt idx="141">
                  <c:v>0.15479348567971193</c:v>
                </c:pt>
                <c:pt idx="142">
                  <c:v>0.16486833151060187</c:v>
                </c:pt>
                <c:pt idx="143">
                  <c:v>0.17495994016573252</c:v>
                </c:pt>
                <c:pt idx="144">
                  <c:v>0.18506939881641285</c:v>
                </c:pt>
                <c:pt idx="145">
                  <c:v>0.19519780771888809</c:v>
                </c:pt>
                <c:pt idx="146">
                  <c:v>0.20534628111395706</c:v>
                </c:pt>
                <c:pt idx="147">
                  <c:v>0.21551594815408867</c:v>
                </c:pt>
                <c:pt idx="148">
                  <c:v>0.2257079538601594</c:v>
                </c:pt>
                <c:pt idx="149">
                  <c:v>0.23592346011003523</c:v>
                </c:pt>
                <c:pt idx="150">
                  <c:v>0.24616364666135951</c:v>
                </c:pt>
                <c:pt idx="151">
                  <c:v>0.256429712211035</c:v>
                </c:pt>
                <c:pt idx="152">
                  <c:v>0.26672287549404317</c:v>
                </c:pt>
                <c:pt idx="153">
                  <c:v>0.27704437642439733</c:v>
                </c:pt>
                <c:pt idx="154">
                  <c:v>0.28739547728120984</c:v>
                </c:pt>
                <c:pt idx="155">
                  <c:v>0.29777746394303461</c:v>
                </c:pt>
                <c:pt idx="156">
                  <c:v>0.30819164717386466</c:v>
                </c:pt>
                <c:pt idx="157">
                  <c:v>0.3186393639643752</c:v>
                </c:pt>
                <c:pt idx="158">
                  <c:v>0.32912197893226108</c:v>
                </c:pt>
                <c:pt idx="159">
                  <c:v>0.3396408857857755</c:v>
                </c:pt>
                <c:pt idx="160">
                  <c:v>0.35019750885487133</c:v>
                </c:pt>
                <c:pt idx="161">
                  <c:v>0.3607933046946587</c:v>
                </c:pt>
                <c:pt idx="162">
                  <c:v>0.37142976376624048</c:v>
                </c:pt>
                <c:pt idx="163">
                  <c:v>0.3821084122003639</c:v>
                </c:pt>
                <c:pt idx="164">
                  <c:v>0.39283081364972938</c:v>
                </c:pt>
                <c:pt idx="165">
                  <c:v>0.40359857123625476</c:v>
                </c:pt>
                <c:pt idx="166">
                  <c:v>0.41441332960007643</c:v>
                </c:pt>
                <c:pt idx="167">
                  <c:v>0.42527677705760714</c:v>
                </c:pt>
                <c:pt idx="168">
                  <c:v>0.43619064787655376</c:v>
                </c:pt>
                <c:pt idx="169">
                  <c:v>0.44715672467644596</c:v>
                </c:pt>
                <c:pt idx="170">
                  <c:v>0.45817684096392136</c:v>
                </c:pt>
                <c:pt idx="171">
                  <c:v>0.46925288381280222</c:v>
                </c:pt>
                <c:pt idx="172">
                  <c:v>0.48038679669982853</c:v>
                </c:pt>
                <c:pt idx="173">
                  <c:v>0.49158058250786868</c:v>
                </c:pt>
                <c:pt idx="174">
                  <c:v>0.50283630670944168</c:v>
                </c:pt>
                <c:pt idx="175">
                  <c:v>0.51415610074453411</c:v>
                </c:pt>
                <c:pt idx="176">
                  <c:v>0.52554216560793932</c:v>
                </c:pt>
                <c:pt idx="177">
                  <c:v>0.53699677566274295</c:v>
                </c:pt>
                <c:pt idx="178">
                  <c:v>0.54852228269809822</c:v>
                </c:pt>
                <c:pt idx="179">
                  <c:v>0.56012112025115535</c:v>
                </c:pt>
                <c:pt idx="180">
                  <c:v>0.57179580821487397</c:v>
                </c:pt>
                <c:pt idx="181">
                  <c:v>0.5835489577555576</c:v>
                </c:pt>
                <c:pt idx="182">
                  <c:v>0.59538327656628021</c:v>
                </c:pt>
                <c:pt idx="183">
                  <c:v>0.60730157448496336</c:v>
                </c:pt>
                <c:pt idx="184">
                  <c:v>0.61930676950877606</c:v>
                </c:pt>
                <c:pt idx="185">
                  <c:v>0.63140189423976112</c:v>
                </c:pt>
                <c:pt idx="186">
                  <c:v>0.64359010280021778</c:v>
                </c:pt>
                <c:pt idx="187">
                  <c:v>0.6558746782604522</c:v>
                </c:pt>
                <c:pt idx="188">
                  <c:v>0.66825904062605401</c:v>
                </c:pt>
                <c:pt idx="189">
                  <c:v>0.68074675543701968</c:v>
                </c:pt>
                <c:pt idx="190">
                  <c:v>0.69334154303681728</c:v>
                </c:pt>
                <c:pt idx="191">
                  <c:v>0.70604728857604471</c:v>
                </c:pt>
                <c:pt idx="192">
                  <c:v>0.71886805282271604</c:v>
                </c:pt>
                <c:pt idx="193">
                  <c:v>0.73180808385961771</c:v>
                </c:pt>
                <c:pt idx="194">
                  <c:v>0.74487182975869159</c:v>
                </c:pt>
                <c:pt idx="195">
                  <c:v>0.75806395233324275</c:v>
                </c:pt>
                <c:pt idx="196">
                  <c:v>0.77138934208115728</c:v>
                </c:pt>
                <c:pt idx="197">
                  <c:v>0.78485313444643534</c:v>
                </c:pt>
                <c:pt idx="198">
                  <c:v>0.7984607275425748</c:v>
                </c:pt>
                <c:pt idx="199">
                  <c:v>0.81221780149991241</c:v>
                </c:pt>
                <c:pt idx="200">
                  <c:v>0.82613033962053162</c:v>
                </c:pt>
                <c:pt idx="201">
                  <c:v>0.84020465154900847</c:v>
                </c:pt>
                <c:pt idx="202">
                  <c:v>0.85444739869598973</c:v>
                </c:pt>
                <c:pt idx="203">
                  <c:v>0.8688656221847797</c:v>
                </c:pt>
                <c:pt idx="204">
                  <c:v>0.88346677362987858</c:v>
                </c:pt>
                <c:pt idx="205">
                  <c:v>0.89825874910156867</c:v>
                </c:pt>
                <c:pt idx="206">
                  <c:v>0.91324992668360727</c:v>
                </c:pt>
                <c:pt idx="207">
                  <c:v>0.92844920809329989</c:v>
                </c:pt>
                <c:pt idx="208">
                  <c:v>0.94386606490653491</c:v>
                </c:pt>
                <c:pt idx="209">
                  <c:v>0.95951059001724914</c:v>
                </c:pt>
                <c:pt idx="210">
                  <c:v>0.97539355506375336</c:v>
                </c:pt>
                <c:pt idx="211">
                  <c:v>0.99152647467733057</c:v>
                </c:pt>
                <c:pt idx="212">
                  <c:v>1.0079216785556244</c:v>
                </c:pt>
                <c:pt idx="213">
                  <c:v>1.024592392540099</c:v>
                </c:pt>
                <c:pt idx="214">
                  <c:v>1.0415528300904833</c:v>
                </c:pt>
                <c:pt idx="215">
                  <c:v>1.0588182958080339</c:v>
                </c:pt>
                <c:pt idx="216">
                  <c:v>1.0764053029751868</c:v>
                </c:pt>
                <c:pt idx="217">
                  <c:v>1.0943317074660934</c:v>
                </c:pt>
                <c:pt idx="218">
                  <c:v>1.1126168608589178</c:v>
                </c:pt>
                <c:pt idx="219">
                  <c:v>1.1312817861712798</c:v>
                </c:pt>
                <c:pt idx="220">
                  <c:v>1.1503493803760083</c:v>
                </c:pt>
                <c:pt idx="221">
                  <c:v>1.1698446487773884</c:v>
                </c:pt>
                <c:pt idx="222">
                  <c:v>1.189794977493698</c:v>
                </c:pt>
                <c:pt idx="223">
                  <c:v>1.2102304517744078</c:v>
                </c:pt>
                <c:pt idx="224">
                  <c:v>1.2311842297805575</c:v>
                </c:pt>
                <c:pt idx="225">
                  <c:v>1.2526929839120398</c:v>
                </c:pt>
                <c:pt idx="226">
                  <c:v>1.2747974249655289</c:v>
                </c:pt>
                <c:pt idx="227">
                  <c:v>1.2975429286165541</c:v>
                </c:pt>
                <c:pt idx="228">
                  <c:v>1.3209802893126328</c:v>
                </c:pt>
                <c:pt idx="229">
                  <c:v>1.3451666341766386</c:v>
                </c:pt>
                <c:pt idx="230">
                  <c:v>1.3701665397259748</c:v>
                </c:pt>
                <c:pt idx="231">
                  <c:v>1.3960534082549898</c:v>
                </c:pt>
                <c:pt idx="232">
                  <c:v>1.4229111803109853</c:v>
                </c:pt>
                <c:pt idx="233">
                  <c:v>1.4508364874126363</c:v>
                </c:pt>
                <c:pt idx="234">
                  <c:v>1.4799413890351927</c:v>
                </c:pt>
                <c:pt idx="235">
                  <c:v>1.5103568962835032</c:v>
                </c:pt>
                <c:pt idx="236">
                  <c:v>1.5422375718953325</c:v>
                </c:pt>
                <c:pt idx="237">
                  <c:v>1.5757676293730736</c:v>
                </c:pt>
                <c:pt idx="238">
                  <c:v>1.6111691623526765</c:v>
                </c:pt>
                <c:pt idx="239">
                  <c:v>1.6487134702908506</c:v>
                </c:pt>
                <c:pt idx="240">
                  <c:v>1.688737002266798</c:v>
                </c:pt>
                <c:pt idx="241">
                  <c:v>1.7316643961222455</c:v>
                </c:pt>
                <c:pt idx="242">
                  <c:v>1.7780428020381671</c:v>
                </c:pt>
                <c:pt idx="243">
                  <c:v>1.8285948988056846</c:v>
                </c:pt>
                <c:pt idx="244">
                  <c:v>1.8843044227824219</c:v>
                </c:pt>
                <c:pt idx="245">
                  <c:v>1.946561720798984</c:v>
                </c:pt>
                <c:pt idx="246">
                  <c:v>2.0174287103431894</c:v>
                </c:pt>
                <c:pt idx="247">
                  <c:v>2.100165492844468</c:v>
                </c:pt>
                <c:pt idx="248">
                  <c:v>2.2004105812100336</c:v>
                </c:pt>
                <c:pt idx="249">
                  <c:v>2.3293360530620011</c:v>
                </c:pt>
                <c:pt idx="250">
                  <c:v>2.5149548778025288</c:v>
                </c:pt>
                <c:pt idx="251">
                  <c:v>2.8806743591110586</c:v>
                </c:pt>
              </c:numCache>
            </c:numRef>
          </c:xVal>
          <c:yVal>
            <c:numRef>
              <c:f>'Part 3'!$DL$2:$DL$254</c:f>
              <c:numCache>
                <c:formatCode>0.00</c:formatCode>
                <c:ptCount val="253"/>
                <c:pt idx="0">
                  <c:v>-3.2977922856897961</c:v>
                </c:pt>
                <c:pt idx="1">
                  <c:v>-2.8702049324364363</c:v>
                </c:pt>
                <c:pt idx="2">
                  <c:v>-2.5393665102714245</c:v>
                </c:pt>
                <c:pt idx="3">
                  <c:v>-2.5407046084036815</c:v>
                </c:pt>
                <c:pt idx="4">
                  <c:v>-2.5780666673345243</c:v>
                </c:pt>
                <c:pt idx="5">
                  <c:v>-2.3352581894906259</c:v>
                </c:pt>
                <c:pt idx="6">
                  <c:v>-2.1518744025480476</c:v>
                </c:pt>
                <c:pt idx="7">
                  <c:v>-2.1648154068297112</c:v>
                </c:pt>
                <c:pt idx="8">
                  <c:v>-2.1290097478440244</c:v>
                </c:pt>
                <c:pt idx="9">
                  <c:v>-2.1241585440989219</c:v>
                </c:pt>
                <c:pt idx="10">
                  <c:v>-2.1132390459048258</c:v>
                </c:pt>
                <c:pt idx="11">
                  <c:v>-2.1233512495509368</c:v>
                </c:pt>
                <c:pt idx="12">
                  <c:v>-2.052237127237496</c:v>
                </c:pt>
                <c:pt idx="13">
                  <c:v>-2.0567854366417464</c:v>
                </c:pt>
                <c:pt idx="14">
                  <c:v>-2.0640537006163884</c:v>
                </c:pt>
                <c:pt idx="15">
                  <c:v>-2.03872575526613</c:v>
                </c:pt>
                <c:pt idx="16">
                  <c:v>-2.0455468560014092</c:v>
                </c:pt>
                <c:pt idx="17">
                  <c:v>-2.0553225235032491</c:v>
                </c:pt>
                <c:pt idx="18">
                  <c:v>-2.0354046530796448</c:v>
                </c:pt>
                <c:pt idx="19">
                  <c:v>-2.0506661205028944</c:v>
                </c:pt>
                <c:pt idx="20">
                  <c:v>-2.0620427774428993</c:v>
                </c:pt>
                <c:pt idx="21">
                  <c:v>-2.0827175469849908</c:v>
                </c:pt>
                <c:pt idx="22">
                  <c:v>-2.0954080212311523</c:v>
                </c:pt>
                <c:pt idx="23">
                  <c:v>-2.111763045823694</c:v>
                </c:pt>
                <c:pt idx="24">
                  <c:v>-2.1154154593198924</c:v>
                </c:pt>
                <c:pt idx="25">
                  <c:v>-2.1066174355803642</c:v>
                </c:pt>
                <c:pt idx="26">
                  <c:v>-2.1151724283288127</c:v>
                </c:pt>
                <c:pt idx="27">
                  <c:v>-2.1404337472011781</c:v>
                </c:pt>
                <c:pt idx="28">
                  <c:v>-2.1662133330929851</c:v>
                </c:pt>
                <c:pt idx="29">
                  <c:v>-2.1787643179464533</c:v>
                </c:pt>
                <c:pt idx="30">
                  <c:v>-2.1899569685859177</c:v>
                </c:pt>
                <c:pt idx="31">
                  <c:v>-2.1966971601375489</c:v>
                </c:pt>
                <c:pt idx="32">
                  <c:v>-2.2164859890310971</c:v>
                </c:pt>
                <c:pt idx="33">
                  <c:v>-2.2429227160489691</c:v>
                </c:pt>
                <c:pt idx="34">
                  <c:v>-2.1821492425844435</c:v>
                </c:pt>
                <c:pt idx="35">
                  <c:v>-2.1753468271721594</c:v>
                </c:pt>
                <c:pt idx="36">
                  <c:v>-2.1904604352612136</c:v>
                </c:pt>
                <c:pt idx="37">
                  <c:v>-2.2091826097907101</c:v>
                </c:pt>
                <c:pt idx="38">
                  <c:v>-2.2358214935008167</c:v>
                </c:pt>
                <c:pt idx="39">
                  <c:v>-2.264000224903596</c:v>
                </c:pt>
                <c:pt idx="40">
                  <c:v>-2.2557950778455242</c:v>
                </c:pt>
                <c:pt idx="41">
                  <c:v>-2.2277980329695652</c:v>
                </c:pt>
                <c:pt idx="42">
                  <c:v>-2.2258567386315442</c:v>
                </c:pt>
                <c:pt idx="43">
                  <c:v>-2.2073455255919967</c:v>
                </c:pt>
                <c:pt idx="44">
                  <c:v>-2.2030097726817748</c:v>
                </c:pt>
                <c:pt idx="45">
                  <c:v>-2.2096055826604459</c:v>
                </c:pt>
                <c:pt idx="46">
                  <c:v>-2.2350643930914673</c:v>
                </c:pt>
                <c:pt idx="47">
                  <c:v>-2.2564501705977169</c:v>
                </c:pt>
                <c:pt idx="48">
                  <c:v>-2.185807259210566</c:v>
                </c:pt>
                <c:pt idx="49">
                  <c:v>-2.1462673829286194</c:v>
                </c:pt>
                <c:pt idx="50">
                  <c:v>-2.1505859514807297</c:v>
                </c:pt>
                <c:pt idx="51">
                  <c:v>-2.0943295707714662</c:v>
                </c:pt>
                <c:pt idx="52">
                  <c:v>-2.048421224574958</c:v>
                </c:pt>
                <c:pt idx="53">
                  <c:v>-2.0471048623156367</c:v>
                </c:pt>
                <c:pt idx="54">
                  <c:v>-2.0406560812538608</c:v>
                </c:pt>
                <c:pt idx="55">
                  <c:v>-2.0509146019535205</c:v>
                </c:pt>
                <c:pt idx="56">
                  <c:v>-2.0284524244566797</c:v>
                </c:pt>
                <c:pt idx="57">
                  <c:v>-2.0546056169002309</c:v>
                </c:pt>
                <c:pt idx="58">
                  <c:v>-2.0449459401089132</c:v>
                </c:pt>
                <c:pt idx="59">
                  <c:v>-2.0718897064272523</c:v>
                </c:pt>
                <c:pt idx="60">
                  <c:v>-2.1000762845480168</c:v>
                </c:pt>
                <c:pt idx="61">
                  <c:v>-2.0865299473566457</c:v>
                </c:pt>
                <c:pt idx="62">
                  <c:v>-2.1051931694363377</c:v>
                </c:pt>
                <c:pt idx="63">
                  <c:v>-2.131124442839325</c:v>
                </c:pt>
                <c:pt idx="64">
                  <c:v>-2.1290181076594381</c:v>
                </c:pt>
                <c:pt idx="65">
                  <c:v>-2.159805952191062</c:v>
                </c:pt>
                <c:pt idx="66">
                  <c:v>-2.1878725250607567</c:v>
                </c:pt>
                <c:pt idx="67">
                  <c:v>-2.2221601128691586</c:v>
                </c:pt>
                <c:pt idx="68">
                  <c:v>-2.2201329092749718</c:v>
                </c:pt>
                <c:pt idx="69">
                  <c:v>-2.2319530730049886</c:v>
                </c:pt>
                <c:pt idx="70">
                  <c:v>-2.2474724504441079</c:v>
                </c:pt>
                <c:pt idx="71">
                  <c:v>-2.2489817232442082</c:v>
                </c:pt>
                <c:pt idx="72">
                  <c:v>-2.2260012897765549</c:v>
                </c:pt>
                <c:pt idx="73">
                  <c:v>-2.2094497011549112</c:v>
                </c:pt>
                <c:pt idx="74">
                  <c:v>-2.200534779926917</c:v>
                </c:pt>
                <c:pt idx="75">
                  <c:v>-2.2245321496401651</c:v>
                </c:pt>
                <c:pt idx="76">
                  <c:v>-2.2460330306144831</c:v>
                </c:pt>
                <c:pt idx="77">
                  <c:v>-2.2764812845044364</c:v>
                </c:pt>
                <c:pt idx="78">
                  <c:v>-2.3141509156251248</c:v>
                </c:pt>
                <c:pt idx="79">
                  <c:v>-2.3217310610479198</c:v>
                </c:pt>
                <c:pt idx="80">
                  <c:v>-2.3154790141836377</c:v>
                </c:pt>
                <c:pt idx="81">
                  <c:v>-2.3031443436941537</c:v>
                </c:pt>
                <c:pt idx="82">
                  <c:v>-2.3459093517766334</c:v>
                </c:pt>
                <c:pt idx="83">
                  <c:v>-2.3196344373338968</c:v>
                </c:pt>
                <c:pt idx="84">
                  <c:v>-2.3630998550740849</c:v>
                </c:pt>
                <c:pt idx="85">
                  <c:v>-2.393901883144355</c:v>
                </c:pt>
                <c:pt idx="86">
                  <c:v>-2.430789239624322</c:v>
                </c:pt>
                <c:pt idx="87">
                  <c:v>-2.311648500789484</c:v>
                </c:pt>
                <c:pt idx="88">
                  <c:v>-2.3189331098714954</c:v>
                </c:pt>
                <c:pt idx="89">
                  <c:v>-2.2767579834581309</c:v>
                </c:pt>
                <c:pt idx="90">
                  <c:v>-2.2699152897477028</c:v>
                </c:pt>
                <c:pt idx="91">
                  <c:v>-2.2943475563609534</c:v>
                </c:pt>
                <c:pt idx="92">
                  <c:v>-2.2460251987475823</c:v>
                </c:pt>
                <c:pt idx="93">
                  <c:v>-2.2859823889407664</c:v>
                </c:pt>
                <c:pt idx="94">
                  <c:v>-2.2948696369171389</c:v>
                </c:pt>
                <c:pt idx="95">
                  <c:v>-2.3234804518286807</c:v>
                </c:pt>
                <c:pt idx="96">
                  <c:v>-2.3058060853202904</c:v>
                </c:pt>
                <c:pt idx="97">
                  <c:v>-2.2220240772597117</c:v>
                </c:pt>
                <c:pt idx="98">
                  <c:v>-2.2473502447549967</c:v>
                </c:pt>
                <c:pt idx="99">
                  <c:v>-2.2915465379060151</c:v>
                </c:pt>
                <c:pt idx="100">
                  <c:v>-2.3188945465090831</c:v>
                </c:pt>
                <c:pt idx="101">
                  <c:v>-2.3632668517119941</c:v>
                </c:pt>
                <c:pt idx="102">
                  <c:v>-2.3684824042041752</c:v>
                </c:pt>
                <c:pt idx="103">
                  <c:v>-2.3725932851975795</c:v>
                </c:pt>
                <c:pt idx="104">
                  <c:v>-2.1398661116920028</c:v>
                </c:pt>
                <c:pt idx="105">
                  <c:v>-2.1084317004252413</c:v>
                </c:pt>
                <c:pt idx="106">
                  <c:v>-2.1415749687102683</c:v>
                </c:pt>
                <c:pt idx="107">
                  <c:v>-2.1652376759013778</c:v>
                </c:pt>
                <c:pt idx="108">
                  <c:v>-2.1891217300343744</c:v>
                </c:pt>
                <c:pt idx="109">
                  <c:v>-2.1348959635500493</c:v>
                </c:pt>
                <c:pt idx="110">
                  <c:v>-2.0842305399675949</c:v>
                </c:pt>
                <c:pt idx="111">
                  <c:v>-2.0840806936911558</c:v>
                </c:pt>
                <c:pt idx="112">
                  <c:v>-1.9822813943956148</c:v>
                </c:pt>
                <c:pt idx="113">
                  <c:v>-2.0164107815687964</c:v>
                </c:pt>
                <c:pt idx="114">
                  <c:v>-2.0401812246405648</c:v>
                </c:pt>
                <c:pt idx="115">
                  <c:v>-2.0176683846492538</c:v>
                </c:pt>
                <c:pt idx="116">
                  <c:v>-2.0294284919851275</c:v>
                </c:pt>
                <c:pt idx="117">
                  <c:v>-2.0640244582995364</c:v>
                </c:pt>
                <c:pt idx="118">
                  <c:v>-2.0729177688504246</c:v>
                </c:pt>
                <c:pt idx="119">
                  <c:v>-2.0864484960224932</c:v>
                </c:pt>
                <c:pt idx="120">
                  <c:v>-2.1216724194597596</c:v>
                </c:pt>
                <c:pt idx="121">
                  <c:v>-2.1087851438135443</c:v>
                </c:pt>
                <c:pt idx="122">
                  <c:v>-2.1370392382977603</c:v>
                </c:pt>
                <c:pt idx="123">
                  <c:v>-2.184258035389786</c:v>
                </c:pt>
                <c:pt idx="124">
                  <c:v>-2.0913604189270529</c:v>
                </c:pt>
                <c:pt idx="125">
                  <c:v>-2.1097447961987292</c:v>
                </c:pt>
                <c:pt idx="126">
                  <c:v>-2.1342599183644437</c:v>
                </c:pt>
                <c:pt idx="127">
                  <c:v>-2.0709747565326553</c:v>
                </c:pt>
                <c:pt idx="128">
                  <c:v>-1.8371430895000014</c:v>
                </c:pt>
                <c:pt idx="129">
                  <c:v>-1.8117688746386253</c:v>
                </c:pt>
                <c:pt idx="130">
                  <c:v>-1.7495113866769783</c:v>
                </c:pt>
                <c:pt idx="131">
                  <c:v>-1.6077765763194254</c:v>
                </c:pt>
                <c:pt idx="132">
                  <c:v>-1.5372858520540169</c:v>
                </c:pt>
                <c:pt idx="133">
                  <c:v>-1.5397560083676469</c:v>
                </c:pt>
                <c:pt idx="134">
                  <c:v>-1.412974279899422</c:v>
                </c:pt>
                <c:pt idx="135">
                  <c:v>-1.3929077260015064</c:v>
                </c:pt>
                <c:pt idx="136">
                  <c:v>-1.4023018871282757</c:v>
                </c:pt>
                <c:pt idx="137">
                  <c:v>-1.4149697805710588</c:v>
                </c:pt>
                <c:pt idx="138">
                  <c:v>-1.4179863145840532</c:v>
                </c:pt>
                <c:pt idx="139">
                  <c:v>-1.2989626094892299</c:v>
                </c:pt>
                <c:pt idx="140">
                  <c:v>-1.3084966864963077</c:v>
                </c:pt>
                <c:pt idx="141">
                  <c:v>-1.3042563519630126</c:v>
                </c:pt>
                <c:pt idx="142">
                  <c:v>-1.3154938034709351</c:v>
                </c:pt>
                <c:pt idx="143">
                  <c:v>-1.3170594589087221</c:v>
                </c:pt>
                <c:pt idx="144">
                  <c:v>-1.3286278780672038</c:v>
                </c:pt>
                <c:pt idx="145">
                  <c:v>-1.3441143588325823</c:v>
                </c:pt>
                <c:pt idx="146">
                  <c:v>-1.3555227282988982</c:v>
                </c:pt>
                <c:pt idx="147">
                  <c:v>-1.3266265085911055</c:v>
                </c:pt>
                <c:pt idx="148">
                  <c:v>-1.3183999288828487</c:v>
                </c:pt>
                <c:pt idx="149">
                  <c:v>-1.3315282351586559</c:v>
                </c:pt>
                <c:pt idx="150">
                  <c:v>-1.330898599924444</c:v>
                </c:pt>
                <c:pt idx="151">
                  <c:v>-1.2753141515324482</c:v>
                </c:pt>
                <c:pt idx="152">
                  <c:v>-1.2899053318626426</c:v>
                </c:pt>
                <c:pt idx="153">
                  <c:v>-1.3055249499477375</c:v>
                </c:pt>
                <c:pt idx="154">
                  <c:v>-1.3227657260658039</c:v>
                </c:pt>
                <c:pt idx="155">
                  <c:v>-1.2444155169849753</c:v>
                </c:pt>
                <c:pt idx="156">
                  <c:v>-1.2524261323126449</c:v>
                </c:pt>
                <c:pt idx="157">
                  <c:v>-1.2527026225784721</c:v>
                </c:pt>
                <c:pt idx="158">
                  <c:v>-1.2443813646039892</c:v>
                </c:pt>
                <c:pt idx="159">
                  <c:v>-1.2036586217530385</c:v>
                </c:pt>
                <c:pt idx="160">
                  <c:v>-1.1885635767348421</c:v>
                </c:pt>
                <c:pt idx="161">
                  <c:v>-1.1203225311426988</c:v>
                </c:pt>
                <c:pt idx="162">
                  <c:v>-1.1063530769744663</c:v>
                </c:pt>
                <c:pt idx="163">
                  <c:v>-1.108439604534873</c:v>
                </c:pt>
                <c:pt idx="164">
                  <c:v>-1.0678251660534406</c:v>
                </c:pt>
                <c:pt idx="165">
                  <c:v>-1.0687958910792348</c:v>
                </c:pt>
                <c:pt idx="166">
                  <c:v>-1.0700857384897544</c:v>
                </c:pt>
                <c:pt idx="167">
                  <c:v>-1.0715660718075859</c:v>
                </c:pt>
                <c:pt idx="168">
                  <c:v>-1.0769812633979905</c:v>
                </c:pt>
                <c:pt idx="169">
                  <c:v>-1.0787731165657133</c:v>
                </c:pt>
                <c:pt idx="170">
                  <c:v>-1.0862173433934876</c:v>
                </c:pt>
                <c:pt idx="171">
                  <c:v>-1.0911529100479151</c:v>
                </c:pt>
                <c:pt idx="172">
                  <c:v>-1.0920669148731255</c:v>
                </c:pt>
                <c:pt idx="173">
                  <c:v>-1.1057127139596483</c:v>
                </c:pt>
                <c:pt idx="174">
                  <c:v>-1.1212801558120788</c:v>
                </c:pt>
                <c:pt idx="175">
                  <c:v>-1.1161743152480246</c:v>
                </c:pt>
                <c:pt idx="176">
                  <c:v>-1.124277256055523</c:v>
                </c:pt>
                <c:pt idx="177">
                  <c:v>-1.1347724401818398</c:v>
                </c:pt>
                <c:pt idx="178">
                  <c:v>-1.1514658311080261</c:v>
                </c:pt>
                <c:pt idx="179">
                  <c:v>-1.168683109297068</c:v>
                </c:pt>
                <c:pt idx="180">
                  <c:v>-1.1691971752459334</c:v>
                </c:pt>
                <c:pt idx="181">
                  <c:v>-1.1877679078379313</c:v>
                </c:pt>
                <c:pt idx="182">
                  <c:v>-1.1710241675995887</c:v>
                </c:pt>
                <c:pt idx="183">
                  <c:v>-1.1479260032770766</c:v>
                </c:pt>
                <c:pt idx="184">
                  <c:v>-1.1512341359002134</c:v>
                </c:pt>
                <c:pt idx="185">
                  <c:v>-1.1274400875550137</c:v>
                </c:pt>
                <c:pt idx="186">
                  <c:v>-1.1452973298960776</c:v>
                </c:pt>
                <c:pt idx="187">
                  <c:v>-1.1357844840141313</c:v>
                </c:pt>
                <c:pt idx="188">
                  <c:v>-1.146196210873653</c:v>
                </c:pt>
                <c:pt idx="189">
                  <c:v>-1.137729975426151</c:v>
                </c:pt>
                <c:pt idx="190">
                  <c:v>-1.059174614006464</c:v>
                </c:pt>
                <c:pt idx="191">
                  <c:v>-1.0747575318371043</c:v>
                </c:pt>
                <c:pt idx="192">
                  <c:v>-1.0871781557780544</c:v>
                </c:pt>
                <c:pt idx="193">
                  <c:v>-1.1001824310020274</c:v>
                </c:pt>
                <c:pt idx="194">
                  <c:v>-1.1012356567732335</c:v>
                </c:pt>
                <c:pt idx="195">
                  <c:v>-1.109498634265115</c:v>
                </c:pt>
                <c:pt idx="196">
                  <c:v>-1.1237028885563709</c:v>
                </c:pt>
                <c:pt idx="197">
                  <c:v>-1.1283388264122614</c:v>
                </c:pt>
                <c:pt idx="198">
                  <c:v>-1.1405459814496102</c:v>
                </c:pt>
                <c:pt idx="199">
                  <c:v>-1.1457744494144622</c:v>
                </c:pt>
                <c:pt idx="200">
                  <c:v>-0.97680419255361961</c:v>
                </c:pt>
                <c:pt idx="201">
                  <c:v>-0.97890099771884553</c:v>
                </c:pt>
                <c:pt idx="202">
                  <c:v>-0.95991808743055906</c:v>
                </c:pt>
                <c:pt idx="203">
                  <c:v>-0.97183576442206876</c:v>
                </c:pt>
                <c:pt idx="204">
                  <c:v>-0.99055202271197651</c:v>
                </c:pt>
                <c:pt idx="205">
                  <c:v>-1.0038103550729363</c:v>
                </c:pt>
                <c:pt idx="206">
                  <c:v>-1.0201125889366693</c:v>
                </c:pt>
                <c:pt idx="207">
                  <c:v>-1.0274133817311408</c:v>
                </c:pt>
                <c:pt idx="208">
                  <c:v>-0.98911995882884651</c:v>
                </c:pt>
                <c:pt idx="209">
                  <c:v>-1.0033641885015661</c:v>
                </c:pt>
                <c:pt idx="210">
                  <c:v>-1.0188303933050333</c:v>
                </c:pt>
                <c:pt idx="211">
                  <c:v>-1.0425332072051905</c:v>
                </c:pt>
                <c:pt idx="212">
                  <c:v>-0.87083538072367084</c:v>
                </c:pt>
                <c:pt idx="213">
                  <c:v>-0.86677849173373001</c:v>
                </c:pt>
                <c:pt idx="214">
                  <c:v>-0.88154669726949941</c:v>
                </c:pt>
                <c:pt idx="215">
                  <c:v>-0.90011974810976692</c:v>
                </c:pt>
                <c:pt idx="216">
                  <c:v>-0.9214897937220895</c:v>
                </c:pt>
                <c:pt idx="217">
                  <c:v>-0.83563697860241726</c:v>
                </c:pt>
                <c:pt idx="218">
                  <c:v>-0.84094256106018772</c:v>
                </c:pt>
                <c:pt idx="219">
                  <c:v>-0.79421730410524993</c:v>
                </c:pt>
                <c:pt idx="220">
                  <c:v>-0.7993759334306747</c:v>
                </c:pt>
                <c:pt idx="221">
                  <c:v>-0.81173673498956023</c:v>
                </c:pt>
                <c:pt idx="222">
                  <c:v>-0.8024478226148859</c:v>
                </c:pt>
                <c:pt idx="223">
                  <c:v>-0.80738037364789217</c:v>
                </c:pt>
                <c:pt idx="224">
                  <c:v>-0.81716428574253608</c:v>
                </c:pt>
                <c:pt idx="225">
                  <c:v>-0.83879390886092009</c:v>
                </c:pt>
                <c:pt idx="226">
                  <c:v>-0.86197087441559217</c:v>
                </c:pt>
                <c:pt idx="227">
                  <c:v>-0.88521274186895094</c:v>
                </c:pt>
                <c:pt idx="228">
                  <c:v>-0.88395979944299863</c:v>
                </c:pt>
                <c:pt idx="229">
                  <c:v>-0.88767011038805432</c:v>
                </c:pt>
                <c:pt idx="230">
                  <c:v>-0.87556483589741785</c:v>
                </c:pt>
                <c:pt idx="231">
                  <c:v>-0.84265151148035167</c:v>
                </c:pt>
                <c:pt idx="232">
                  <c:v>-0.87516189724037829</c:v>
                </c:pt>
                <c:pt idx="233">
                  <c:v>-0.88609211380911035</c:v>
                </c:pt>
                <c:pt idx="234">
                  <c:v>-0.87995469409564731</c:v>
                </c:pt>
                <c:pt idx="235">
                  <c:v>-0.90042204144268878</c:v>
                </c:pt>
                <c:pt idx="236">
                  <c:v>-0.84974057358421795</c:v>
                </c:pt>
                <c:pt idx="237">
                  <c:v>-0.89583775302737312</c:v>
                </c:pt>
                <c:pt idx="238">
                  <c:v>-0.863757336471913</c:v>
                </c:pt>
                <c:pt idx="239">
                  <c:v>-0.90068962649298268</c:v>
                </c:pt>
                <c:pt idx="240">
                  <c:v>-0.92266216761206876</c:v>
                </c:pt>
                <c:pt idx="241">
                  <c:v>-0.90915671964352474</c:v>
                </c:pt>
                <c:pt idx="242">
                  <c:v>-0.99384972364481194</c:v>
                </c:pt>
                <c:pt idx="243">
                  <c:v>-1.0431287018946926</c:v>
                </c:pt>
                <c:pt idx="244">
                  <c:v>-1.0255568399374</c:v>
                </c:pt>
                <c:pt idx="245">
                  <c:v>-1.0923103804505097</c:v>
                </c:pt>
                <c:pt idx="246">
                  <c:v>-1.1987997811535078</c:v>
                </c:pt>
                <c:pt idx="247">
                  <c:v>-1.1966505097984437</c:v>
                </c:pt>
                <c:pt idx="248">
                  <c:v>-0.90374143125952122</c:v>
                </c:pt>
                <c:pt idx="249">
                  <c:v>-1.1343031290469154</c:v>
                </c:pt>
                <c:pt idx="250">
                  <c:v>-0.70710678118654757</c:v>
                </c:pt>
                <c:pt idx="25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1E-4E41-ACBA-2BD339A3340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'Part 3'!$DP$2:$DP$253</c:f>
              <c:numCache>
                <c:formatCode>General</c:formatCode>
                <c:ptCount val="252"/>
                <c:pt idx="0">
                  <c:v>-2.8806743591110573</c:v>
                </c:pt>
                <c:pt idx="1">
                  <c:v>-2.514954877802527</c:v>
                </c:pt>
                <c:pt idx="2">
                  <c:v>-2.3293360530619998</c:v>
                </c:pt>
                <c:pt idx="3">
                  <c:v>-2.2004105812100327</c:v>
                </c:pt>
                <c:pt idx="4">
                  <c:v>-2.1001654928444697</c:v>
                </c:pt>
                <c:pt idx="5">
                  <c:v>-2.0174287103431898</c:v>
                </c:pt>
                <c:pt idx="6">
                  <c:v>-1.9465617207989845</c:v>
                </c:pt>
                <c:pt idx="7">
                  <c:v>-1.8843044227824219</c:v>
                </c:pt>
                <c:pt idx="8">
                  <c:v>-1.8285948988056846</c:v>
                </c:pt>
                <c:pt idx="9">
                  <c:v>-1.7780428020381664</c:v>
                </c:pt>
                <c:pt idx="10">
                  <c:v>-1.7316643961222451</c:v>
                </c:pt>
                <c:pt idx="11">
                  <c:v>-1.6887370022667971</c:v>
                </c:pt>
                <c:pt idx="12">
                  <c:v>-1.648713470290851</c:v>
                </c:pt>
                <c:pt idx="13">
                  <c:v>-1.6111691623526765</c:v>
                </c:pt>
                <c:pt idx="14">
                  <c:v>-1.5757676293730742</c:v>
                </c:pt>
                <c:pt idx="15">
                  <c:v>-1.5422375718953325</c:v>
                </c:pt>
                <c:pt idx="16">
                  <c:v>-1.5103568962835028</c:v>
                </c:pt>
                <c:pt idx="17">
                  <c:v>-1.4799413890351922</c:v>
                </c:pt>
                <c:pt idx="18">
                  <c:v>-1.450836487412636</c:v>
                </c:pt>
                <c:pt idx="19">
                  <c:v>-1.4229111803109864</c:v>
                </c:pt>
                <c:pt idx="20">
                  <c:v>-1.3960534082549905</c:v>
                </c:pt>
                <c:pt idx="21">
                  <c:v>-1.3701665397259748</c:v>
                </c:pt>
                <c:pt idx="22">
                  <c:v>-1.3451666341766386</c:v>
                </c:pt>
                <c:pt idx="23">
                  <c:v>-1.3209802893126328</c:v>
                </c:pt>
                <c:pt idx="24">
                  <c:v>-1.2975429286165541</c:v>
                </c:pt>
                <c:pt idx="25">
                  <c:v>-1.2747974249655289</c:v>
                </c:pt>
                <c:pt idx="26">
                  <c:v>-1.2526929839120384</c:v>
                </c:pt>
                <c:pt idx="27">
                  <c:v>-1.2311842297805575</c:v>
                </c:pt>
                <c:pt idx="28">
                  <c:v>-1.2102304517744085</c:v>
                </c:pt>
                <c:pt idx="29">
                  <c:v>-1.189794977493698</c:v>
                </c:pt>
                <c:pt idx="30">
                  <c:v>-1.1698446487773884</c:v>
                </c:pt>
                <c:pt idx="31">
                  <c:v>-1.1503493803760083</c:v>
                </c:pt>
                <c:pt idx="32">
                  <c:v>-1.1312817861712798</c:v>
                </c:pt>
                <c:pt idx="33">
                  <c:v>-1.1126168608589178</c:v>
                </c:pt>
                <c:pt idx="34">
                  <c:v>-1.0943317074660934</c:v>
                </c:pt>
                <c:pt idx="35">
                  <c:v>-1.0764053029751872</c:v>
                </c:pt>
                <c:pt idx="36">
                  <c:v>-1.0588182958080339</c:v>
                </c:pt>
                <c:pt idx="37">
                  <c:v>-1.0415528300904833</c:v>
                </c:pt>
                <c:pt idx="38">
                  <c:v>-1.024592392540099</c:v>
                </c:pt>
                <c:pt idx="39">
                  <c:v>-1.0079216785556244</c:v>
                </c:pt>
                <c:pt idx="40">
                  <c:v>-0.99152647467733057</c:v>
                </c:pt>
                <c:pt idx="41">
                  <c:v>-0.97539355506375336</c:v>
                </c:pt>
                <c:pt idx="42">
                  <c:v>-0.95951059001725081</c:v>
                </c:pt>
                <c:pt idx="43">
                  <c:v>-0.94386606490653602</c:v>
                </c:pt>
                <c:pt idx="44">
                  <c:v>-0.92844920809329989</c:v>
                </c:pt>
                <c:pt idx="45">
                  <c:v>-0.91324992668360727</c:v>
                </c:pt>
                <c:pt idx="46">
                  <c:v>-0.89825874910156867</c:v>
                </c:pt>
                <c:pt idx="47">
                  <c:v>-0.88346677362987858</c:v>
                </c:pt>
                <c:pt idx="48">
                  <c:v>-0.8688656221847797</c:v>
                </c:pt>
                <c:pt idx="49">
                  <c:v>-0.85444739869598973</c:v>
                </c:pt>
                <c:pt idx="50">
                  <c:v>-0.84020465154900881</c:v>
                </c:pt>
                <c:pt idx="51">
                  <c:v>-0.82613033962053128</c:v>
                </c:pt>
                <c:pt idx="52">
                  <c:v>-0.81221780149991241</c:v>
                </c:pt>
                <c:pt idx="53">
                  <c:v>-0.7984607275425748</c:v>
                </c:pt>
                <c:pt idx="54">
                  <c:v>-0.78485313444643534</c:v>
                </c:pt>
                <c:pt idx="55">
                  <c:v>-0.77138934208115728</c:v>
                </c:pt>
                <c:pt idx="56">
                  <c:v>-0.75806395233324275</c:v>
                </c:pt>
                <c:pt idx="57">
                  <c:v>-0.74487182975869159</c:v>
                </c:pt>
                <c:pt idx="58">
                  <c:v>-0.73180808385961749</c:v>
                </c:pt>
                <c:pt idx="59">
                  <c:v>-0.71886805282271549</c:v>
                </c:pt>
                <c:pt idx="60">
                  <c:v>-0.70604728857604471</c:v>
                </c:pt>
                <c:pt idx="61">
                  <c:v>-0.69334154303681728</c:v>
                </c:pt>
                <c:pt idx="62">
                  <c:v>-0.68074675543701968</c:v>
                </c:pt>
                <c:pt idx="63">
                  <c:v>-0.66825904062605401</c:v>
                </c:pt>
                <c:pt idx="64">
                  <c:v>-0.6558746782604522</c:v>
                </c:pt>
                <c:pt idx="65">
                  <c:v>-0.64359010280021778</c:v>
                </c:pt>
                <c:pt idx="66">
                  <c:v>-0.6314018942397609</c:v>
                </c:pt>
                <c:pt idx="67">
                  <c:v>-0.61930676950877617</c:v>
                </c:pt>
                <c:pt idx="68">
                  <c:v>-0.60730157448496325</c:v>
                </c:pt>
                <c:pt idx="69">
                  <c:v>-0.59538327656628021</c:v>
                </c:pt>
                <c:pt idx="70">
                  <c:v>-0.5835489577555576</c:v>
                </c:pt>
                <c:pt idx="71">
                  <c:v>-0.57179580821487397</c:v>
                </c:pt>
                <c:pt idx="72">
                  <c:v>-0.56012112025115535</c:v>
                </c:pt>
                <c:pt idx="73">
                  <c:v>-0.54852228269809788</c:v>
                </c:pt>
                <c:pt idx="74">
                  <c:v>-0.53699677566274262</c:v>
                </c:pt>
                <c:pt idx="75">
                  <c:v>-0.52554216560793954</c:v>
                </c:pt>
                <c:pt idx="76">
                  <c:v>-0.51415610074453411</c:v>
                </c:pt>
                <c:pt idx="77">
                  <c:v>-0.50283630670944168</c:v>
                </c:pt>
                <c:pt idx="78">
                  <c:v>-0.49158058250786868</c:v>
                </c:pt>
                <c:pt idx="79">
                  <c:v>-0.48038679669982853</c:v>
                </c:pt>
                <c:pt idx="80">
                  <c:v>-0.46925288381280222</c:v>
                </c:pt>
                <c:pt idx="81">
                  <c:v>-0.45817684096392136</c:v>
                </c:pt>
                <c:pt idx="82">
                  <c:v>-0.44715672467644574</c:v>
                </c:pt>
                <c:pt idx="83">
                  <c:v>-0.43619064787655393</c:v>
                </c:pt>
                <c:pt idx="84">
                  <c:v>-0.42527677705760725</c:v>
                </c:pt>
                <c:pt idx="85">
                  <c:v>-0.41441332960007643</c:v>
                </c:pt>
                <c:pt idx="86">
                  <c:v>-0.40359857123625476</c:v>
                </c:pt>
                <c:pt idx="87">
                  <c:v>-0.39283081364972938</c:v>
                </c:pt>
                <c:pt idx="88">
                  <c:v>-0.3821084122003639</c:v>
                </c:pt>
                <c:pt idx="89">
                  <c:v>-0.37142976376624032</c:v>
                </c:pt>
                <c:pt idx="90">
                  <c:v>-0.36079330469465853</c:v>
                </c:pt>
                <c:pt idx="91">
                  <c:v>-0.35019750885487144</c:v>
                </c:pt>
                <c:pt idx="92">
                  <c:v>-0.33964088578577573</c:v>
                </c:pt>
                <c:pt idx="93">
                  <c:v>-0.32912197893226108</c:v>
                </c:pt>
                <c:pt idx="94">
                  <c:v>-0.3186393639643752</c:v>
                </c:pt>
                <c:pt idx="95">
                  <c:v>-0.30819164717386466</c:v>
                </c:pt>
                <c:pt idx="96">
                  <c:v>-0.29777746394303445</c:v>
                </c:pt>
                <c:pt idx="97">
                  <c:v>-0.28739547728120973</c:v>
                </c:pt>
                <c:pt idx="98">
                  <c:v>-0.27704437642439755</c:v>
                </c:pt>
                <c:pt idx="99">
                  <c:v>-0.26672287549404339</c:v>
                </c:pt>
                <c:pt idx="100">
                  <c:v>-0.256429712211035</c:v>
                </c:pt>
                <c:pt idx="101">
                  <c:v>-0.24616364666135951</c:v>
                </c:pt>
                <c:pt idx="102">
                  <c:v>-0.23592346011003523</c:v>
                </c:pt>
                <c:pt idx="103">
                  <c:v>-0.2257079538601594</c:v>
                </c:pt>
                <c:pt idx="104">
                  <c:v>-0.21551594815408856</c:v>
                </c:pt>
                <c:pt idx="105">
                  <c:v>-0.20534628111395689</c:v>
                </c:pt>
                <c:pt idx="106">
                  <c:v>-0.19519780771888826</c:v>
                </c:pt>
                <c:pt idx="107">
                  <c:v>-0.18506939881641302</c:v>
                </c:pt>
                <c:pt idx="108">
                  <c:v>-0.17495994016573252</c:v>
                </c:pt>
                <c:pt idx="109">
                  <c:v>-0.16486833151060187</c:v>
                </c:pt>
                <c:pt idx="110">
                  <c:v>-0.15479348567971193</c:v>
                </c:pt>
                <c:pt idx="111">
                  <c:v>-0.14473432771256409</c:v>
                </c:pt>
                <c:pt idx="112">
                  <c:v>-0.13468979400891959</c:v>
                </c:pt>
                <c:pt idx="113">
                  <c:v>-0.1246588315</c:v>
                </c:pt>
                <c:pt idx="114">
                  <c:v>-0.11464039683969043</c:v>
                </c:pt>
                <c:pt idx="115">
                  <c:v>-0.10463345561407539</c:v>
                </c:pt>
                <c:pt idx="116">
                  <c:v>-9.4636981567699813E-2</c:v>
                </c:pt>
                <c:pt idx="117">
                  <c:v>-8.4649955845010449E-2</c:v>
                </c:pt>
                <c:pt idx="118">
                  <c:v>-7.4671366245484247E-2</c:v>
                </c:pt>
                <c:pt idx="119">
                  <c:v>-6.4700206491002693E-2</c:v>
                </c:pt>
                <c:pt idx="120">
                  <c:v>-5.4735475504070312E-2</c:v>
                </c:pt>
                <c:pt idx="121">
                  <c:v>-4.477617669551625E-2</c:v>
                </c:pt>
                <c:pt idx="122">
                  <c:v>-3.4821317260347699E-2</c:v>
                </c:pt>
                <c:pt idx="123">
                  <c:v>-2.4869907480456668E-2</c:v>
                </c:pt>
                <c:pt idx="124">
                  <c:v>-1.4920960032900372E-2</c:v>
                </c:pt>
                <c:pt idx="125">
                  <c:v>-4.9734893024984917E-3</c:v>
                </c:pt>
                <c:pt idx="126">
                  <c:v>4.9734893024984917E-3</c:v>
                </c:pt>
                <c:pt idx="127">
                  <c:v>1.4920960032900372E-2</c:v>
                </c:pt>
                <c:pt idx="128">
                  <c:v>2.4869907480456525E-2</c:v>
                </c:pt>
                <c:pt idx="129">
                  <c:v>3.482131726034756E-2</c:v>
                </c:pt>
                <c:pt idx="130">
                  <c:v>4.4776176695516381E-2</c:v>
                </c:pt>
                <c:pt idx="131">
                  <c:v>5.4735475504070437E-2</c:v>
                </c:pt>
                <c:pt idx="132">
                  <c:v>6.4700206491002693E-2</c:v>
                </c:pt>
                <c:pt idx="133">
                  <c:v>7.4671366245484247E-2</c:v>
                </c:pt>
                <c:pt idx="134">
                  <c:v>8.4649955845010449E-2</c:v>
                </c:pt>
                <c:pt idx="135">
                  <c:v>9.4636981567699813E-2</c:v>
                </c:pt>
                <c:pt idx="136">
                  <c:v>0.10463345561407525</c:v>
                </c:pt>
                <c:pt idx="137">
                  <c:v>0.1146403968396903</c:v>
                </c:pt>
                <c:pt idx="138">
                  <c:v>0.12465883150000014</c:v>
                </c:pt>
                <c:pt idx="139">
                  <c:v>0.13468979400891973</c:v>
                </c:pt>
                <c:pt idx="140">
                  <c:v>0.14473432771256409</c:v>
                </c:pt>
                <c:pt idx="141">
                  <c:v>0.15479348567971193</c:v>
                </c:pt>
                <c:pt idx="142">
                  <c:v>0.16486833151060187</c:v>
                </c:pt>
                <c:pt idx="143">
                  <c:v>0.17495994016573252</c:v>
                </c:pt>
                <c:pt idx="144">
                  <c:v>0.18506939881641285</c:v>
                </c:pt>
                <c:pt idx="145">
                  <c:v>0.19519780771888809</c:v>
                </c:pt>
                <c:pt idx="146">
                  <c:v>0.20534628111395706</c:v>
                </c:pt>
                <c:pt idx="147">
                  <c:v>0.21551594815408867</c:v>
                </c:pt>
                <c:pt idx="148">
                  <c:v>0.2257079538601594</c:v>
                </c:pt>
                <c:pt idx="149">
                  <c:v>0.23592346011003523</c:v>
                </c:pt>
                <c:pt idx="150">
                  <c:v>0.24616364666135951</c:v>
                </c:pt>
                <c:pt idx="151">
                  <c:v>0.256429712211035</c:v>
                </c:pt>
                <c:pt idx="152">
                  <c:v>0.26672287549404317</c:v>
                </c:pt>
                <c:pt idx="153">
                  <c:v>0.27704437642439733</c:v>
                </c:pt>
                <c:pt idx="154">
                  <c:v>0.28739547728120984</c:v>
                </c:pt>
                <c:pt idx="155">
                  <c:v>0.29777746394303461</c:v>
                </c:pt>
                <c:pt idx="156">
                  <c:v>0.30819164717386466</c:v>
                </c:pt>
                <c:pt idx="157">
                  <c:v>0.3186393639643752</c:v>
                </c:pt>
                <c:pt idx="158">
                  <c:v>0.32912197893226108</c:v>
                </c:pt>
                <c:pt idx="159">
                  <c:v>0.3396408857857755</c:v>
                </c:pt>
                <c:pt idx="160">
                  <c:v>0.35019750885487133</c:v>
                </c:pt>
                <c:pt idx="161">
                  <c:v>0.3607933046946587</c:v>
                </c:pt>
                <c:pt idx="162">
                  <c:v>0.37142976376624048</c:v>
                </c:pt>
                <c:pt idx="163">
                  <c:v>0.3821084122003639</c:v>
                </c:pt>
                <c:pt idx="164">
                  <c:v>0.39283081364972938</c:v>
                </c:pt>
                <c:pt idx="165">
                  <c:v>0.40359857123625476</c:v>
                </c:pt>
                <c:pt idx="166">
                  <c:v>0.41441332960007643</c:v>
                </c:pt>
                <c:pt idx="167">
                  <c:v>0.42527677705760714</c:v>
                </c:pt>
                <c:pt idx="168">
                  <c:v>0.43619064787655376</c:v>
                </c:pt>
                <c:pt idx="169">
                  <c:v>0.44715672467644596</c:v>
                </c:pt>
                <c:pt idx="170">
                  <c:v>0.45817684096392136</c:v>
                </c:pt>
                <c:pt idx="171">
                  <c:v>0.46925288381280222</c:v>
                </c:pt>
                <c:pt idx="172">
                  <c:v>0.48038679669982853</c:v>
                </c:pt>
                <c:pt idx="173">
                  <c:v>0.49158058250786868</c:v>
                </c:pt>
                <c:pt idx="174">
                  <c:v>0.50283630670944168</c:v>
                </c:pt>
                <c:pt idx="175">
                  <c:v>0.51415610074453411</c:v>
                </c:pt>
                <c:pt idx="176">
                  <c:v>0.52554216560793932</c:v>
                </c:pt>
                <c:pt idx="177">
                  <c:v>0.53699677566274295</c:v>
                </c:pt>
                <c:pt idx="178">
                  <c:v>0.54852228269809822</c:v>
                </c:pt>
                <c:pt idx="179">
                  <c:v>0.56012112025115535</c:v>
                </c:pt>
                <c:pt idx="180">
                  <c:v>0.57179580821487397</c:v>
                </c:pt>
                <c:pt idx="181">
                  <c:v>0.5835489577555576</c:v>
                </c:pt>
                <c:pt idx="182">
                  <c:v>0.59538327656628021</c:v>
                </c:pt>
                <c:pt idx="183">
                  <c:v>0.60730157448496336</c:v>
                </c:pt>
                <c:pt idx="184">
                  <c:v>0.61930676950877606</c:v>
                </c:pt>
                <c:pt idx="185">
                  <c:v>0.63140189423976112</c:v>
                </c:pt>
                <c:pt idx="186">
                  <c:v>0.64359010280021778</c:v>
                </c:pt>
                <c:pt idx="187">
                  <c:v>0.6558746782604522</c:v>
                </c:pt>
                <c:pt idx="188">
                  <c:v>0.66825904062605401</c:v>
                </c:pt>
                <c:pt idx="189">
                  <c:v>0.68074675543701968</c:v>
                </c:pt>
                <c:pt idx="190">
                  <c:v>0.69334154303681728</c:v>
                </c:pt>
                <c:pt idx="191">
                  <c:v>0.70604728857604471</c:v>
                </c:pt>
                <c:pt idx="192">
                  <c:v>0.71886805282271604</c:v>
                </c:pt>
                <c:pt idx="193">
                  <c:v>0.73180808385961771</c:v>
                </c:pt>
                <c:pt idx="194">
                  <c:v>0.74487182975869159</c:v>
                </c:pt>
                <c:pt idx="195">
                  <c:v>0.75806395233324275</c:v>
                </c:pt>
                <c:pt idx="196">
                  <c:v>0.77138934208115728</c:v>
                </c:pt>
                <c:pt idx="197">
                  <c:v>0.78485313444643534</c:v>
                </c:pt>
                <c:pt idx="198">
                  <c:v>0.7984607275425748</c:v>
                </c:pt>
                <c:pt idx="199">
                  <c:v>0.81221780149991241</c:v>
                </c:pt>
                <c:pt idx="200">
                  <c:v>0.82613033962053162</c:v>
                </c:pt>
                <c:pt idx="201">
                  <c:v>0.84020465154900847</c:v>
                </c:pt>
                <c:pt idx="202">
                  <c:v>0.85444739869598973</c:v>
                </c:pt>
                <c:pt idx="203">
                  <c:v>0.8688656221847797</c:v>
                </c:pt>
                <c:pt idx="204">
                  <c:v>0.88346677362987858</c:v>
                </c:pt>
                <c:pt idx="205">
                  <c:v>0.89825874910156867</c:v>
                </c:pt>
                <c:pt idx="206">
                  <c:v>0.91324992668360727</c:v>
                </c:pt>
                <c:pt idx="207">
                  <c:v>0.92844920809329989</c:v>
                </c:pt>
                <c:pt idx="208">
                  <c:v>0.94386606490653491</c:v>
                </c:pt>
                <c:pt idx="209">
                  <c:v>0.95951059001724914</c:v>
                </c:pt>
                <c:pt idx="210">
                  <c:v>0.97539355506375336</c:v>
                </c:pt>
                <c:pt idx="211">
                  <c:v>0.99152647467733057</c:v>
                </c:pt>
                <c:pt idx="212">
                  <c:v>1.0079216785556244</c:v>
                </c:pt>
                <c:pt idx="213">
                  <c:v>1.024592392540099</c:v>
                </c:pt>
                <c:pt idx="214">
                  <c:v>1.0415528300904833</c:v>
                </c:pt>
                <c:pt idx="215">
                  <c:v>1.0588182958080339</c:v>
                </c:pt>
                <c:pt idx="216">
                  <c:v>1.0764053029751868</c:v>
                </c:pt>
                <c:pt idx="217">
                  <c:v>1.0943317074660934</c:v>
                </c:pt>
                <c:pt idx="218">
                  <c:v>1.1126168608589178</c:v>
                </c:pt>
                <c:pt idx="219">
                  <c:v>1.1312817861712798</c:v>
                </c:pt>
                <c:pt idx="220">
                  <c:v>1.1503493803760083</c:v>
                </c:pt>
                <c:pt idx="221">
                  <c:v>1.1698446487773884</c:v>
                </c:pt>
                <c:pt idx="222">
                  <c:v>1.189794977493698</c:v>
                </c:pt>
                <c:pt idx="223">
                  <c:v>1.2102304517744078</c:v>
                </c:pt>
                <c:pt idx="224">
                  <c:v>1.2311842297805575</c:v>
                </c:pt>
                <c:pt idx="225">
                  <c:v>1.2526929839120398</c:v>
                </c:pt>
                <c:pt idx="226">
                  <c:v>1.2747974249655289</c:v>
                </c:pt>
                <c:pt idx="227">
                  <c:v>1.2975429286165541</c:v>
                </c:pt>
                <c:pt idx="228">
                  <c:v>1.3209802893126328</c:v>
                </c:pt>
                <c:pt idx="229">
                  <c:v>1.3451666341766386</c:v>
                </c:pt>
                <c:pt idx="230">
                  <c:v>1.3701665397259748</c:v>
                </c:pt>
                <c:pt idx="231">
                  <c:v>1.3960534082549898</c:v>
                </c:pt>
                <c:pt idx="232">
                  <c:v>1.4229111803109853</c:v>
                </c:pt>
                <c:pt idx="233">
                  <c:v>1.4508364874126363</c:v>
                </c:pt>
                <c:pt idx="234">
                  <c:v>1.4799413890351927</c:v>
                </c:pt>
                <c:pt idx="235">
                  <c:v>1.5103568962835032</c:v>
                </c:pt>
                <c:pt idx="236">
                  <c:v>1.5422375718953325</c:v>
                </c:pt>
                <c:pt idx="237">
                  <c:v>1.5757676293730736</c:v>
                </c:pt>
                <c:pt idx="238">
                  <c:v>1.6111691623526765</c:v>
                </c:pt>
                <c:pt idx="239">
                  <c:v>1.6487134702908506</c:v>
                </c:pt>
                <c:pt idx="240">
                  <c:v>1.688737002266798</c:v>
                </c:pt>
                <c:pt idx="241">
                  <c:v>1.7316643961222455</c:v>
                </c:pt>
                <c:pt idx="242">
                  <c:v>1.7780428020381671</c:v>
                </c:pt>
                <c:pt idx="243">
                  <c:v>1.8285948988056846</c:v>
                </c:pt>
                <c:pt idx="244">
                  <c:v>1.8843044227824219</c:v>
                </c:pt>
                <c:pt idx="245">
                  <c:v>1.946561720798984</c:v>
                </c:pt>
                <c:pt idx="246">
                  <c:v>2.0174287103431894</c:v>
                </c:pt>
                <c:pt idx="247">
                  <c:v>2.100165492844468</c:v>
                </c:pt>
                <c:pt idx="248">
                  <c:v>2.2004105812100336</c:v>
                </c:pt>
                <c:pt idx="249">
                  <c:v>2.3293360530620011</c:v>
                </c:pt>
                <c:pt idx="250">
                  <c:v>2.5149548778025288</c:v>
                </c:pt>
                <c:pt idx="251">
                  <c:v>2.8806743591110586</c:v>
                </c:pt>
              </c:numCache>
            </c:numRef>
          </c:xVal>
          <c:yVal>
            <c:numRef>
              <c:f>'Part 3'!$DP$2:$DP$253</c:f>
              <c:numCache>
                <c:formatCode>General</c:formatCode>
                <c:ptCount val="252"/>
                <c:pt idx="0">
                  <c:v>-2.8806743591110573</c:v>
                </c:pt>
                <c:pt idx="1">
                  <c:v>-2.514954877802527</c:v>
                </c:pt>
                <c:pt idx="2">
                  <c:v>-2.3293360530619998</c:v>
                </c:pt>
                <c:pt idx="3">
                  <c:v>-2.2004105812100327</c:v>
                </c:pt>
                <c:pt idx="4">
                  <c:v>-2.1001654928444697</c:v>
                </c:pt>
                <c:pt idx="5">
                  <c:v>-2.0174287103431898</c:v>
                </c:pt>
                <c:pt idx="6">
                  <c:v>-1.9465617207989845</c:v>
                </c:pt>
                <c:pt idx="7">
                  <c:v>-1.8843044227824219</c:v>
                </c:pt>
                <c:pt idx="8">
                  <c:v>-1.8285948988056846</c:v>
                </c:pt>
                <c:pt idx="9">
                  <c:v>-1.7780428020381664</c:v>
                </c:pt>
                <c:pt idx="10">
                  <c:v>-1.7316643961222451</c:v>
                </c:pt>
                <c:pt idx="11">
                  <c:v>-1.6887370022667971</c:v>
                </c:pt>
                <c:pt idx="12">
                  <c:v>-1.648713470290851</c:v>
                </c:pt>
                <c:pt idx="13">
                  <c:v>-1.6111691623526765</c:v>
                </c:pt>
                <c:pt idx="14">
                  <c:v>-1.5757676293730742</c:v>
                </c:pt>
                <c:pt idx="15">
                  <c:v>-1.5422375718953325</c:v>
                </c:pt>
                <c:pt idx="16">
                  <c:v>-1.5103568962835028</c:v>
                </c:pt>
                <c:pt idx="17">
                  <c:v>-1.4799413890351922</c:v>
                </c:pt>
                <c:pt idx="18">
                  <c:v>-1.450836487412636</c:v>
                </c:pt>
                <c:pt idx="19">
                  <c:v>-1.4229111803109864</c:v>
                </c:pt>
                <c:pt idx="20">
                  <c:v>-1.3960534082549905</c:v>
                </c:pt>
                <c:pt idx="21">
                  <c:v>-1.3701665397259748</c:v>
                </c:pt>
                <c:pt idx="22">
                  <c:v>-1.3451666341766386</c:v>
                </c:pt>
                <c:pt idx="23">
                  <c:v>-1.3209802893126328</c:v>
                </c:pt>
                <c:pt idx="24">
                  <c:v>-1.2975429286165541</c:v>
                </c:pt>
                <c:pt idx="25">
                  <c:v>-1.2747974249655289</c:v>
                </c:pt>
                <c:pt idx="26">
                  <c:v>-1.2526929839120384</c:v>
                </c:pt>
                <c:pt idx="27">
                  <c:v>-1.2311842297805575</c:v>
                </c:pt>
                <c:pt idx="28">
                  <c:v>-1.2102304517744085</c:v>
                </c:pt>
                <c:pt idx="29">
                  <c:v>-1.189794977493698</c:v>
                </c:pt>
                <c:pt idx="30">
                  <c:v>-1.1698446487773884</c:v>
                </c:pt>
                <c:pt idx="31">
                  <c:v>-1.1503493803760083</c:v>
                </c:pt>
                <c:pt idx="32">
                  <c:v>-1.1312817861712798</c:v>
                </c:pt>
                <c:pt idx="33">
                  <c:v>-1.1126168608589178</c:v>
                </c:pt>
                <c:pt idx="34">
                  <c:v>-1.0943317074660934</c:v>
                </c:pt>
                <c:pt idx="35">
                  <c:v>-1.0764053029751872</c:v>
                </c:pt>
                <c:pt idx="36">
                  <c:v>-1.0588182958080339</c:v>
                </c:pt>
                <c:pt idx="37">
                  <c:v>-1.0415528300904833</c:v>
                </c:pt>
                <c:pt idx="38">
                  <c:v>-1.024592392540099</c:v>
                </c:pt>
                <c:pt idx="39">
                  <c:v>-1.0079216785556244</c:v>
                </c:pt>
                <c:pt idx="40">
                  <c:v>-0.99152647467733057</c:v>
                </c:pt>
                <c:pt idx="41">
                  <c:v>-0.97539355506375336</c:v>
                </c:pt>
                <c:pt idx="42">
                  <c:v>-0.95951059001725081</c:v>
                </c:pt>
                <c:pt idx="43">
                  <c:v>-0.94386606490653602</c:v>
                </c:pt>
                <c:pt idx="44">
                  <c:v>-0.92844920809329989</c:v>
                </c:pt>
                <c:pt idx="45">
                  <c:v>-0.91324992668360727</c:v>
                </c:pt>
                <c:pt idx="46">
                  <c:v>-0.89825874910156867</c:v>
                </c:pt>
                <c:pt idx="47">
                  <c:v>-0.88346677362987858</c:v>
                </c:pt>
                <c:pt idx="48">
                  <c:v>-0.8688656221847797</c:v>
                </c:pt>
                <c:pt idx="49">
                  <c:v>-0.85444739869598973</c:v>
                </c:pt>
                <c:pt idx="50">
                  <c:v>-0.84020465154900881</c:v>
                </c:pt>
                <c:pt idx="51">
                  <c:v>-0.82613033962053128</c:v>
                </c:pt>
                <c:pt idx="52">
                  <c:v>-0.81221780149991241</c:v>
                </c:pt>
                <c:pt idx="53">
                  <c:v>-0.7984607275425748</c:v>
                </c:pt>
                <c:pt idx="54">
                  <c:v>-0.78485313444643534</c:v>
                </c:pt>
                <c:pt idx="55">
                  <c:v>-0.77138934208115728</c:v>
                </c:pt>
                <c:pt idx="56">
                  <c:v>-0.75806395233324275</c:v>
                </c:pt>
                <c:pt idx="57">
                  <c:v>-0.74487182975869159</c:v>
                </c:pt>
                <c:pt idx="58">
                  <c:v>-0.73180808385961749</c:v>
                </c:pt>
                <c:pt idx="59">
                  <c:v>-0.71886805282271549</c:v>
                </c:pt>
                <c:pt idx="60">
                  <c:v>-0.70604728857604471</c:v>
                </c:pt>
                <c:pt idx="61">
                  <c:v>-0.69334154303681728</c:v>
                </c:pt>
                <c:pt idx="62">
                  <c:v>-0.68074675543701968</c:v>
                </c:pt>
                <c:pt idx="63">
                  <c:v>-0.66825904062605401</c:v>
                </c:pt>
                <c:pt idx="64">
                  <c:v>-0.6558746782604522</c:v>
                </c:pt>
                <c:pt idx="65">
                  <c:v>-0.64359010280021778</c:v>
                </c:pt>
                <c:pt idx="66">
                  <c:v>-0.6314018942397609</c:v>
                </c:pt>
                <c:pt idx="67">
                  <c:v>-0.61930676950877617</c:v>
                </c:pt>
                <c:pt idx="68">
                  <c:v>-0.60730157448496325</c:v>
                </c:pt>
                <c:pt idx="69">
                  <c:v>-0.59538327656628021</c:v>
                </c:pt>
                <c:pt idx="70">
                  <c:v>-0.5835489577555576</c:v>
                </c:pt>
                <c:pt idx="71">
                  <c:v>-0.57179580821487397</c:v>
                </c:pt>
                <c:pt idx="72">
                  <c:v>-0.56012112025115535</c:v>
                </c:pt>
                <c:pt idx="73">
                  <c:v>-0.54852228269809788</c:v>
                </c:pt>
                <c:pt idx="74">
                  <c:v>-0.53699677566274262</c:v>
                </c:pt>
                <c:pt idx="75">
                  <c:v>-0.52554216560793954</c:v>
                </c:pt>
                <c:pt idx="76">
                  <c:v>-0.51415610074453411</c:v>
                </c:pt>
                <c:pt idx="77">
                  <c:v>-0.50283630670944168</c:v>
                </c:pt>
                <c:pt idx="78">
                  <c:v>-0.49158058250786868</c:v>
                </c:pt>
                <c:pt idx="79">
                  <c:v>-0.48038679669982853</c:v>
                </c:pt>
                <c:pt idx="80">
                  <c:v>-0.46925288381280222</c:v>
                </c:pt>
                <c:pt idx="81">
                  <c:v>-0.45817684096392136</c:v>
                </c:pt>
                <c:pt idx="82">
                  <c:v>-0.44715672467644574</c:v>
                </c:pt>
                <c:pt idx="83">
                  <c:v>-0.43619064787655393</c:v>
                </c:pt>
                <c:pt idx="84">
                  <c:v>-0.42527677705760725</c:v>
                </c:pt>
                <c:pt idx="85">
                  <c:v>-0.41441332960007643</c:v>
                </c:pt>
                <c:pt idx="86">
                  <c:v>-0.40359857123625476</c:v>
                </c:pt>
                <c:pt idx="87">
                  <c:v>-0.39283081364972938</c:v>
                </c:pt>
                <c:pt idx="88">
                  <c:v>-0.3821084122003639</c:v>
                </c:pt>
                <c:pt idx="89">
                  <c:v>-0.37142976376624032</c:v>
                </c:pt>
                <c:pt idx="90">
                  <c:v>-0.36079330469465853</c:v>
                </c:pt>
                <c:pt idx="91">
                  <c:v>-0.35019750885487144</c:v>
                </c:pt>
                <c:pt idx="92">
                  <c:v>-0.33964088578577573</c:v>
                </c:pt>
                <c:pt idx="93">
                  <c:v>-0.32912197893226108</c:v>
                </c:pt>
                <c:pt idx="94">
                  <c:v>-0.3186393639643752</c:v>
                </c:pt>
                <c:pt idx="95">
                  <c:v>-0.30819164717386466</c:v>
                </c:pt>
                <c:pt idx="96">
                  <c:v>-0.29777746394303445</c:v>
                </c:pt>
                <c:pt idx="97">
                  <c:v>-0.28739547728120973</c:v>
                </c:pt>
                <c:pt idx="98">
                  <c:v>-0.27704437642439755</c:v>
                </c:pt>
                <c:pt idx="99">
                  <c:v>-0.26672287549404339</c:v>
                </c:pt>
                <c:pt idx="100">
                  <c:v>-0.256429712211035</c:v>
                </c:pt>
                <c:pt idx="101">
                  <c:v>-0.24616364666135951</c:v>
                </c:pt>
                <c:pt idx="102">
                  <c:v>-0.23592346011003523</c:v>
                </c:pt>
                <c:pt idx="103">
                  <c:v>-0.2257079538601594</c:v>
                </c:pt>
                <c:pt idx="104">
                  <c:v>-0.21551594815408856</c:v>
                </c:pt>
                <c:pt idx="105">
                  <c:v>-0.20534628111395689</c:v>
                </c:pt>
                <c:pt idx="106">
                  <c:v>-0.19519780771888826</c:v>
                </c:pt>
                <c:pt idx="107">
                  <c:v>-0.18506939881641302</c:v>
                </c:pt>
                <c:pt idx="108">
                  <c:v>-0.17495994016573252</c:v>
                </c:pt>
                <c:pt idx="109">
                  <c:v>-0.16486833151060187</c:v>
                </c:pt>
                <c:pt idx="110">
                  <c:v>-0.15479348567971193</c:v>
                </c:pt>
                <c:pt idx="111">
                  <c:v>-0.14473432771256409</c:v>
                </c:pt>
                <c:pt idx="112">
                  <c:v>-0.13468979400891959</c:v>
                </c:pt>
                <c:pt idx="113">
                  <c:v>-0.1246588315</c:v>
                </c:pt>
                <c:pt idx="114">
                  <c:v>-0.11464039683969043</c:v>
                </c:pt>
                <c:pt idx="115">
                  <c:v>-0.10463345561407539</c:v>
                </c:pt>
                <c:pt idx="116">
                  <c:v>-9.4636981567699813E-2</c:v>
                </c:pt>
                <c:pt idx="117">
                  <c:v>-8.4649955845010449E-2</c:v>
                </c:pt>
                <c:pt idx="118">
                  <c:v>-7.4671366245484247E-2</c:v>
                </c:pt>
                <c:pt idx="119">
                  <c:v>-6.4700206491002693E-2</c:v>
                </c:pt>
                <c:pt idx="120">
                  <c:v>-5.4735475504070312E-2</c:v>
                </c:pt>
                <c:pt idx="121">
                  <c:v>-4.477617669551625E-2</c:v>
                </c:pt>
                <c:pt idx="122">
                  <c:v>-3.4821317260347699E-2</c:v>
                </c:pt>
                <c:pt idx="123">
                  <c:v>-2.4869907480456668E-2</c:v>
                </c:pt>
                <c:pt idx="124">
                  <c:v>-1.4920960032900372E-2</c:v>
                </c:pt>
                <c:pt idx="125">
                  <c:v>-4.9734893024984917E-3</c:v>
                </c:pt>
                <c:pt idx="126">
                  <c:v>4.9734893024984917E-3</c:v>
                </c:pt>
                <c:pt idx="127">
                  <c:v>1.4920960032900372E-2</c:v>
                </c:pt>
                <c:pt idx="128">
                  <c:v>2.4869907480456525E-2</c:v>
                </c:pt>
                <c:pt idx="129">
                  <c:v>3.482131726034756E-2</c:v>
                </c:pt>
                <c:pt idx="130">
                  <c:v>4.4776176695516381E-2</c:v>
                </c:pt>
                <c:pt idx="131">
                  <c:v>5.4735475504070437E-2</c:v>
                </c:pt>
                <c:pt idx="132">
                  <c:v>6.4700206491002693E-2</c:v>
                </c:pt>
                <c:pt idx="133">
                  <c:v>7.4671366245484247E-2</c:v>
                </c:pt>
                <c:pt idx="134">
                  <c:v>8.4649955845010449E-2</c:v>
                </c:pt>
                <c:pt idx="135">
                  <c:v>9.4636981567699813E-2</c:v>
                </c:pt>
                <c:pt idx="136">
                  <c:v>0.10463345561407525</c:v>
                </c:pt>
                <c:pt idx="137">
                  <c:v>0.1146403968396903</c:v>
                </c:pt>
                <c:pt idx="138">
                  <c:v>0.12465883150000014</c:v>
                </c:pt>
                <c:pt idx="139">
                  <c:v>0.13468979400891973</c:v>
                </c:pt>
                <c:pt idx="140">
                  <c:v>0.14473432771256409</c:v>
                </c:pt>
                <c:pt idx="141">
                  <c:v>0.15479348567971193</c:v>
                </c:pt>
                <c:pt idx="142">
                  <c:v>0.16486833151060187</c:v>
                </c:pt>
                <c:pt idx="143">
                  <c:v>0.17495994016573252</c:v>
                </c:pt>
                <c:pt idx="144">
                  <c:v>0.18506939881641285</c:v>
                </c:pt>
                <c:pt idx="145">
                  <c:v>0.19519780771888809</c:v>
                </c:pt>
                <c:pt idx="146">
                  <c:v>0.20534628111395706</c:v>
                </c:pt>
                <c:pt idx="147">
                  <c:v>0.21551594815408867</c:v>
                </c:pt>
                <c:pt idx="148">
                  <c:v>0.2257079538601594</c:v>
                </c:pt>
                <c:pt idx="149">
                  <c:v>0.23592346011003523</c:v>
                </c:pt>
                <c:pt idx="150">
                  <c:v>0.24616364666135951</c:v>
                </c:pt>
                <c:pt idx="151">
                  <c:v>0.256429712211035</c:v>
                </c:pt>
                <c:pt idx="152">
                  <c:v>0.26672287549404317</c:v>
                </c:pt>
                <c:pt idx="153">
                  <c:v>0.27704437642439733</c:v>
                </c:pt>
                <c:pt idx="154">
                  <c:v>0.28739547728120984</c:v>
                </c:pt>
                <c:pt idx="155">
                  <c:v>0.29777746394303461</c:v>
                </c:pt>
                <c:pt idx="156">
                  <c:v>0.30819164717386466</c:v>
                </c:pt>
                <c:pt idx="157">
                  <c:v>0.3186393639643752</c:v>
                </c:pt>
                <c:pt idx="158">
                  <c:v>0.32912197893226108</c:v>
                </c:pt>
                <c:pt idx="159">
                  <c:v>0.3396408857857755</c:v>
                </c:pt>
                <c:pt idx="160">
                  <c:v>0.35019750885487133</c:v>
                </c:pt>
                <c:pt idx="161">
                  <c:v>0.3607933046946587</c:v>
                </c:pt>
                <c:pt idx="162">
                  <c:v>0.37142976376624048</c:v>
                </c:pt>
                <c:pt idx="163">
                  <c:v>0.3821084122003639</c:v>
                </c:pt>
                <c:pt idx="164">
                  <c:v>0.39283081364972938</c:v>
                </c:pt>
                <c:pt idx="165">
                  <c:v>0.40359857123625476</c:v>
                </c:pt>
                <c:pt idx="166">
                  <c:v>0.41441332960007643</c:v>
                </c:pt>
                <c:pt idx="167">
                  <c:v>0.42527677705760714</c:v>
                </c:pt>
                <c:pt idx="168">
                  <c:v>0.43619064787655376</c:v>
                </c:pt>
                <c:pt idx="169">
                  <c:v>0.44715672467644596</c:v>
                </c:pt>
                <c:pt idx="170">
                  <c:v>0.45817684096392136</c:v>
                </c:pt>
                <c:pt idx="171">
                  <c:v>0.46925288381280222</c:v>
                </c:pt>
                <c:pt idx="172">
                  <c:v>0.48038679669982853</c:v>
                </c:pt>
                <c:pt idx="173">
                  <c:v>0.49158058250786868</c:v>
                </c:pt>
                <c:pt idx="174">
                  <c:v>0.50283630670944168</c:v>
                </c:pt>
                <c:pt idx="175">
                  <c:v>0.51415610074453411</c:v>
                </c:pt>
                <c:pt idx="176">
                  <c:v>0.52554216560793932</c:v>
                </c:pt>
                <c:pt idx="177">
                  <c:v>0.53699677566274295</c:v>
                </c:pt>
                <c:pt idx="178">
                  <c:v>0.54852228269809822</c:v>
                </c:pt>
                <c:pt idx="179">
                  <c:v>0.56012112025115535</c:v>
                </c:pt>
                <c:pt idx="180">
                  <c:v>0.57179580821487397</c:v>
                </c:pt>
                <c:pt idx="181">
                  <c:v>0.5835489577555576</c:v>
                </c:pt>
                <c:pt idx="182">
                  <c:v>0.59538327656628021</c:v>
                </c:pt>
                <c:pt idx="183">
                  <c:v>0.60730157448496336</c:v>
                </c:pt>
                <c:pt idx="184">
                  <c:v>0.61930676950877606</c:v>
                </c:pt>
                <c:pt idx="185">
                  <c:v>0.63140189423976112</c:v>
                </c:pt>
                <c:pt idx="186">
                  <c:v>0.64359010280021778</c:v>
                </c:pt>
                <c:pt idx="187">
                  <c:v>0.6558746782604522</c:v>
                </c:pt>
                <c:pt idx="188">
                  <c:v>0.66825904062605401</c:v>
                </c:pt>
                <c:pt idx="189">
                  <c:v>0.68074675543701968</c:v>
                </c:pt>
                <c:pt idx="190">
                  <c:v>0.69334154303681728</c:v>
                </c:pt>
                <c:pt idx="191">
                  <c:v>0.70604728857604471</c:v>
                </c:pt>
                <c:pt idx="192">
                  <c:v>0.71886805282271604</c:v>
                </c:pt>
                <c:pt idx="193">
                  <c:v>0.73180808385961771</c:v>
                </c:pt>
                <c:pt idx="194">
                  <c:v>0.74487182975869159</c:v>
                </c:pt>
                <c:pt idx="195">
                  <c:v>0.75806395233324275</c:v>
                </c:pt>
                <c:pt idx="196">
                  <c:v>0.77138934208115728</c:v>
                </c:pt>
                <c:pt idx="197">
                  <c:v>0.78485313444643534</c:v>
                </c:pt>
                <c:pt idx="198">
                  <c:v>0.7984607275425748</c:v>
                </c:pt>
                <c:pt idx="199">
                  <c:v>0.81221780149991241</c:v>
                </c:pt>
                <c:pt idx="200">
                  <c:v>0.82613033962053162</c:v>
                </c:pt>
                <c:pt idx="201">
                  <c:v>0.84020465154900847</c:v>
                </c:pt>
                <c:pt idx="202">
                  <c:v>0.85444739869598973</c:v>
                </c:pt>
                <c:pt idx="203">
                  <c:v>0.8688656221847797</c:v>
                </c:pt>
                <c:pt idx="204">
                  <c:v>0.88346677362987858</c:v>
                </c:pt>
                <c:pt idx="205">
                  <c:v>0.89825874910156867</c:v>
                </c:pt>
                <c:pt idx="206">
                  <c:v>0.91324992668360727</c:v>
                </c:pt>
                <c:pt idx="207">
                  <c:v>0.92844920809329989</c:v>
                </c:pt>
                <c:pt idx="208">
                  <c:v>0.94386606490653491</c:v>
                </c:pt>
                <c:pt idx="209">
                  <c:v>0.95951059001724914</c:v>
                </c:pt>
                <c:pt idx="210">
                  <c:v>0.97539355506375336</c:v>
                </c:pt>
                <c:pt idx="211">
                  <c:v>0.99152647467733057</c:v>
                </c:pt>
                <c:pt idx="212">
                  <c:v>1.0079216785556244</c:v>
                </c:pt>
                <c:pt idx="213">
                  <c:v>1.024592392540099</c:v>
                </c:pt>
                <c:pt idx="214">
                  <c:v>1.0415528300904833</c:v>
                </c:pt>
                <c:pt idx="215">
                  <c:v>1.0588182958080339</c:v>
                </c:pt>
                <c:pt idx="216">
                  <c:v>1.0764053029751868</c:v>
                </c:pt>
                <c:pt idx="217">
                  <c:v>1.0943317074660934</c:v>
                </c:pt>
                <c:pt idx="218">
                  <c:v>1.1126168608589178</c:v>
                </c:pt>
                <c:pt idx="219">
                  <c:v>1.1312817861712798</c:v>
                </c:pt>
                <c:pt idx="220">
                  <c:v>1.1503493803760083</c:v>
                </c:pt>
                <c:pt idx="221">
                  <c:v>1.1698446487773884</c:v>
                </c:pt>
                <c:pt idx="222">
                  <c:v>1.189794977493698</c:v>
                </c:pt>
                <c:pt idx="223">
                  <c:v>1.2102304517744078</c:v>
                </c:pt>
                <c:pt idx="224">
                  <c:v>1.2311842297805575</c:v>
                </c:pt>
                <c:pt idx="225">
                  <c:v>1.2526929839120398</c:v>
                </c:pt>
                <c:pt idx="226">
                  <c:v>1.2747974249655289</c:v>
                </c:pt>
                <c:pt idx="227">
                  <c:v>1.2975429286165541</c:v>
                </c:pt>
                <c:pt idx="228">
                  <c:v>1.3209802893126328</c:v>
                </c:pt>
                <c:pt idx="229">
                  <c:v>1.3451666341766386</c:v>
                </c:pt>
                <c:pt idx="230">
                  <c:v>1.3701665397259748</c:v>
                </c:pt>
                <c:pt idx="231">
                  <c:v>1.3960534082549898</c:v>
                </c:pt>
                <c:pt idx="232">
                  <c:v>1.4229111803109853</c:v>
                </c:pt>
                <c:pt idx="233">
                  <c:v>1.4508364874126363</c:v>
                </c:pt>
                <c:pt idx="234">
                  <c:v>1.4799413890351927</c:v>
                </c:pt>
                <c:pt idx="235">
                  <c:v>1.5103568962835032</c:v>
                </c:pt>
                <c:pt idx="236">
                  <c:v>1.5422375718953325</c:v>
                </c:pt>
                <c:pt idx="237">
                  <c:v>1.5757676293730736</c:v>
                </c:pt>
                <c:pt idx="238">
                  <c:v>1.6111691623526765</c:v>
                </c:pt>
                <c:pt idx="239">
                  <c:v>1.6487134702908506</c:v>
                </c:pt>
                <c:pt idx="240">
                  <c:v>1.688737002266798</c:v>
                </c:pt>
                <c:pt idx="241">
                  <c:v>1.7316643961222455</c:v>
                </c:pt>
                <c:pt idx="242">
                  <c:v>1.7780428020381671</c:v>
                </c:pt>
                <c:pt idx="243">
                  <c:v>1.8285948988056846</c:v>
                </c:pt>
                <c:pt idx="244">
                  <c:v>1.8843044227824219</c:v>
                </c:pt>
                <c:pt idx="245">
                  <c:v>1.946561720798984</c:v>
                </c:pt>
                <c:pt idx="246">
                  <c:v>2.0174287103431894</c:v>
                </c:pt>
                <c:pt idx="247">
                  <c:v>2.100165492844468</c:v>
                </c:pt>
                <c:pt idx="248">
                  <c:v>2.2004105812100336</c:v>
                </c:pt>
                <c:pt idx="249">
                  <c:v>2.3293360530620011</c:v>
                </c:pt>
                <c:pt idx="250">
                  <c:v>2.5149548778025288</c:v>
                </c:pt>
                <c:pt idx="251">
                  <c:v>2.8806743591110586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1E-4E41-ACBA-2BD339A33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591679"/>
        <c:axId val="472592159"/>
      </c:scatterChart>
      <c:valAx>
        <c:axId val="472591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92159"/>
        <c:crosses val="autoZero"/>
        <c:crossBetween val="midCat"/>
      </c:valAx>
      <c:valAx>
        <c:axId val="472592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916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'Part 3'!$CY$2:$CY$17</c:f>
              <c:strCache>
                <c:ptCount val="16"/>
                <c:pt idx="0">
                  <c:v>-56.24</c:v>
                </c:pt>
                <c:pt idx="1">
                  <c:v>-50.46</c:v>
                </c:pt>
                <c:pt idx="2">
                  <c:v>-44.67</c:v>
                </c:pt>
                <c:pt idx="3">
                  <c:v>-38.89</c:v>
                </c:pt>
                <c:pt idx="4">
                  <c:v>-33.10</c:v>
                </c:pt>
                <c:pt idx="5">
                  <c:v>-27.32</c:v>
                </c:pt>
                <c:pt idx="6">
                  <c:v>-21.53</c:v>
                </c:pt>
                <c:pt idx="7">
                  <c:v>-15.75</c:v>
                </c:pt>
                <c:pt idx="8">
                  <c:v>-9.96</c:v>
                </c:pt>
                <c:pt idx="9">
                  <c:v>-4.18</c:v>
                </c:pt>
                <c:pt idx="10">
                  <c:v>1.61</c:v>
                </c:pt>
                <c:pt idx="11">
                  <c:v>7.39</c:v>
                </c:pt>
                <c:pt idx="12">
                  <c:v>13.18</c:v>
                </c:pt>
                <c:pt idx="13">
                  <c:v>18.96</c:v>
                </c:pt>
                <c:pt idx="14">
                  <c:v>24.75</c:v>
                </c:pt>
                <c:pt idx="15">
                  <c:v>More</c:v>
                </c:pt>
              </c:strCache>
            </c:strRef>
          </c:cat>
          <c:val>
            <c:numRef>
              <c:f>'Part 3'!$CZ$2:$CZ$17</c:f>
              <c:numCache>
                <c:formatCode>General</c:formatCode>
                <c:ptCount val="1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12</c:v>
                </c:pt>
                <c:pt idx="6">
                  <c:v>23</c:v>
                </c:pt>
                <c:pt idx="7">
                  <c:v>11</c:v>
                </c:pt>
                <c:pt idx="8">
                  <c:v>22</c:v>
                </c:pt>
                <c:pt idx="9">
                  <c:v>18</c:v>
                </c:pt>
                <c:pt idx="10">
                  <c:v>18</c:v>
                </c:pt>
                <c:pt idx="11">
                  <c:v>21</c:v>
                </c:pt>
                <c:pt idx="12">
                  <c:v>54</c:v>
                </c:pt>
                <c:pt idx="13">
                  <c:v>53</c:v>
                </c:pt>
                <c:pt idx="14">
                  <c:v>10</c:v>
                </c:pt>
                <c:pt idx="1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F-486F-8AF5-2F848066B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161103"/>
        <c:axId val="146162063"/>
      </c:barChart>
      <c:catAx>
        <c:axId val="146161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162063"/>
        <c:crosses val="autoZero"/>
        <c:auto val="1"/>
        <c:lblAlgn val="ctr"/>
        <c:lblOffset val="100"/>
        <c:noMultiLvlLbl val="0"/>
      </c:catAx>
      <c:valAx>
        <c:axId val="14616206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6161103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11" Type="http://schemas.openxmlformats.org/officeDocument/2006/relationships/chart" Target="../charts/chart15.xml"/><Relationship Id="rId5" Type="http://schemas.openxmlformats.org/officeDocument/2006/relationships/chart" Target="../charts/chart9.xml"/><Relationship Id="rId10" Type="http://schemas.openxmlformats.org/officeDocument/2006/relationships/chart" Target="../charts/chart14.xml"/><Relationship Id="rId4" Type="http://schemas.openxmlformats.org/officeDocument/2006/relationships/chart" Target="../charts/chart8.xml"/><Relationship Id="rId9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1</xdr:row>
      <xdr:rowOff>25400</xdr:rowOff>
    </xdr:from>
    <xdr:to>
      <xdr:col>5</xdr:col>
      <xdr:colOff>711200</xdr:colOff>
      <xdr:row>15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E63F09-F04F-BFDC-5549-BBE29B9F2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</xdr:colOff>
      <xdr:row>0</xdr:row>
      <xdr:rowOff>190500</xdr:rowOff>
    </xdr:from>
    <xdr:to>
      <xdr:col>11</xdr:col>
      <xdr:colOff>527050</xdr:colOff>
      <xdr:row>14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E65E57-5857-44DD-B049-FCDE1A69A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431800</xdr:colOff>
      <xdr:row>101</xdr:row>
      <xdr:rowOff>0</xdr:rowOff>
    </xdr:from>
    <xdr:to>
      <xdr:col>10</xdr:col>
      <xdr:colOff>0</xdr:colOff>
      <xdr:row>114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D22C05-CCB2-5524-76F9-90C2219EF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679450</xdr:colOff>
      <xdr:row>101</xdr:row>
      <xdr:rowOff>0</xdr:rowOff>
    </xdr:from>
    <xdr:to>
      <xdr:col>15</xdr:col>
      <xdr:colOff>1149350</xdr:colOff>
      <xdr:row>114</xdr:row>
      <xdr:rowOff>184150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E3BF32-69AC-1790-27C8-C487BDE49E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6350</xdr:colOff>
      <xdr:row>1</xdr:row>
      <xdr:rowOff>12700</xdr:rowOff>
    </xdr:from>
    <xdr:to>
      <xdr:col>12</xdr:col>
      <xdr:colOff>628650</xdr:colOff>
      <xdr:row>14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3184B-9584-A401-3AC3-F86F7EDB50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0</xdr:colOff>
      <xdr:row>1</xdr:row>
      <xdr:rowOff>6350</xdr:rowOff>
    </xdr:from>
    <xdr:to>
      <xdr:col>26</xdr:col>
      <xdr:colOff>609600</xdr:colOff>
      <xdr:row>14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D064E0-6DB0-3EC1-35E2-0A20313565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57150</xdr:colOff>
      <xdr:row>1</xdr:row>
      <xdr:rowOff>76200</xdr:rowOff>
    </xdr:from>
    <xdr:to>
      <xdr:col>37</xdr:col>
      <xdr:colOff>584200</xdr:colOff>
      <xdr:row>15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1F2CA7-98E5-4E4E-BEAA-F17526BDD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1</xdr:row>
      <xdr:rowOff>82550</xdr:rowOff>
    </xdr:from>
    <xdr:to>
      <xdr:col>45</xdr:col>
      <xdr:colOff>50800</xdr:colOff>
      <xdr:row>15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5CD19D2-9414-4F6C-A9B3-24B7BFAB8E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355600</xdr:colOff>
      <xdr:row>2</xdr:row>
      <xdr:rowOff>63500</xdr:rowOff>
    </xdr:from>
    <xdr:to>
      <xdr:col>57</xdr:col>
      <xdr:colOff>304800</xdr:colOff>
      <xdr:row>16</xdr:row>
      <xdr:rowOff>50800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6DC0554-4F53-FD4A-5CDC-FB3E7CEDC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65</xdr:col>
      <xdr:colOff>368300</xdr:colOff>
      <xdr:row>1</xdr:row>
      <xdr:rowOff>146050</xdr:rowOff>
    </xdr:from>
    <xdr:to>
      <xdr:col>72</xdr:col>
      <xdr:colOff>317500</xdr:colOff>
      <xdr:row>15</xdr:row>
      <xdr:rowOff>133350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B0F2BDD-7BC7-A13D-DEF5-56347B329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87</xdr:col>
      <xdr:colOff>0</xdr:colOff>
      <xdr:row>1</xdr:row>
      <xdr:rowOff>0</xdr:rowOff>
    </xdr:from>
    <xdr:to>
      <xdr:col>92</xdr:col>
      <xdr:colOff>234950</xdr:colOff>
      <xdr:row>14</xdr:row>
      <xdr:rowOff>184150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70411E2-9EDD-409B-80BD-A462A75353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93</xdr:col>
      <xdr:colOff>0</xdr:colOff>
      <xdr:row>1</xdr:row>
      <xdr:rowOff>0</xdr:rowOff>
    </xdr:from>
    <xdr:to>
      <xdr:col>99</xdr:col>
      <xdr:colOff>298450</xdr:colOff>
      <xdr:row>14</xdr:row>
      <xdr:rowOff>184150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AF5E053-2EA8-4EF2-AF2B-F1D1D8526F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104</xdr:col>
      <xdr:colOff>361950</xdr:colOff>
      <xdr:row>1</xdr:row>
      <xdr:rowOff>107950</xdr:rowOff>
    </xdr:from>
    <xdr:to>
      <xdr:col>111</xdr:col>
      <xdr:colOff>311150</xdr:colOff>
      <xdr:row>15</xdr:row>
      <xdr:rowOff>95250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88E0CD3-2AF0-4465-5677-A0F72E41D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120</xdr:col>
      <xdr:colOff>457200</xdr:colOff>
      <xdr:row>1</xdr:row>
      <xdr:rowOff>31750</xdr:rowOff>
    </xdr:from>
    <xdr:to>
      <xdr:col>127</xdr:col>
      <xdr:colOff>406400</xdr:colOff>
      <xdr:row>15</xdr:row>
      <xdr:rowOff>19050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28AA9E1-D9D1-A214-8BDC-96D5C31C2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12</xdr:col>
      <xdr:colOff>0</xdr:colOff>
      <xdr:row>25</xdr:row>
      <xdr:rowOff>190500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512FC9F-5D73-4E1C-8243-B7A6B95799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F258"/>
  <sheetViews>
    <sheetView topLeftCell="A254" workbookViewId="0">
      <selection sqref="A1:F258"/>
    </sheetView>
  </sheetViews>
  <sheetFormatPr defaultColWidth="10.6640625" defaultRowHeight="15.5" x14ac:dyDescent="0.35"/>
  <cols>
    <col min="1" max="2" width="10.83203125" style="2"/>
    <col min="3" max="3" width="24.33203125" style="2" customWidth="1"/>
    <col min="4" max="4" width="23.1640625" style="2" customWidth="1"/>
    <col min="5" max="5" width="29" style="2" customWidth="1"/>
    <col min="6" max="6" width="26.1640625" style="2" customWidth="1"/>
  </cols>
  <sheetData>
    <row r="1" spans="1:6" x14ac:dyDescent="0.35">
      <c r="A1" s="2" t="s">
        <v>0</v>
      </c>
      <c r="B1" s="2" t="s">
        <v>5</v>
      </c>
      <c r="C1" s="2" t="s">
        <v>1</v>
      </c>
      <c r="D1" s="2" t="s">
        <v>2</v>
      </c>
      <c r="E1" s="2" t="s">
        <v>4</v>
      </c>
      <c r="F1" s="2" t="s">
        <v>3</v>
      </c>
    </row>
    <row r="2" spans="1:6" x14ac:dyDescent="0.35">
      <c r="A2" s="3">
        <v>43777</v>
      </c>
      <c r="B2" s="2">
        <v>1</v>
      </c>
      <c r="C2" s="1">
        <v>63.954543999999999</v>
      </c>
      <c r="D2" s="2">
        <v>69986400</v>
      </c>
      <c r="E2" s="1">
        <v>177.02937299999999</v>
      </c>
      <c r="F2" s="2">
        <v>1636800</v>
      </c>
    </row>
    <row r="3" spans="1:6" x14ac:dyDescent="0.35">
      <c r="A3" s="3">
        <v>43780</v>
      </c>
      <c r="B3" s="2">
        <v>2</v>
      </c>
      <c r="C3" s="1">
        <v>64.460991000000007</v>
      </c>
      <c r="D3" s="2">
        <v>81821200</v>
      </c>
      <c r="E3" s="1">
        <v>176.658142</v>
      </c>
      <c r="F3" s="2">
        <v>1594600</v>
      </c>
    </row>
    <row r="4" spans="1:6" x14ac:dyDescent="0.35">
      <c r="A4" s="3">
        <v>43781</v>
      </c>
      <c r="B4" s="2">
        <v>3</v>
      </c>
      <c r="C4" s="1">
        <v>64.401978</v>
      </c>
      <c r="D4" s="2">
        <v>87388800</v>
      </c>
      <c r="E4" s="1">
        <v>177.810913</v>
      </c>
      <c r="F4" s="2">
        <v>1816900</v>
      </c>
    </row>
    <row r="5" spans="1:6" x14ac:dyDescent="0.35">
      <c r="A5" s="3">
        <v>43782</v>
      </c>
      <c r="B5" s="2">
        <v>4</v>
      </c>
      <c r="C5" s="1">
        <v>65.019051000000005</v>
      </c>
      <c r="D5" s="2">
        <v>102734400</v>
      </c>
      <c r="E5" s="1">
        <v>177.752319</v>
      </c>
      <c r="F5" s="2">
        <v>1855200</v>
      </c>
    </row>
    <row r="6" spans="1:6" x14ac:dyDescent="0.35">
      <c r="A6" s="3">
        <v>43783</v>
      </c>
      <c r="B6" s="2">
        <v>5</v>
      </c>
      <c r="C6" s="1">
        <v>64.569159999999997</v>
      </c>
      <c r="D6" s="2">
        <v>89182800</v>
      </c>
      <c r="E6" s="1">
        <v>176.37780799999999</v>
      </c>
      <c r="F6" s="2">
        <v>2208300</v>
      </c>
    </row>
    <row r="7" spans="1:6" x14ac:dyDescent="0.35">
      <c r="A7" s="3">
        <v>43784</v>
      </c>
      <c r="B7" s="2">
        <v>6</v>
      </c>
      <c r="C7" s="1">
        <v>65.336212000000003</v>
      </c>
      <c r="D7" s="2">
        <v>100206400</v>
      </c>
      <c r="E7" s="1">
        <v>178.43956</v>
      </c>
      <c r="F7" s="2">
        <v>3242700</v>
      </c>
    </row>
    <row r="8" spans="1:6" x14ac:dyDescent="0.35">
      <c r="A8" s="3">
        <v>43787</v>
      </c>
      <c r="B8" s="2">
        <v>7</v>
      </c>
      <c r="C8" s="1">
        <v>65.665633999999997</v>
      </c>
      <c r="D8" s="2">
        <v>86703200</v>
      </c>
      <c r="E8" s="1">
        <v>176.52507</v>
      </c>
      <c r="F8" s="2">
        <v>2405800</v>
      </c>
    </row>
    <row r="9" spans="1:6" x14ac:dyDescent="0.35">
      <c r="A9" s="3">
        <v>43788</v>
      </c>
      <c r="B9" s="2">
        <v>8</v>
      </c>
      <c r="C9" s="1">
        <v>65.466507000000007</v>
      </c>
      <c r="D9" s="2">
        <v>76167200</v>
      </c>
      <c r="E9" s="1">
        <v>176.839249</v>
      </c>
      <c r="F9" s="2">
        <v>2673200</v>
      </c>
    </row>
    <row r="10" spans="1:6" x14ac:dyDescent="0.35">
      <c r="A10" s="3">
        <v>43789</v>
      </c>
      <c r="B10" s="2">
        <v>9</v>
      </c>
      <c r="C10" s="1">
        <v>64.704375999999996</v>
      </c>
      <c r="D10" s="2">
        <v>106234400</v>
      </c>
      <c r="E10" s="1">
        <v>173.99208100000001</v>
      </c>
      <c r="F10" s="2">
        <v>4190700</v>
      </c>
    </row>
    <row r="11" spans="1:6" x14ac:dyDescent="0.35">
      <c r="A11" s="3">
        <v>43790</v>
      </c>
      <c r="B11" s="2">
        <v>10</v>
      </c>
      <c r="C11" s="1">
        <v>64.414268000000007</v>
      </c>
      <c r="D11" s="2">
        <v>121395200</v>
      </c>
      <c r="E11" s="1">
        <v>173.31463600000001</v>
      </c>
      <c r="F11" s="2">
        <v>3135100</v>
      </c>
    </row>
    <row r="12" spans="1:6" x14ac:dyDescent="0.35">
      <c r="A12" s="3">
        <v>43791</v>
      </c>
      <c r="B12" s="2">
        <v>11</v>
      </c>
      <c r="C12" s="1">
        <v>64.357726999999997</v>
      </c>
      <c r="D12" s="2">
        <v>65325200</v>
      </c>
      <c r="E12" s="1">
        <v>173.56990099999999</v>
      </c>
      <c r="F12" s="2">
        <v>1852200</v>
      </c>
    </row>
    <row r="13" spans="1:6" x14ac:dyDescent="0.35">
      <c r="A13" s="3">
        <v>43794</v>
      </c>
      <c r="B13" s="2">
        <v>12</v>
      </c>
      <c r="C13" s="1">
        <v>65.486168000000006</v>
      </c>
      <c r="D13" s="2">
        <v>84020400</v>
      </c>
      <c r="E13" s="1">
        <v>173.29499799999999</v>
      </c>
      <c r="F13" s="2">
        <v>2657500</v>
      </c>
    </row>
    <row r="14" spans="1:6" x14ac:dyDescent="0.35">
      <c r="A14" s="3">
        <v>43795</v>
      </c>
      <c r="B14" s="2">
        <v>13</v>
      </c>
      <c r="C14" s="1">
        <v>64.974815000000007</v>
      </c>
      <c r="D14" s="2">
        <v>105207600</v>
      </c>
      <c r="E14" s="1">
        <v>175.26838699999999</v>
      </c>
      <c r="F14" s="2">
        <v>4578900</v>
      </c>
    </row>
    <row r="15" spans="1:6" x14ac:dyDescent="0.35">
      <c r="A15" s="3">
        <v>43796</v>
      </c>
      <c r="B15" s="2">
        <v>14</v>
      </c>
      <c r="C15" s="1">
        <v>65.847565000000003</v>
      </c>
      <c r="D15" s="2">
        <v>65235600</v>
      </c>
      <c r="E15" s="1">
        <v>176.151993</v>
      </c>
      <c r="F15" s="2">
        <v>1044800</v>
      </c>
    </row>
    <row r="16" spans="1:6" x14ac:dyDescent="0.35">
      <c r="A16" s="3">
        <v>43798</v>
      </c>
      <c r="B16" s="2">
        <v>15</v>
      </c>
      <c r="C16" s="1">
        <v>65.702515000000005</v>
      </c>
      <c r="D16" s="2">
        <v>46617600</v>
      </c>
      <c r="E16" s="1">
        <v>175.29785200000001</v>
      </c>
      <c r="F16" s="2">
        <v>1633100</v>
      </c>
    </row>
    <row r="17" spans="1:6" x14ac:dyDescent="0.35">
      <c r="A17" s="3">
        <v>43801</v>
      </c>
      <c r="B17" s="2">
        <v>16</v>
      </c>
      <c r="C17" s="1">
        <v>64.942841000000001</v>
      </c>
      <c r="D17" s="2">
        <v>94487200</v>
      </c>
      <c r="E17" s="1">
        <v>171.144913</v>
      </c>
      <c r="F17" s="2">
        <v>3053500</v>
      </c>
    </row>
    <row r="18" spans="1:6" x14ac:dyDescent="0.35">
      <c r="A18" s="3">
        <v>43802</v>
      </c>
      <c r="B18" s="2">
        <v>17</v>
      </c>
      <c r="C18" s="1">
        <v>63.784916000000003</v>
      </c>
      <c r="D18" s="2">
        <v>114430400</v>
      </c>
      <c r="E18" s="1">
        <v>169.40713500000001</v>
      </c>
      <c r="F18" s="2">
        <v>3775500</v>
      </c>
    </row>
    <row r="19" spans="1:6" x14ac:dyDescent="0.35">
      <c r="A19" s="3">
        <v>43803</v>
      </c>
      <c r="B19" s="2">
        <v>18</v>
      </c>
      <c r="C19" s="1">
        <v>64.347892999999999</v>
      </c>
      <c r="D19" s="2">
        <v>67181600</v>
      </c>
      <c r="E19" s="1">
        <v>170.055115</v>
      </c>
      <c r="F19" s="2">
        <v>2933400</v>
      </c>
    </row>
    <row r="20" spans="1:6" x14ac:dyDescent="0.35">
      <c r="A20" s="3">
        <v>43804</v>
      </c>
      <c r="B20" s="2">
        <v>19</v>
      </c>
      <c r="C20" s="1">
        <v>65.291945999999996</v>
      </c>
      <c r="D20" s="2">
        <v>74424400</v>
      </c>
      <c r="E20" s="1">
        <v>170.84053</v>
      </c>
      <c r="F20" s="2">
        <v>2342100</v>
      </c>
    </row>
    <row r="21" spans="1:6" x14ac:dyDescent="0.35">
      <c r="A21" s="3">
        <v>43805</v>
      </c>
      <c r="B21" s="2">
        <v>20</v>
      </c>
      <c r="C21" s="1">
        <v>66.553130999999993</v>
      </c>
      <c r="D21" s="2">
        <v>106075600</v>
      </c>
      <c r="E21" s="1">
        <v>172.26414500000001</v>
      </c>
      <c r="F21" s="2">
        <v>2118000</v>
      </c>
    </row>
    <row r="22" spans="1:6" x14ac:dyDescent="0.35">
      <c r="A22" s="3">
        <v>43808</v>
      </c>
      <c r="B22" s="2">
        <v>21</v>
      </c>
      <c r="C22" s="1">
        <v>65.621384000000006</v>
      </c>
      <c r="D22" s="2">
        <v>128042400</v>
      </c>
      <c r="E22" s="1">
        <v>171.31179800000001</v>
      </c>
      <c r="F22" s="2">
        <v>1556500</v>
      </c>
    </row>
    <row r="23" spans="1:6" x14ac:dyDescent="0.35">
      <c r="A23" s="3">
        <v>43809</v>
      </c>
      <c r="B23" s="2">
        <v>22</v>
      </c>
      <c r="C23" s="1">
        <v>66.004897999999997</v>
      </c>
      <c r="D23" s="2">
        <v>90420400</v>
      </c>
      <c r="E23" s="1">
        <v>170.86998</v>
      </c>
      <c r="F23" s="2">
        <v>2027800</v>
      </c>
    </row>
    <row r="24" spans="1:6" x14ac:dyDescent="0.35">
      <c r="A24" s="3">
        <v>43810</v>
      </c>
      <c r="B24" s="2">
        <v>23</v>
      </c>
      <c r="C24" s="1">
        <v>66.567886000000001</v>
      </c>
      <c r="D24" s="2">
        <v>78756800</v>
      </c>
      <c r="E24" s="1">
        <v>172.804092</v>
      </c>
      <c r="F24" s="2">
        <v>2174100</v>
      </c>
    </row>
    <row r="25" spans="1:6" x14ac:dyDescent="0.35">
      <c r="A25" s="3">
        <v>43811</v>
      </c>
      <c r="B25" s="2">
        <v>24</v>
      </c>
      <c r="C25" s="1">
        <v>66.737517999999994</v>
      </c>
      <c r="D25" s="2">
        <v>137310400</v>
      </c>
      <c r="E25" s="1">
        <v>174.15898100000001</v>
      </c>
      <c r="F25" s="2">
        <v>2277600</v>
      </c>
    </row>
    <row r="26" spans="1:6" x14ac:dyDescent="0.35">
      <c r="A26" s="3">
        <v>43812</v>
      </c>
      <c r="B26" s="2">
        <v>25</v>
      </c>
      <c r="C26" s="1">
        <v>67.644706999999997</v>
      </c>
      <c r="D26" s="2">
        <v>133587600</v>
      </c>
      <c r="E26" s="1">
        <v>173.756439</v>
      </c>
      <c r="F26" s="2">
        <v>2050200</v>
      </c>
    </row>
    <row r="27" spans="1:6" x14ac:dyDescent="0.35">
      <c r="A27" s="3">
        <v>43815</v>
      </c>
      <c r="B27" s="2">
        <v>26</v>
      </c>
      <c r="C27" s="1">
        <v>68.802634999999995</v>
      </c>
      <c r="D27" s="2">
        <v>128186000</v>
      </c>
      <c r="E27" s="1">
        <v>173.18699599999999</v>
      </c>
      <c r="F27" s="2">
        <v>3207600</v>
      </c>
    </row>
    <row r="28" spans="1:6" x14ac:dyDescent="0.35">
      <c r="A28" s="3">
        <v>43816</v>
      </c>
      <c r="B28" s="2">
        <v>27</v>
      </c>
      <c r="C28" s="1">
        <v>68.937850999999995</v>
      </c>
      <c r="D28" s="2">
        <v>114158400</v>
      </c>
      <c r="E28" s="1">
        <v>173.481537</v>
      </c>
      <c r="F28" s="2">
        <v>3039800</v>
      </c>
    </row>
    <row r="29" spans="1:6" x14ac:dyDescent="0.35">
      <c r="A29" s="3">
        <v>43817</v>
      </c>
      <c r="B29" s="2">
        <v>28</v>
      </c>
      <c r="C29" s="1">
        <v>68.773132000000004</v>
      </c>
      <c r="D29" s="2">
        <v>116028400</v>
      </c>
      <c r="E29" s="1">
        <v>171.45906099999999</v>
      </c>
      <c r="F29" s="2">
        <v>3614700</v>
      </c>
    </row>
    <row r="30" spans="1:6" x14ac:dyDescent="0.35">
      <c r="A30" s="3">
        <v>43818</v>
      </c>
      <c r="B30" s="2">
        <v>29</v>
      </c>
      <c r="C30" s="1">
        <v>68.841965000000002</v>
      </c>
      <c r="D30" s="2">
        <v>98369200</v>
      </c>
      <c r="E30" s="1">
        <v>173.28518700000001</v>
      </c>
      <c r="F30" s="2">
        <v>2680600</v>
      </c>
    </row>
    <row r="31" spans="1:6" x14ac:dyDescent="0.35">
      <c r="A31" s="3">
        <v>43819</v>
      </c>
      <c r="B31" s="2">
        <v>30</v>
      </c>
      <c r="C31" s="1">
        <v>68.699387000000002</v>
      </c>
      <c r="D31" s="2">
        <v>275978000</v>
      </c>
      <c r="E31" s="1">
        <v>173.19682299999999</v>
      </c>
      <c r="F31" s="2">
        <v>4351900</v>
      </c>
    </row>
    <row r="32" spans="1:6" x14ac:dyDescent="0.35">
      <c r="A32" s="3">
        <v>43822</v>
      </c>
      <c r="B32" s="2">
        <v>31</v>
      </c>
      <c r="C32" s="1">
        <v>69.820442</v>
      </c>
      <c r="D32" s="2">
        <v>98572000</v>
      </c>
      <c r="E32" s="1">
        <v>173.21646100000001</v>
      </c>
      <c r="F32" s="2">
        <v>2577700</v>
      </c>
    </row>
    <row r="33" spans="1:6" x14ac:dyDescent="0.35">
      <c r="A33" s="3">
        <v>43823</v>
      </c>
      <c r="B33" s="2">
        <v>32</v>
      </c>
      <c r="C33" s="1">
        <v>69.886818000000005</v>
      </c>
      <c r="D33" s="2">
        <v>48478800</v>
      </c>
      <c r="E33" s="1">
        <v>173.098648</v>
      </c>
      <c r="F33" s="2">
        <v>625500</v>
      </c>
    </row>
    <row r="34" spans="1:6" x14ac:dyDescent="0.35">
      <c r="A34" s="3">
        <v>43825</v>
      </c>
      <c r="B34" s="2">
        <v>33</v>
      </c>
      <c r="C34" s="1">
        <v>71.273392000000001</v>
      </c>
      <c r="D34" s="2">
        <v>93121200</v>
      </c>
      <c r="E34" s="1">
        <v>173.658264</v>
      </c>
      <c r="F34" s="2">
        <v>1269700</v>
      </c>
    </row>
    <row r="35" spans="1:6" x14ac:dyDescent="0.35">
      <c r="A35" s="3">
        <v>43826</v>
      </c>
      <c r="B35" s="2">
        <v>34</v>
      </c>
      <c r="C35" s="1">
        <v>71.246352999999999</v>
      </c>
      <c r="D35" s="2">
        <v>146266000</v>
      </c>
      <c r="E35" s="1">
        <v>173.26556400000001</v>
      </c>
      <c r="F35" s="2">
        <v>1303900</v>
      </c>
    </row>
    <row r="36" spans="1:6" x14ac:dyDescent="0.35">
      <c r="A36" s="3">
        <v>43829</v>
      </c>
      <c r="B36" s="2">
        <v>35</v>
      </c>
      <c r="C36" s="1">
        <v>71.669212000000002</v>
      </c>
      <c r="D36" s="2">
        <v>144114400</v>
      </c>
      <c r="E36" s="1">
        <v>173.20661899999999</v>
      </c>
      <c r="F36" s="2">
        <v>1670100</v>
      </c>
    </row>
    <row r="37" spans="1:6" x14ac:dyDescent="0.35">
      <c r="A37" s="3">
        <v>43830</v>
      </c>
      <c r="B37" s="2">
        <v>36</v>
      </c>
      <c r="C37" s="1">
        <v>72.192863000000003</v>
      </c>
      <c r="D37" s="2">
        <v>100805600</v>
      </c>
      <c r="E37" s="1">
        <v>173.776062</v>
      </c>
      <c r="F37" s="2">
        <v>1728900</v>
      </c>
    </row>
    <row r="38" spans="1:6" x14ac:dyDescent="0.35">
      <c r="A38" s="3">
        <v>43832</v>
      </c>
      <c r="B38" s="2">
        <v>37</v>
      </c>
      <c r="C38" s="1">
        <v>73.840041999999997</v>
      </c>
      <c r="D38" s="2">
        <v>135480400</v>
      </c>
      <c r="E38" s="1">
        <v>177.49704</v>
      </c>
      <c r="F38" s="2">
        <v>2857400</v>
      </c>
    </row>
    <row r="39" spans="1:6" x14ac:dyDescent="0.35">
      <c r="A39" s="3">
        <v>43833</v>
      </c>
      <c r="B39" s="2">
        <v>38</v>
      </c>
      <c r="C39" s="1">
        <v>73.122153999999995</v>
      </c>
      <c r="D39" s="2">
        <v>146322800</v>
      </c>
      <c r="E39" s="1">
        <v>175.602203</v>
      </c>
      <c r="F39" s="2">
        <v>2805200</v>
      </c>
    </row>
    <row r="40" spans="1:6" x14ac:dyDescent="0.35">
      <c r="A40" s="3">
        <v>43836</v>
      </c>
      <c r="B40" s="2">
        <v>39</v>
      </c>
      <c r="C40" s="1">
        <v>73.704819000000001</v>
      </c>
      <c r="D40" s="2">
        <v>118387200</v>
      </c>
      <c r="E40" s="1">
        <v>174.276794</v>
      </c>
      <c r="F40" s="2">
        <v>3277900</v>
      </c>
    </row>
    <row r="41" spans="1:6" x14ac:dyDescent="0.35">
      <c r="A41" s="3">
        <v>43837</v>
      </c>
      <c r="B41" s="2">
        <v>40</v>
      </c>
      <c r="C41" s="1">
        <v>73.358185000000006</v>
      </c>
      <c r="D41" s="2">
        <v>108872000</v>
      </c>
      <c r="E41" s="1">
        <v>174.37496899999999</v>
      </c>
      <c r="F41" s="2">
        <v>3002800</v>
      </c>
    </row>
    <row r="42" spans="1:6" x14ac:dyDescent="0.35">
      <c r="A42" s="3">
        <v>43838</v>
      </c>
      <c r="B42" s="2">
        <v>41</v>
      </c>
      <c r="C42" s="1">
        <v>74.538239000000004</v>
      </c>
      <c r="D42" s="2">
        <v>132079200</v>
      </c>
      <c r="E42" s="1">
        <v>174.522232</v>
      </c>
      <c r="F42" s="2">
        <v>2545500</v>
      </c>
    </row>
    <row r="43" spans="1:6" x14ac:dyDescent="0.35">
      <c r="A43" s="3">
        <v>43839</v>
      </c>
      <c r="B43" s="2">
        <v>42</v>
      </c>
      <c r="C43" s="1">
        <v>76.121498000000003</v>
      </c>
      <c r="D43" s="2">
        <v>170108400</v>
      </c>
      <c r="E43" s="1">
        <v>175.80838</v>
      </c>
      <c r="F43" s="2">
        <v>1789500</v>
      </c>
    </row>
    <row r="44" spans="1:6" x14ac:dyDescent="0.35">
      <c r="A44" s="3">
        <v>43840</v>
      </c>
      <c r="B44" s="2">
        <v>43</v>
      </c>
      <c r="C44" s="1">
        <v>76.293578999999994</v>
      </c>
      <c r="D44" s="2">
        <v>140644800</v>
      </c>
      <c r="E44" s="1">
        <v>175.42546100000001</v>
      </c>
      <c r="F44" s="2">
        <v>1671700</v>
      </c>
    </row>
    <row r="45" spans="1:6" x14ac:dyDescent="0.35">
      <c r="A45" s="3">
        <v>43843</v>
      </c>
      <c r="B45" s="2">
        <v>44</v>
      </c>
      <c r="C45" s="1">
        <v>77.923537999999994</v>
      </c>
      <c r="D45" s="2">
        <v>121532000</v>
      </c>
      <c r="E45" s="1">
        <v>177.96829199999999</v>
      </c>
      <c r="F45" s="2">
        <v>2261900</v>
      </c>
    </row>
    <row r="46" spans="1:6" x14ac:dyDescent="0.35">
      <c r="A46" s="3">
        <v>43844</v>
      </c>
      <c r="B46" s="2">
        <v>45</v>
      </c>
      <c r="C46" s="1">
        <v>76.871323000000004</v>
      </c>
      <c r="D46" s="2">
        <v>161954400</v>
      </c>
      <c r="E46" s="1">
        <v>177.16322299999999</v>
      </c>
      <c r="F46" s="2">
        <v>2191200</v>
      </c>
    </row>
    <row r="47" spans="1:6" x14ac:dyDescent="0.35">
      <c r="A47" s="3">
        <v>43845</v>
      </c>
      <c r="B47" s="2">
        <v>46</v>
      </c>
      <c r="C47" s="1">
        <v>76.541884999999994</v>
      </c>
      <c r="D47" s="2">
        <v>121923600</v>
      </c>
      <c r="E47" s="1">
        <v>177.43812600000001</v>
      </c>
      <c r="F47" s="2">
        <v>2600800</v>
      </c>
    </row>
    <row r="48" spans="1:6" x14ac:dyDescent="0.35">
      <c r="A48" s="3">
        <v>43846</v>
      </c>
      <c r="B48" s="2">
        <v>47</v>
      </c>
      <c r="C48" s="1">
        <v>77.500693999999996</v>
      </c>
      <c r="D48" s="2">
        <v>108829200</v>
      </c>
      <c r="E48" s="1">
        <v>178.94026199999999</v>
      </c>
      <c r="F48" s="2">
        <v>2215400</v>
      </c>
    </row>
    <row r="49" spans="1:6" x14ac:dyDescent="0.35">
      <c r="A49" s="3">
        <v>43847</v>
      </c>
      <c r="B49" s="2">
        <v>48</v>
      </c>
      <c r="C49" s="1">
        <v>78.358695999999995</v>
      </c>
      <c r="D49" s="2">
        <v>137816400</v>
      </c>
      <c r="E49" s="1">
        <v>179.89259300000001</v>
      </c>
      <c r="F49" s="2">
        <v>2608000</v>
      </c>
    </row>
    <row r="50" spans="1:6" x14ac:dyDescent="0.35">
      <c r="A50" s="3">
        <v>43851</v>
      </c>
      <c r="B50" s="2">
        <v>49</v>
      </c>
      <c r="C50" s="1">
        <v>77.827667000000005</v>
      </c>
      <c r="D50" s="2">
        <v>110843200</v>
      </c>
      <c r="E50" s="1">
        <v>177.634491</v>
      </c>
      <c r="F50" s="2">
        <v>2188600</v>
      </c>
    </row>
    <row r="51" spans="1:6" x14ac:dyDescent="0.35">
      <c r="A51" s="3">
        <v>43852</v>
      </c>
      <c r="B51" s="2">
        <v>50</v>
      </c>
      <c r="C51" s="1">
        <v>78.105475999999996</v>
      </c>
      <c r="D51" s="2">
        <v>101832400</v>
      </c>
      <c r="E51" s="1">
        <v>176.770523</v>
      </c>
      <c r="F51" s="2">
        <v>1881700</v>
      </c>
    </row>
    <row r="52" spans="1:6" x14ac:dyDescent="0.35">
      <c r="A52" s="3">
        <v>43853</v>
      </c>
      <c r="B52" s="2">
        <v>51</v>
      </c>
      <c r="C52" s="1">
        <v>78.481621000000004</v>
      </c>
      <c r="D52" s="2">
        <v>104472000</v>
      </c>
      <c r="E52" s="1">
        <v>176.30909700000001</v>
      </c>
      <c r="F52" s="2">
        <v>2434000</v>
      </c>
    </row>
    <row r="53" spans="1:6" x14ac:dyDescent="0.35">
      <c r="A53" s="3">
        <v>43854</v>
      </c>
      <c r="B53" s="2">
        <v>52</v>
      </c>
      <c r="C53" s="1">
        <v>78.255439999999993</v>
      </c>
      <c r="D53" s="2">
        <v>146537600</v>
      </c>
      <c r="E53" s="1">
        <v>173.903717</v>
      </c>
      <c r="F53" s="2">
        <v>2737000</v>
      </c>
    </row>
    <row r="54" spans="1:6" x14ac:dyDescent="0.35">
      <c r="A54" s="3">
        <v>43857</v>
      </c>
      <c r="B54" s="2">
        <v>53</v>
      </c>
      <c r="C54" s="1">
        <v>75.954314999999994</v>
      </c>
      <c r="D54" s="2">
        <v>161940000</v>
      </c>
      <c r="E54" s="1">
        <v>170.37908899999999</v>
      </c>
      <c r="F54" s="2">
        <v>2491500</v>
      </c>
    </row>
    <row r="55" spans="1:6" x14ac:dyDescent="0.35">
      <c r="A55" s="3">
        <v>43858</v>
      </c>
      <c r="B55" s="2">
        <v>54</v>
      </c>
      <c r="C55" s="1">
        <v>78.103012000000007</v>
      </c>
      <c r="D55" s="2">
        <v>162234000</v>
      </c>
      <c r="E55" s="1">
        <v>172.26414500000001</v>
      </c>
      <c r="F55" s="2">
        <v>2178400</v>
      </c>
    </row>
    <row r="56" spans="1:6" x14ac:dyDescent="0.35">
      <c r="A56" s="3">
        <v>43859</v>
      </c>
      <c r="B56" s="2">
        <v>55</v>
      </c>
      <c r="C56" s="1">
        <v>79.737899999999996</v>
      </c>
      <c r="D56" s="2">
        <v>216229200</v>
      </c>
      <c r="E56" s="1">
        <v>172.47030599999999</v>
      </c>
      <c r="F56" s="2">
        <v>2199000</v>
      </c>
    </row>
    <row r="57" spans="1:6" x14ac:dyDescent="0.35">
      <c r="A57" s="3">
        <v>43860</v>
      </c>
      <c r="B57" s="2">
        <v>56</v>
      </c>
      <c r="C57" s="1">
        <v>79.622337000000002</v>
      </c>
      <c r="D57" s="2">
        <v>126743200</v>
      </c>
      <c r="E57" s="1">
        <v>175.09165999999999</v>
      </c>
      <c r="F57" s="2">
        <v>3076100</v>
      </c>
    </row>
    <row r="58" spans="1:6" x14ac:dyDescent="0.35">
      <c r="A58" s="3">
        <v>43861</v>
      </c>
      <c r="B58" s="2">
        <v>57</v>
      </c>
      <c r="C58" s="1">
        <v>76.091994999999997</v>
      </c>
      <c r="D58" s="2">
        <v>199588400</v>
      </c>
      <c r="E58" s="1">
        <v>170.06492600000001</v>
      </c>
      <c r="F58" s="2">
        <v>5500000</v>
      </c>
    </row>
    <row r="59" spans="1:6" x14ac:dyDescent="0.35">
      <c r="A59" s="3">
        <v>43864</v>
      </c>
      <c r="B59" s="2">
        <v>58</v>
      </c>
      <c r="C59" s="1">
        <v>75.883018000000007</v>
      </c>
      <c r="D59" s="2">
        <v>173985600</v>
      </c>
      <c r="E59" s="1">
        <v>168.19955400000001</v>
      </c>
      <c r="F59" s="2">
        <v>3542700</v>
      </c>
    </row>
    <row r="60" spans="1:6" x14ac:dyDescent="0.35">
      <c r="A60" s="3">
        <v>43865</v>
      </c>
      <c r="B60" s="2">
        <v>59</v>
      </c>
      <c r="C60" s="1">
        <v>78.388199</v>
      </c>
      <c r="D60" s="2">
        <v>136616400</v>
      </c>
      <c r="E60" s="1">
        <v>172.01869199999999</v>
      </c>
      <c r="F60" s="2">
        <v>2992500</v>
      </c>
    </row>
    <row r="61" spans="1:6" x14ac:dyDescent="0.35">
      <c r="A61" s="3">
        <v>43866</v>
      </c>
      <c r="B61" s="2">
        <v>60</v>
      </c>
      <c r="C61" s="1">
        <v>79.027405000000002</v>
      </c>
      <c r="D61" s="2">
        <v>118826800</v>
      </c>
      <c r="E61" s="1">
        <v>173.677887</v>
      </c>
      <c r="F61" s="2">
        <v>2818100</v>
      </c>
    </row>
    <row r="62" spans="1:6" x14ac:dyDescent="0.35">
      <c r="A62" s="3">
        <v>43867</v>
      </c>
      <c r="B62" s="2">
        <v>61</v>
      </c>
      <c r="C62" s="1">
        <v>79.951774999999998</v>
      </c>
      <c r="D62" s="2">
        <v>105425600</v>
      </c>
      <c r="E62" s="1">
        <v>173.137924</v>
      </c>
      <c r="F62" s="2">
        <v>2427500</v>
      </c>
    </row>
    <row r="63" spans="1:6" x14ac:dyDescent="0.35">
      <c r="A63" s="3">
        <v>43868</v>
      </c>
      <c r="B63" s="2">
        <v>62</v>
      </c>
      <c r="C63" s="1">
        <v>78.865020999999999</v>
      </c>
      <c r="D63" s="2">
        <v>117684000</v>
      </c>
      <c r="E63" s="1">
        <v>172.08738700000001</v>
      </c>
      <c r="F63" s="2">
        <v>3254500</v>
      </c>
    </row>
    <row r="64" spans="1:6" x14ac:dyDescent="0.35">
      <c r="A64" s="3">
        <v>43871</v>
      </c>
      <c r="B64" s="2">
        <v>63</v>
      </c>
      <c r="C64" s="1">
        <v>79.239593999999997</v>
      </c>
      <c r="D64" s="2">
        <v>109348800</v>
      </c>
      <c r="E64" s="1">
        <v>173.72699</v>
      </c>
      <c r="F64" s="2">
        <v>2399700</v>
      </c>
    </row>
    <row r="65" spans="1:6" x14ac:dyDescent="0.35">
      <c r="A65" s="3">
        <v>43872</v>
      </c>
      <c r="B65" s="2">
        <v>64</v>
      </c>
      <c r="C65" s="1">
        <v>78.761520000000004</v>
      </c>
      <c r="D65" s="2">
        <v>94323200</v>
      </c>
      <c r="E65" s="1">
        <v>175.88691700000001</v>
      </c>
      <c r="F65" s="2">
        <v>2948500</v>
      </c>
    </row>
    <row r="66" spans="1:6" x14ac:dyDescent="0.35">
      <c r="A66" s="3">
        <v>43873</v>
      </c>
      <c r="B66" s="2">
        <v>65</v>
      </c>
      <c r="C66" s="1">
        <v>80.631927000000005</v>
      </c>
      <c r="D66" s="2">
        <v>113730400</v>
      </c>
      <c r="E66" s="1">
        <v>177.879929</v>
      </c>
      <c r="F66" s="2">
        <v>2950800</v>
      </c>
    </row>
    <row r="67" spans="1:6" x14ac:dyDescent="0.35">
      <c r="A67" s="3">
        <v>43874</v>
      </c>
      <c r="B67" s="2">
        <v>66</v>
      </c>
      <c r="C67" s="1">
        <v>80.057738999999998</v>
      </c>
      <c r="D67" s="2">
        <v>94747600</v>
      </c>
      <c r="E67" s="1">
        <v>176.839249</v>
      </c>
      <c r="F67" s="2">
        <v>1985700</v>
      </c>
    </row>
    <row r="68" spans="1:6" x14ac:dyDescent="0.35">
      <c r="A68" s="3">
        <v>43875</v>
      </c>
      <c r="B68" s="2">
        <v>67</v>
      </c>
      <c r="C68" s="1">
        <v>80.077461</v>
      </c>
      <c r="D68" s="2">
        <v>80113600</v>
      </c>
      <c r="E68" s="1">
        <v>177.516693</v>
      </c>
      <c r="F68" s="2">
        <v>2489000</v>
      </c>
    </row>
    <row r="69" spans="1:6" x14ac:dyDescent="0.35">
      <c r="A69" s="3">
        <v>43879</v>
      </c>
      <c r="B69" s="2">
        <v>68</v>
      </c>
      <c r="C69" s="1">
        <v>78.611198000000002</v>
      </c>
      <c r="D69" s="2">
        <v>152531200</v>
      </c>
      <c r="E69" s="1">
        <v>176.151993</v>
      </c>
      <c r="F69" s="2">
        <v>1818600</v>
      </c>
    </row>
    <row r="70" spans="1:6" x14ac:dyDescent="0.35">
      <c r="A70" s="3">
        <v>43880</v>
      </c>
      <c r="B70" s="2">
        <v>69</v>
      </c>
      <c r="C70" s="1">
        <v>79.749701999999999</v>
      </c>
      <c r="D70" s="2">
        <v>93984000</v>
      </c>
      <c r="E70" s="1">
        <v>177.565765</v>
      </c>
      <c r="F70" s="2">
        <v>2464500</v>
      </c>
    </row>
    <row r="71" spans="1:6" x14ac:dyDescent="0.35">
      <c r="A71" s="3">
        <v>43881</v>
      </c>
      <c r="B71" s="2">
        <v>70</v>
      </c>
      <c r="C71" s="1">
        <v>78.931563999999995</v>
      </c>
      <c r="D71" s="2">
        <v>100566000</v>
      </c>
      <c r="E71" s="1">
        <v>177.408691</v>
      </c>
      <c r="F71" s="2">
        <v>2336800</v>
      </c>
    </row>
    <row r="72" spans="1:6" x14ac:dyDescent="0.35">
      <c r="A72" s="3">
        <v>43882</v>
      </c>
      <c r="B72" s="2">
        <v>71</v>
      </c>
      <c r="C72" s="1">
        <v>77.144942999999998</v>
      </c>
      <c r="D72" s="2">
        <v>129554000</v>
      </c>
      <c r="E72" s="1">
        <v>176.603622</v>
      </c>
      <c r="F72" s="2">
        <v>1940400</v>
      </c>
    </row>
    <row r="73" spans="1:6" x14ac:dyDescent="0.35">
      <c r="A73" s="3">
        <v>43885</v>
      </c>
      <c r="B73" s="2">
        <v>72</v>
      </c>
      <c r="C73" s="1">
        <v>73.480521999999993</v>
      </c>
      <c r="D73" s="2">
        <v>222195200</v>
      </c>
      <c r="E73" s="1">
        <v>172.07759100000001</v>
      </c>
      <c r="F73" s="2">
        <v>3204300</v>
      </c>
    </row>
    <row r="74" spans="1:6" x14ac:dyDescent="0.35">
      <c r="A74" s="3">
        <v>43886</v>
      </c>
      <c r="B74" s="2">
        <v>73</v>
      </c>
      <c r="C74" s="1">
        <v>70.991577000000007</v>
      </c>
      <c r="D74" s="2">
        <v>230673600</v>
      </c>
      <c r="E74" s="1">
        <v>164.743652</v>
      </c>
      <c r="F74" s="2">
        <v>4092200</v>
      </c>
    </row>
    <row r="75" spans="1:6" x14ac:dyDescent="0.35">
      <c r="A75" s="3">
        <v>43887</v>
      </c>
      <c r="B75" s="2">
        <v>74</v>
      </c>
      <c r="C75" s="1">
        <v>72.117767000000001</v>
      </c>
      <c r="D75" s="2">
        <v>198054800</v>
      </c>
      <c r="E75" s="1">
        <v>164.134918</v>
      </c>
      <c r="F75" s="2">
        <v>3411700</v>
      </c>
    </row>
    <row r="76" spans="1:6" x14ac:dyDescent="0.35">
      <c r="A76" s="3">
        <v>43888</v>
      </c>
      <c r="B76" s="2">
        <v>75</v>
      </c>
      <c r="C76" s="1">
        <v>67.403557000000006</v>
      </c>
      <c r="D76" s="2">
        <v>320605600</v>
      </c>
      <c r="E76" s="1">
        <v>157.49176</v>
      </c>
      <c r="F76" s="2">
        <v>3951300</v>
      </c>
    </row>
    <row r="77" spans="1:6" x14ac:dyDescent="0.35">
      <c r="A77" s="3">
        <v>43889</v>
      </c>
      <c r="B77" s="2">
        <v>76</v>
      </c>
      <c r="C77" s="1">
        <v>67.364127999999994</v>
      </c>
      <c r="D77" s="2">
        <v>426884800</v>
      </c>
      <c r="E77" s="1">
        <v>160.077957</v>
      </c>
      <c r="F77" s="2">
        <v>9558100</v>
      </c>
    </row>
    <row r="78" spans="1:6" x14ac:dyDescent="0.35">
      <c r="A78" s="3">
        <v>43892</v>
      </c>
      <c r="B78" s="2">
        <v>77</v>
      </c>
      <c r="C78" s="1">
        <v>73.635773</v>
      </c>
      <c r="D78" s="2">
        <v>341397200</v>
      </c>
      <c r="E78" s="1">
        <v>162.12127699999999</v>
      </c>
      <c r="F78" s="2">
        <v>6744900</v>
      </c>
    </row>
    <row r="79" spans="1:6" x14ac:dyDescent="0.35">
      <c r="A79" s="3">
        <v>43893</v>
      </c>
      <c r="B79" s="2">
        <v>78</v>
      </c>
      <c r="C79" s="1">
        <v>71.297156999999999</v>
      </c>
      <c r="D79" s="2">
        <v>319475600</v>
      </c>
      <c r="E79" s="1">
        <v>159.80157500000001</v>
      </c>
      <c r="F79" s="2">
        <v>6108500</v>
      </c>
    </row>
    <row r="80" spans="1:6" x14ac:dyDescent="0.35">
      <c r="A80" s="3">
        <v>43894</v>
      </c>
      <c r="B80" s="2">
        <v>79</v>
      </c>
      <c r="C80" s="1">
        <v>74.604240000000004</v>
      </c>
      <c r="D80" s="2">
        <v>219178400</v>
      </c>
      <c r="E80" s="1">
        <v>168.98161300000001</v>
      </c>
      <c r="F80" s="2">
        <v>4532500</v>
      </c>
    </row>
    <row r="81" spans="1:6" x14ac:dyDescent="0.35">
      <c r="A81" s="3">
        <v>43895</v>
      </c>
      <c r="B81" s="2">
        <v>80</v>
      </c>
      <c r="C81" s="1">
        <v>72.184303</v>
      </c>
      <c r="D81" s="2">
        <v>187572800</v>
      </c>
      <c r="E81" s="1">
        <v>162.79248000000001</v>
      </c>
      <c r="F81" s="2">
        <v>5394700</v>
      </c>
    </row>
    <row r="82" spans="1:6" x14ac:dyDescent="0.35">
      <c r="A82" s="3">
        <v>43896</v>
      </c>
      <c r="B82" s="2">
        <v>81</v>
      </c>
      <c r="C82" s="1">
        <v>71.225684999999999</v>
      </c>
      <c r="D82" s="2">
        <v>226176800</v>
      </c>
      <c r="E82" s="1">
        <v>161.913971</v>
      </c>
      <c r="F82" s="2">
        <v>5021600</v>
      </c>
    </row>
    <row r="83" spans="1:6" x14ac:dyDescent="0.35">
      <c r="A83" s="3">
        <v>43899</v>
      </c>
      <c r="B83" s="2">
        <v>82</v>
      </c>
      <c r="C83" s="1">
        <v>65.592308000000003</v>
      </c>
      <c r="D83" s="2">
        <v>286744800</v>
      </c>
      <c r="E83" s="1">
        <v>150.88806199999999</v>
      </c>
      <c r="F83" s="2">
        <v>5849000</v>
      </c>
    </row>
    <row r="84" spans="1:6" x14ac:dyDescent="0.35">
      <c r="A84" s="3">
        <v>43900</v>
      </c>
      <c r="B84" s="2">
        <v>83</v>
      </c>
      <c r="C84" s="1">
        <v>70.316367999999997</v>
      </c>
      <c r="D84" s="2">
        <v>285290000</v>
      </c>
      <c r="E84" s="1">
        <v>159.60415599999999</v>
      </c>
      <c r="F84" s="2">
        <v>5477600</v>
      </c>
    </row>
    <row r="85" spans="1:6" x14ac:dyDescent="0.35">
      <c r="A85" s="3">
        <v>43901</v>
      </c>
      <c r="B85" s="2">
        <v>84</v>
      </c>
      <c r="C85" s="1">
        <v>67.874245000000002</v>
      </c>
      <c r="D85" s="2">
        <v>255598800</v>
      </c>
      <c r="E85" s="1">
        <v>151.411224</v>
      </c>
      <c r="F85" s="2">
        <v>4826900</v>
      </c>
    </row>
    <row r="86" spans="1:6" x14ac:dyDescent="0.35">
      <c r="A86" s="3">
        <v>43902</v>
      </c>
      <c r="B86" s="2">
        <v>85</v>
      </c>
      <c r="C86" s="1">
        <v>61.171340999999998</v>
      </c>
      <c r="D86" s="2">
        <v>418474000</v>
      </c>
      <c r="E86" s="1">
        <v>133.11039700000001</v>
      </c>
      <c r="F86" s="2">
        <v>7170500</v>
      </c>
    </row>
    <row r="87" spans="1:6" x14ac:dyDescent="0.35">
      <c r="A87" s="3">
        <v>43903</v>
      </c>
      <c r="B87" s="2">
        <v>86</v>
      </c>
      <c r="C87" s="1">
        <v>68.500174999999999</v>
      </c>
      <c r="D87" s="2">
        <v>370732000</v>
      </c>
      <c r="E87" s="1">
        <v>147.482574</v>
      </c>
      <c r="F87" s="2">
        <v>6324800</v>
      </c>
    </row>
    <row r="88" spans="1:6" x14ac:dyDescent="0.35">
      <c r="A88" s="3">
        <v>43906</v>
      </c>
      <c r="B88" s="2">
        <v>87</v>
      </c>
      <c r="C88" s="1">
        <v>59.687832</v>
      </c>
      <c r="D88" s="2">
        <v>322423600</v>
      </c>
      <c r="E88" s="1">
        <v>133.524979</v>
      </c>
      <c r="F88" s="2">
        <v>5891000</v>
      </c>
    </row>
    <row r="89" spans="1:6" x14ac:dyDescent="0.35">
      <c r="A89" s="3">
        <v>43907</v>
      </c>
      <c r="B89" s="2">
        <v>88</v>
      </c>
      <c r="C89" s="1">
        <v>62.312308999999999</v>
      </c>
      <c r="D89" s="2">
        <v>324056000</v>
      </c>
      <c r="E89" s="1">
        <v>130.09974700000001</v>
      </c>
      <c r="F89" s="2">
        <v>8524800</v>
      </c>
    </row>
    <row r="90" spans="1:6" x14ac:dyDescent="0.35">
      <c r="A90" s="3">
        <v>43908</v>
      </c>
      <c r="B90" s="2">
        <v>89</v>
      </c>
      <c r="C90" s="1">
        <v>60.786911000000003</v>
      </c>
      <c r="D90" s="2">
        <v>300233600</v>
      </c>
      <c r="E90" s="1">
        <v>118.067001</v>
      </c>
      <c r="F90" s="2">
        <v>7633900</v>
      </c>
    </row>
    <row r="91" spans="1:6" x14ac:dyDescent="0.35">
      <c r="A91" s="3">
        <v>43909</v>
      </c>
      <c r="B91" s="2">
        <v>90</v>
      </c>
      <c r="C91" s="1">
        <v>60.321156000000002</v>
      </c>
      <c r="D91" s="2">
        <v>271857200</v>
      </c>
      <c r="E91" s="1">
        <v>117.42538500000001</v>
      </c>
      <c r="F91" s="2">
        <v>6814100</v>
      </c>
    </row>
    <row r="92" spans="1:6" x14ac:dyDescent="0.35">
      <c r="A92" s="3">
        <v>43910</v>
      </c>
      <c r="B92" s="2">
        <v>91</v>
      </c>
      <c r="C92" s="1">
        <v>56.491633999999998</v>
      </c>
      <c r="D92" s="2">
        <v>401693200</v>
      </c>
      <c r="E92" s="1">
        <v>111.048721</v>
      </c>
      <c r="F92" s="2">
        <v>6801200</v>
      </c>
    </row>
    <row r="93" spans="1:6" x14ac:dyDescent="0.35">
      <c r="A93" s="3">
        <v>43913</v>
      </c>
      <c r="B93" s="2">
        <v>92</v>
      </c>
      <c r="C93" s="1">
        <v>55.291519000000001</v>
      </c>
      <c r="D93" s="2">
        <v>336752800</v>
      </c>
      <c r="E93" s="1">
        <v>102.520172</v>
      </c>
      <c r="F93" s="2">
        <v>8200400</v>
      </c>
    </row>
    <row r="94" spans="1:6" x14ac:dyDescent="0.35">
      <c r="A94" s="3">
        <v>43914</v>
      </c>
      <c r="B94" s="2">
        <v>93</v>
      </c>
      <c r="C94" s="1">
        <v>60.838661000000002</v>
      </c>
      <c r="D94" s="2">
        <v>287531200</v>
      </c>
      <c r="E94" s="1">
        <v>117.96828499999999</v>
      </c>
      <c r="F94" s="2">
        <v>5799100</v>
      </c>
    </row>
    <row r="95" spans="1:6" x14ac:dyDescent="0.35">
      <c r="A95" s="3">
        <v>43915</v>
      </c>
      <c r="B95" s="2">
        <v>94</v>
      </c>
      <c r="C95" s="1">
        <v>60.503517000000002</v>
      </c>
      <c r="D95" s="2">
        <v>303602000</v>
      </c>
      <c r="E95" s="1">
        <v>127.977478</v>
      </c>
      <c r="F95" s="2">
        <v>7159100</v>
      </c>
    </row>
    <row r="96" spans="1:6" x14ac:dyDescent="0.35">
      <c r="A96" s="3">
        <v>43916</v>
      </c>
      <c r="B96" s="2">
        <v>95</v>
      </c>
      <c r="C96" s="1">
        <v>63.687393</v>
      </c>
      <c r="D96" s="2">
        <v>252087200</v>
      </c>
      <c r="E96" s="1">
        <v>135.627487</v>
      </c>
      <c r="F96" s="2">
        <v>5594400</v>
      </c>
    </row>
    <row r="97" spans="1:6" x14ac:dyDescent="0.35">
      <c r="A97" s="3">
        <v>43917</v>
      </c>
      <c r="B97" s="2">
        <v>96</v>
      </c>
      <c r="C97" s="1">
        <v>61.050593999999997</v>
      </c>
      <c r="D97" s="2">
        <v>204216800</v>
      </c>
      <c r="E97" s="1">
        <v>129.57659899999999</v>
      </c>
      <c r="F97" s="2">
        <v>3924900</v>
      </c>
    </row>
    <row r="98" spans="1:6" x14ac:dyDescent="0.35">
      <c r="A98" s="3">
        <v>43920</v>
      </c>
      <c r="B98" s="2">
        <v>97</v>
      </c>
      <c r="C98" s="1">
        <v>62.792850000000001</v>
      </c>
      <c r="D98" s="2">
        <v>167976400</v>
      </c>
      <c r="E98" s="1">
        <v>130.05038500000001</v>
      </c>
      <c r="F98" s="2">
        <v>5035700</v>
      </c>
    </row>
    <row r="99" spans="1:6" x14ac:dyDescent="0.35">
      <c r="A99" s="3">
        <v>43921</v>
      </c>
      <c r="B99" s="2">
        <v>98</v>
      </c>
      <c r="C99" s="1">
        <v>62.664707</v>
      </c>
      <c r="D99" s="2">
        <v>197002000</v>
      </c>
      <c r="E99" s="1">
        <v>132.06407200000001</v>
      </c>
      <c r="F99" s="2">
        <v>5296000</v>
      </c>
    </row>
    <row r="100" spans="1:6" x14ac:dyDescent="0.35">
      <c r="A100" s="3">
        <v>43922</v>
      </c>
      <c r="B100" s="2">
        <v>99</v>
      </c>
      <c r="C100" s="1">
        <v>59.367474000000001</v>
      </c>
      <c r="D100" s="2">
        <v>176218400</v>
      </c>
      <c r="E100" s="1">
        <v>128.03671299999999</v>
      </c>
      <c r="F100" s="2">
        <v>4246100</v>
      </c>
    </row>
    <row r="101" spans="1:6" x14ac:dyDescent="0.35">
      <c r="A101" s="3">
        <v>43923</v>
      </c>
      <c r="B101" s="2">
        <v>100</v>
      </c>
      <c r="C101" s="1">
        <v>60.35812</v>
      </c>
      <c r="D101" s="2">
        <v>165934000</v>
      </c>
      <c r="E101" s="1">
        <v>131.09671</v>
      </c>
      <c r="F101" s="2">
        <v>3504200</v>
      </c>
    </row>
    <row r="102" spans="1:6" x14ac:dyDescent="0.35">
      <c r="A102" s="3">
        <v>43924</v>
      </c>
      <c r="B102" s="2">
        <v>101</v>
      </c>
      <c r="C102" s="1">
        <v>59.490692000000003</v>
      </c>
      <c r="D102" s="2">
        <v>129880000</v>
      </c>
      <c r="E102" s="1">
        <v>125.805862</v>
      </c>
      <c r="F102" s="2">
        <v>4031500</v>
      </c>
    </row>
    <row r="103" spans="1:6" x14ac:dyDescent="0.35">
      <c r="A103" s="3">
        <v>43927</v>
      </c>
      <c r="B103" s="2">
        <v>102</v>
      </c>
      <c r="C103" s="1">
        <v>64.680503999999999</v>
      </c>
      <c r="D103" s="2">
        <v>201820400</v>
      </c>
      <c r="E103" s="1">
        <v>132.27136200000001</v>
      </c>
      <c r="F103" s="2">
        <v>4874300</v>
      </c>
    </row>
    <row r="104" spans="1:6" x14ac:dyDescent="0.35">
      <c r="A104" s="3">
        <v>43928</v>
      </c>
      <c r="B104" s="2">
        <v>103</v>
      </c>
      <c r="C104" s="1">
        <v>63.931355000000003</v>
      </c>
      <c r="D104" s="2">
        <v>202887200</v>
      </c>
      <c r="E104" s="1">
        <v>133.495361</v>
      </c>
      <c r="F104" s="2">
        <v>4051700</v>
      </c>
    </row>
    <row r="105" spans="1:6" x14ac:dyDescent="0.35">
      <c r="A105" s="3">
        <v>43929</v>
      </c>
      <c r="B105" s="2">
        <v>104</v>
      </c>
      <c r="C105" s="1">
        <v>65.567656999999997</v>
      </c>
      <c r="D105" s="2">
        <v>168895200</v>
      </c>
      <c r="E105" s="1">
        <v>137.453644</v>
      </c>
      <c r="F105" s="2">
        <v>3890600</v>
      </c>
    </row>
    <row r="106" spans="1:6" x14ac:dyDescent="0.35">
      <c r="A106" s="3">
        <v>43930</v>
      </c>
      <c r="B106" s="2">
        <v>105</v>
      </c>
      <c r="C106" s="1">
        <v>66.040801999999999</v>
      </c>
      <c r="D106" s="2">
        <v>162116400</v>
      </c>
      <c r="E106" s="1">
        <v>141.579712</v>
      </c>
      <c r="F106" s="2">
        <v>4365000</v>
      </c>
    </row>
    <row r="107" spans="1:6" x14ac:dyDescent="0.35">
      <c r="A107" s="3">
        <v>43934</v>
      </c>
      <c r="B107" s="2">
        <v>106</v>
      </c>
      <c r="C107" s="1">
        <v>67.337029000000001</v>
      </c>
      <c r="D107" s="2">
        <v>131022800</v>
      </c>
      <c r="E107" s="1">
        <v>136.160538</v>
      </c>
      <c r="F107" s="2">
        <v>3016300</v>
      </c>
    </row>
    <row r="108" spans="1:6" x14ac:dyDescent="0.35">
      <c r="A108" s="3">
        <v>43935</v>
      </c>
      <c r="B108" s="2">
        <v>107</v>
      </c>
      <c r="C108" s="1">
        <v>70.737755000000007</v>
      </c>
      <c r="D108" s="2">
        <v>194994800</v>
      </c>
      <c r="E108" s="1">
        <v>138.77633700000001</v>
      </c>
      <c r="F108" s="2">
        <v>3486600</v>
      </c>
    </row>
    <row r="109" spans="1:6" x14ac:dyDescent="0.35">
      <c r="A109" s="3">
        <v>43936</v>
      </c>
      <c r="B109" s="2">
        <v>108</v>
      </c>
      <c r="C109" s="1">
        <v>70.092110000000005</v>
      </c>
      <c r="D109" s="2">
        <v>131154400</v>
      </c>
      <c r="E109" s="1">
        <v>133.100525</v>
      </c>
      <c r="F109" s="2">
        <v>3252800</v>
      </c>
    </row>
    <row r="110" spans="1:6" x14ac:dyDescent="0.35">
      <c r="A110" s="3">
        <v>43937</v>
      </c>
      <c r="B110" s="2">
        <v>109</v>
      </c>
      <c r="C110" s="1">
        <v>70.649039999999999</v>
      </c>
      <c r="D110" s="2">
        <v>157125200</v>
      </c>
      <c r="E110" s="1">
        <v>130.62290999999999</v>
      </c>
      <c r="F110" s="2">
        <v>4016700</v>
      </c>
    </row>
    <row r="111" spans="1:6" x14ac:dyDescent="0.35">
      <c r="A111" s="3">
        <v>43938</v>
      </c>
      <c r="B111" s="2">
        <v>110</v>
      </c>
      <c r="C111" s="1">
        <v>69.690421999999998</v>
      </c>
      <c r="D111" s="2">
        <v>215250000</v>
      </c>
      <c r="E111" s="1">
        <v>136.53564499999999</v>
      </c>
      <c r="F111" s="2">
        <v>4750700</v>
      </c>
    </row>
    <row r="112" spans="1:6" x14ac:dyDescent="0.35">
      <c r="A112" s="3">
        <v>43941</v>
      </c>
      <c r="B112" s="2">
        <v>111</v>
      </c>
      <c r="C112" s="1">
        <v>68.243881000000002</v>
      </c>
      <c r="D112" s="2">
        <v>130015200</v>
      </c>
      <c r="E112" s="1">
        <v>133.949432</v>
      </c>
      <c r="F112" s="2">
        <v>2529000</v>
      </c>
    </row>
    <row r="113" spans="1:6" x14ac:dyDescent="0.35">
      <c r="A113" s="3">
        <v>43942</v>
      </c>
      <c r="B113" s="2">
        <v>112</v>
      </c>
      <c r="C113" s="1">
        <v>66.134438000000003</v>
      </c>
      <c r="D113" s="2">
        <v>180991600</v>
      </c>
      <c r="E113" s="1">
        <v>130.29716500000001</v>
      </c>
      <c r="F113" s="2">
        <v>2418100</v>
      </c>
    </row>
    <row r="114" spans="1:6" x14ac:dyDescent="0.35">
      <c r="A114" s="3">
        <v>43943</v>
      </c>
      <c r="B114" s="2">
        <v>113</v>
      </c>
      <c r="C114" s="1">
        <v>68.039351999999994</v>
      </c>
      <c r="D114" s="2">
        <v>117057200</v>
      </c>
      <c r="E114" s="1">
        <v>131.313873</v>
      </c>
      <c r="F114" s="2">
        <v>2629700</v>
      </c>
    </row>
    <row r="115" spans="1:6" x14ac:dyDescent="0.35">
      <c r="A115" s="3">
        <v>43944</v>
      </c>
      <c r="B115" s="2">
        <v>114</v>
      </c>
      <c r="C115" s="1">
        <v>67.775672999999998</v>
      </c>
      <c r="D115" s="2">
        <v>124814400</v>
      </c>
      <c r="E115" s="1">
        <v>132.94258099999999</v>
      </c>
      <c r="F115" s="2">
        <v>2786400</v>
      </c>
    </row>
    <row r="116" spans="1:6" x14ac:dyDescent="0.35">
      <c r="A116" s="3">
        <v>43945</v>
      </c>
      <c r="B116" s="2">
        <v>115</v>
      </c>
      <c r="C116" s="1">
        <v>69.732322999999994</v>
      </c>
      <c r="D116" s="2">
        <v>126508800</v>
      </c>
      <c r="E116" s="1">
        <v>133.771759</v>
      </c>
      <c r="F116" s="2">
        <v>2837900</v>
      </c>
    </row>
    <row r="117" spans="1:6" x14ac:dyDescent="0.35">
      <c r="A117" s="3">
        <v>43948</v>
      </c>
      <c r="B117" s="2">
        <v>116</v>
      </c>
      <c r="C117" s="1">
        <v>69.781609000000003</v>
      </c>
      <c r="D117" s="2">
        <v>117087600</v>
      </c>
      <c r="E117" s="1">
        <v>138.07551599999999</v>
      </c>
      <c r="F117" s="2">
        <v>3137700</v>
      </c>
    </row>
    <row r="118" spans="1:6" x14ac:dyDescent="0.35">
      <c r="A118" s="3">
        <v>43949</v>
      </c>
      <c r="B118" s="2">
        <v>117</v>
      </c>
      <c r="C118" s="1">
        <v>68.650490000000005</v>
      </c>
      <c r="D118" s="2">
        <v>112004800</v>
      </c>
      <c r="E118" s="1">
        <v>140.91835</v>
      </c>
      <c r="F118" s="2">
        <v>3377900</v>
      </c>
    </row>
    <row r="119" spans="1:6" x14ac:dyDescent="0.35">
      <c r="A119" s="3">
        <v>43950</v>
      </c>
      <c r="B119" s="2">
        <v>118</v>
      </c>
      <c r="C119" s="1">
        <v>70.905333999999996</v>
      </c>
      <c r="D119" s="2">
        <v>137280800</v>
      </c>
      <c r="E119" s="1">
        <v>144.274506</v>
      </c>
      <c r="F119" s="2">
        <v>2651200</v>
      </c>
    </row>
    <row r="120" spans="1:6" x14ac:dyDescent="0.35">
      <c r="A120" s="3">
        <v>43951</v>
      </c>
      <c r="B120" s="2">
        <v>119</v>
      </c>
      <c r="C120" s="1">
        <v>72.401154000000005</v>
      </c>
      <c r="D120" s="2">
        <v>183064000</v>
      </c>
      <c r="E120" s="1">
        <v>140.06944300000001</v>
      </c>
      <c r="F120" s="2">
        <v>4492600</v>
      </c>
    </row>
    <row r="121" spans="1:6" x14ac:dyDescent="0.35">
      <c r="A121" s="3">
        <v>43952</v>
      </c>
      <c r="B121" s="2">
        <v>120</v>
      </c>
      <c r="C121" s="1">
        <v>71.235541999999995</v>
      </c>
      <c r="D121" s="2">
        <v>60154200</v>
      </c>
      <c r="E121" s="1">
        <v>135.47943100000001</v>
      </c>
      <c r="F121" s="2">
        <v>3681100</v>
      </c>
    </row>
    <row r="122" spans="1:6" x14ac:dyDescent="0.35">
      <c r="A122" s="3">
        <v>43955</v>
      </c>
      <c r="B122" s="2">
        <v>121</v>
      </c>
      <c r="C122" s="1">
        <v>72.243446000000006</v>
      </c>
      <c r="D122" s="2">
        <v>33392000</v>
      </c>
      <c r="E122" s="1">
        <v>133.45588699999999</v>
      </c>
      <c r="F122" s="2">
        <v>4123000</v>
      </c>
    </row>
    <row r="123" spans="1:6" x14ac:dyDescent="0.35">
      <c r="A123" s="3">
        <v>43956</v>
      </c>
      <c r="B123" s="2">
        <v>122</v>
      </c>
      <c r="C123" s="1">
        <v>73.327736000000002</v>
      </c>
      <c r="D123" s="2">
        <v>36937800</v>
      </c>
      <c r="E123" s="1">
        <v>133.13014200000001</v>
      </c>
      <c r="F123" s="2">
        <v>3122300</v>
      </c>
    </row>
    <row r="124" spans="1:6" x14ac:dyDescent="0.35">
      <c r="A124" s="3">
        <v>43957</v>
      </c>
      <c r="B124" s="2">
        <v>123</v>
      </c>
      <c r="C124" s="1">
        <v>74.084282000000002</v>
      </c>
      <c r="D124" s="2">
        <v>35583400</v>
      </c>
      <c r="E124" s="1">
        <v>131.323746</v>
      </c>
      <c r="F124" s="2">
        <v>2349500</v>
      </c>
    </row>
    <row r="125" spans="1:6" x14ac:dyDescent="0.35">
      <c r="A125" s="3">
        <v>43958</v>
      </c>
      <c r="B125" s="2">
        <v>124</v>
      </c>
      <c r="C125" s="1">
        <v>74.850669999999994</v>
      </c>
      <c r="D125" s="2">
        <v>28803800</v>
      </c>
      <c r="E125" s="1">
        <v>131.076965</v>
      </c>
      <c r="F125" s="2">
        <v>3096500</v>
      </c>
    </row>
    <row r="126" spans="1:6" x14ac:dyDescent="0.35">
      <c r="A126" s="3">
        <v>43959</v>
      </c>
      <c r="B126" s="2">
        <v>125</v>
      </c>
      <c r="C126" s="1">
        <v>77.259674000000004</v>
      </c>
      <c r="D126" s="2">
        <v>33459600</v>
      </c>
      <c r="E126" s="1">
        <v>135.14382900000001</v>
      </c>
      <c r="F126" s="2">
        <v>2740400</v>
      </c>
    </row>
    <row r="127" spans="1:6" x14ac:dyDescent="0.35">
      <c r="A127" s="3">
        <v>43962</v>
      </c>
      <c r="B127" s="2">
        <v>126</v>
      </c>
      <c r="C127" s="1">
        <v>78.475371999999993</v>
      </c>
      <c r="D127" s="2">
        <v>145946400</v>
      </c>
      <c r="E127" s="1">
        <v>132.54776000000001</v>
      </c>
      <c r="F127" s="2">
        <v>2356400</v>
      </c>
    </row>
    <row r="128" spans="1:6" x14ac:dyDescent="0.35">
      <c r="A128" s="3">
        <v>43963</v>
      </c>
      <c r="B128" s="2">
        <v>127</v>
      </c>
      <c r="C128" s="1">
        <v>77.578536999999997</v>
      </c>
      <c r="D128" s="2">
        <v>162301200</v>
      </c>
      <c r="E128" s="1">
        <v>125.944046</v>
      </c>
      <c r="F128" s="2">
        <v>4870400</v>
      </c>
    </row>
    <row r="129" spans="1:6" x14ac:dyDescent="0.35">
      <c r="A129" s="3">
        <v>43964</v>
      </c>
      <c r="B129" s="2">
        <v>128</v>
      </c>
      <c r="C129" s="1">
        <v>76.641852999999998</v>
      </c>
      <c r="D129" s="2">
        <v>200622400</v>
      </c>
      <c r="E129" s="1">
        <v>121.383652</v>
      </c>
      <c r="F129" s="2">
        <v>5786200</v>
      </c>
    </row>
    <row r="130" spans="1:6" x14ac:dyDescent="0.35">
      <c r="A130" s="3">
        <v>43965</v>
      </c>
      <c r="B130" s="2">
        <v>129</v>
      </c>
      <c r="C130" s="1">
        <v>77.112685999999997</v>
      </c>
      <c r="D130" s="2">
        <v>158929200</v>
      </c>
      <c r="E130" s="1">
        <v>126.335655</v>
      </c>
      <c r="F130" s="2">
        <v>5226200</v>
      </c>
    </row>
    <row r="131" spans="1:6" x14ac:dyDescent="0.35">
      <c r="A131" s="3">
        <v>43966</v>
      </c>
      <c r="B131" s="2">
        <v>130</v>
      </c>
      <c r="C131" s="1">
        <v>76.656791999999996</v>
      </c>
      <c r="D131" s="2">
        <v>166348400</v>
      </c>
      <c r="E131" s="1">
        <v>124.70488</v>
      </c>
      <c r="F131" s="2">
        <v>4660300</v>
      </c>
    </row>
    <row r="132" spans="1:6" x14ac:dyDescent="0.35">
      <c r="A132" s="3">
        <v>43969</v>
      </c>
      <c r="B132" s="2">
        <v>131</v>
      </c>
      <c r="C132" s="1">
        <v>78.462913999999998</v>
      </c>
      <c r="D132" s="2">
        <v>135372400</v>
      </c>
      <c r="E132" s="1">
        <v>135.27510100000001</v>
      </c>
      <c r="F132" s="2">
        <v>6405800</v>
      </c>
    </row>
    <row r="133" spans="1:6" x14ac:dyDescent="0.35">
      <c r="A133" s="3">
        <v>43970</v>
      </c>
      <c r="B133" s="2">
        <v>132</v>
      </c>
      <c r="C133" s="1">
        <v>78.009521000000007</v>
      </c>
      <c r="D133" s="2">
        <v>101729600</v>
      </c>
      <c r="E133" s="1">
        <v>131.208099</v>
      </c>
      <c r="F133" s="2">
        <v>4427800</v>
      </c>
    </row>
    <row r="134" spans="1:6" x14ac:dyDescent="0.35">
      <c r="A134" s="3">
        <v>43971</v>
      </c>
      <c r="B134" s="2">
        <v>133</v>
      </c>
      <c r="C134" s="1">
        <v>79.526664999999994</v>
      </c>
      <c r="D134" s="2">
        <v>111504800</v>
      </c>
      <c r="E134" s="1">
        <v>135.26516699999999</v>
      </c>
      <c r="F134" s="2">
        <v>2949700</v>
      </c>
    </row>
    <row r="135" spans="1:6" x14ac:dyDescent="0.35">
      <c r="A135" s="3">
        <v>43972</v>
      </c>
      <c r="B135" s="2">
        <v>134</v>
      </c>
      <c r="C135" s="1">
        <v>78.933753999999993</v>
      </c>
      <c r="D135" s="2">
        <v>102688800</v>
      </c>
      <c r="E135" s="1">
        <v>136.91583299999999</v>
      </c>
      <c r="F135" s="2">
        <v>2374300</v>
      </c>
    </row>
    <row r="136" spans="1:6" x14ac:dyDescent="0.35">
      <c r="A136" s="3">
        <v>43973</v>
      </c>
      <c r="B136" s="2">
        <v>135</v>
      </c>
      <c r="C136" s="1">
        <v>79.441963000000001</v>
      </c>
      <c r="D136" s="2">
        <v>81803200</v>
      </c>
      <c r="E136" s="1">
        <v>138.397446</v>
      </c>
      <c r="F136" s="2">
        <v>2958000</v>
      </c>
    </row>
    <row r="137" spans="1:6" x14ac:dyDescent="0.35">
      <c r="A137" s="3">
        <v>43977</v>
      </c>
      <c r="B137" s="2">
        <v>136</v>
      </c>
      <c r="C137" s="1">
        <v>78.903862000000004</v>
      </c>
      <c r="D137" s="2">
        <v>125522000</v>
      </c>
      <c r="E137" s="1">
        <v>144.12506099999999</v>
      </c>
      <c r="F137" s="2">
        <v>4370200</v>
      </c>
    </row>
    <row r="138" spans="1:6" x14ac:dyDescent="0.35">
      <c r="A138" s="3">
        <v>43978</v>
      </c>
      <c r="B138" s="2">
        <v>137</v>
      </c>
      <c r="C138" s="1">
        <v>79.247642999999997</v>
      </c>
      <c r="D138" s="2">
        <v>112945200</v>
      </c>
      <c r="E138" s="1">
        <v>147.75453200000001</v>
      </c>
      <c r="F138" s="2">
        <v>4291700</v>
      </c>
    </row>
    <row r="139" spans="1:6" x14ac:dyDescent="0.35">
      <c r="A139" s="3">
        <v>43979</v>
      </c>
      <c r="B139" s="2">
        <v>138</v>
      </c>
      <c r="C139" s="1">
        <v>79.282523999999995</v>
      </c>
      <c r="D139" s="2">
        <v>133560800</v>
      </c>
      <c r="E139" s="1">
        <v>146.73033100000001</v>
      </c>
      <c r="F139" s="2">
        <v>3481800</v>
      </c>
    </row>
    <row r="140" spans="1:6" x14ac:dyDescent="0.35">
      <c r="A140" s="3">
        <v>43980</v>
      </c>
      <c r="B140" s="2">
        <v>139</v>
      </c>
      <c r="C140" s="1">
        <v>79.205298999999997</v>
      </c>
      <c r="D140" s="2">
        <v>153598000</v>
      </c>
      <c r="E140" s="1">
        <v>145.02995300000001</v>
      </c>
      <c r="F140" s="2">
        <v>4135500</v>
      </c>
    </row>
    <row r="141" spans="1:6" x14ac:dyDescent="0.35">
      <c r="A141" s="3">
        <v>43983</v>
      </c>
      <c r="B141" s="2">
        <v>140</v>
      </c>
      <c r="C141" s="1">
        <v>80.179359000000005</v>
      </c>
      <c r="D141" s="2">
        <v>80791200</v>
      </c>
      <c r="E141" s="1">
        <v>145.358093</v>
      </c>
      <c r="F141" s="2">
        <v>2071100</v>
      </c>
    </row>
    <row r="142" spans="1:6" x14ac:dyDescent="0.35">
      <c r="A142" s="3">
        <v>43984</v>
      </c>
      <c r="B142" s="2">
        <v>141</v>
      </c>
      <c r="C142" s="1">
        <v>80.550545</v>
      </c>
      <c r="D142" s="2">
        <v>87642800</v>
      </c>
      <c r="E142" s="1">
        <v>147.51589999999999</v>
      </c>
      <c r="F142" s="2">
        <v>3625800</v>
      </c>
    </row>
    <row r="143" spans="1:6" x14ac:dyDescent="0.35">
      <c r="A143" s="3">
        <v>43985</v>
      </c>
      <c r="B143" s="2">
        <v>142</v>
      </c>
      <c r="C143" s="1">
        <v>80.993979999999993</v>
      </c>
      <c r="D143" s="2">
        <v>104491200</v>
      </c>
      <c r="E143" s="1">
        <v>152.48779300000001</v>
      </c>
      <c r="F143" s="2">
        <v>2992700</v>
      </c>
    </row>
    <row r="144" spans="1:6" x14ac:dyDescent="0.35">
      <c r="A144" s="3">
        <v>43986</v>
      </c>
      <c r="B144" s="2">
        <v>143</v>
      </c>
      <c r="C144" s="1">
        <v>80.296447999999998</v>
      </c>
      <c r="D144" s="2">
        <v>87560400</v>
      </c>
      <c r="E144" s="1">
        <v>155.03338600000001</v>
      </c>
      <c r="F144" s="2">
        <v>3768200</v>
      </c>
    </row>
    <row r="145" spans="1:6" x14ac:dyDescent="0.35">
      <c r="A145" s="3">
        <v>43987</v>
      </c>
      <c r="B145" s="2">
        <v>144</v>
      </c>
      <c r="C145" s="1">
        <v>82.583374000000006</v>
      </c>
      <c r="D145" s="2">
        <v>137250400</v>
      </c>
      <c r="E145" s="1">
        <v>160.46267700000001</v>
      </c>
      <c r="F145" s="2">
        <v>4524900</v>
      </c>
    </row>
    <row r="146" spans="1:6" x14ac:dyDescent="0.35">
      <c r="A146" s="3">
        <v>43990</v>
      </c>
      <c r="B146" s="2">
        <v>145</v>
      </c>
      <c r="C146" s="1">
        <v>83.071640000000002</v>
      </c>
      <c r="D146" s="2">
        <v>95654400</v>
      </c>
      <c r="E146" s="1">
        <v>162.00396699999999</v>
      </c>
      <c r="F146" s="2">
        <v>3573400</v>
      </c>
    </row>
    <row r="147" spans="1:6" x14ac:dyDescent="0.35">
      <c r="A147" s="3">
        <v>43991</v>
      </c>
      <c r="B147" s="2">
        <v>146</v>
      </c>
      <c r="C147" s="1">
        <v>85.694878000000003</v>
      </c>
      <c r="D147" s="2">
        <v>147712400</v>
      </c>
      <c r="E147" s="1">
        <v>157.21107499999999</v>
      </c>
      <c r="F147" s="2">
        <v>3679100</v>
      </c>
    </row>
    <row r="148" spans="1:6" x14ac:dyDescent="0.35">
      <c r="A148" s="3">
        <v>43992</v>
      </c>
      <c r="B148" s="2">
        <v>147</v>
      </c>
      <c r="C148" s="1">
        <v>87.899590000000003</v>
      </c>
      <c r="D148" s="2">
        <v>166651600</v>
      </c>
      <c r="E148" s="1">
        <v>153.25344799999999</v>
      </c>
      <c r="F148" s="2">
        <v>3309800</v>
      </c>
    </row>
    <row r="149" spans="1:6" x14ac:dyDescent="0.35">
      <c r="A149" s="3">
        <v>43993</v>
      </c>
      <c r="B149" s="2">
        <v>148</v>
      </c>
      <c r="C149" s="1">
        <v>83.679496999999998</v>
      </c>
      <c r="D149" s="2">
        <v>201662400</v>
      </c>
      <c r="E149" s="1">
        <v>142.633499</v>
      </c>
      <c r="F149" s="2">
        <v>4184900</v>
      </c>
    </row>
    <row r="150" spans="1:6" x14ac:dyDescent="0.35">
      <c r="A150" s="3">
        <v>43994</v>
      </c>
      <c r="B150" s="2">
        <v>149</v>
      </c>
      <c r="C150" s="1">
        <v>84.401947000000007</v>
      </c>
      <c r="D150" s="2">
        <v>200146000</v>
      </c>
      <c r="E150" s="1">
        <v>143.69747899999999</v>
      </c>
      <c r="F150" s="2">
        <v>3612400</v>
      </c>
    </row>
    <row r="151" spans="1:6" x14ac:dyDescent="0.35">
      <c r="A151" s="3">
        <v>43997</v>
      </c>
      <c r="B151" s="2">
        <v>150</v>
      </c>
      <c r="C151" s="1">
        <v>85.445755000000005</v>
      </c>
      <c r="D151" s="2">
        <v>138808800</v>
      </c>
      <c r="E151" s="1">
        <v>145.80557300000001</v>
      </c>
      <c r="F151" s="2">
        <v>3314000</v>
      </c>
    </row>
    <row r="152" spans="1:6" x14ac:dyDescent="0.35">
      <c r="A152" s="3">
        <v>43998</v>
      </c>
      <c r="B152" s="2">
        <v>151</v>
      </c>
      <c r="C152" s="1">
        <v>87.710257999999996</v>
      </c>
      <c r="D152" s="2">
        <v>165428800</v>
      </c>
      <c r="E152" s="1">
        <v>148.27162200000001</v>
      </c>
      <c r="F152" s="2">
        <v>3804500</v>
      </c>
    </row>
    <row r="153" spans="1:6" x14ac:dyDescent="0.35">
      <c r="A153" s="3">
        <v>43999</v>
      </c>
      <c r="B153" s="2">
        <v>152</v>
      </c>
      <c r="C153" s="1">
        <v>87.588195999999996</v>
      </c>
      <c r="D153" s="2">
        <v>114406400</v>
      </c>
      <c r="E153" s="1">
        <v>147.50595100000001</v>
      </c>
      <c r="F153" s="2">
        <v>3507600</v>
      </c>
    </row>
    <row r="154" spans="1:6" x14ac:dyDescent="0.35">
      <c r="A154" s="3">
        <v>44000</v>
      </c>
      <c r="B154" s="2">
        <v>153</v>
      </c>
      <c r="C154" s="1">
        <v>87.623076999999995</v>
      </c>
      <c r="D154" s="2">
        <v>96820400</v>
      </c>
      <c r="E154" s="1">
        <v>147.39656099999999</v>
      </c>
      <c r="F154" s="2">
        <v>2581600</v>
      </c>
    </row>
    <row r="155" spans="1:6" x14ac:dyDescent="0.35">
      <c r="A155" s="3">
        <v>44001</v>
      </c>
      <c r="B155" s="2">
        <v>154</v>
      </c>
      <c r="C155" s="1">
        <v>87.122337000000002</v>
      </c>
      <c r="D155" s="2">
        <v>264476000</v>
      </c>
      <c r="E155" s="1">
        <v>144.55264299999999</v>
      </c>
      <c r="F155" s="2">
        <v>5265900</v>
      </c>
    </row>
    <row r="156" spans="1:6" x14ac:dyDescent="0.35">
      <c r="A156" s="3">
        <v>44004</v>
      </c>
      <c r="B156" s="2">
        <v>155</v>
      </c>
      <c r="C156" s="1">
        <v>89.401786999999999</v>
      </c>
      <c r="D156" s="2">
        <v>135445200</v>
      </c>
      <c r="E156" s="1">
        <v>144.12506099999999</v>
      </c>
      <c r="F156" s="2">
        <v>2529900</v>
      </c>
    </row>
    <row r="157" spans="1:6" x14ac:dyDescent="0.35">
      <c r="A157" s="3">
        <v>44005</v>
      </c>
      <c r="B157" s="2">
        <v>156</v>
      </c>
      <c r="C157" s="1">
        <v>91.310051000000001</v>
      </c>
      <c r="D157" s="2">
        <v>212155600</v>
      </c>
      <c r="E157" s="1">
        <v>144.04551699999999</v>
      </c>
      <c r="F157" s="2">
        <v>2309800</v>
      </c>
    </row>
    <row r="158" spans="1:6" x14ac:dyDescent="0.35">
      <c r="A158" s="3">
        <v>44006</v>
      </c>
      <c r="B158" s="2">
        <v>157</v>
      </c>
      <c r="C158" s="1">
        <v>89.698241999999993</v>
      </c>
      <c r="D158" s="2">
        <v>192623200</v>
      </c>
      <c r="E158" s="1">
        <v>137.57212799999999</v>
      </c>
      <c r="F158" s="2">
        <v>3371200</v>
      </c>
    </row>
    <row r="159" spans="1:6" x14ac:dyDescent="0.35">
      <c r="A159" s="3">
        <v>44007</v>
      </c>
      <c r="B159" s="2">
        <v>158</v>
      </c>
      <c r="C159" s="1">
        <v>90.889037999999999</v>
      </c>
      <c r="D159" s="2">
        <v>137522400</v>
      </c>
      <c r="E159" s="1">
        <v>141.65901199999999</v>
      </c>
      <c r="F159" s="2">
        <v>4019000</v>
      </c>
    </row>
    <row r="160" spans="1:6" x14ac:dyDescent="0.35">
      <c r="A160" s="3">
        <v>44008</v>
      </c>
      <c r="B160" s="2">
        <v>159</v>
      </c>
      <c r="C160" s="1">
        <v>88.096405000000004</v>
      </c>
      <c r="D160" s="2">
        <v>205256800</v>
      </c>
      <c r="E160" s="1">
        <v>137.432907</v>
      </c>
      <c r="F160" s="2">
        <v>10255300</v>
      </c>
    </row>
    <row r="161" spans="1:6" x14ac:dyDescent="0.35">
      <c r="A161" s="3">
        <v>44011</v>
      </c>
      <c r="B161" s="2">
        <v>160</v>
      </c>
      <c r="C161" s="1">
        <v>90.126732000000004</v>
      </c>
      <c r="D161" s="2">
        <v>130646000</v>
      </c>
      <c r="E161" s="1">
        <v>142.434631</v>
      </c>
      <c r="F161" s="2">
        <v>2971200</v>
      </c>
    </row>
    <row r="162" spans="1:6" x14ac:dyDescent="0.35">
      <c r="A162" s="3">
        <v>44012</v>
      </c>
      <c r="B162" s="2">
        <v>161</v>
      </c>
      <c r="C162" s="1">
        <v>90.879065999999995</v>
      </c>
      <c r="D162" s="2">
        <v>140223200</v>
      </c>
      <c r="E162" s="1">
        <v>143.77702300000001</v>
      </c>
      <c r="F162" s="2">
        <v>3688000</v>
      </c>
    </row>
    <row r="163" spans="1:6" x14ac:dyDescent="0.35">
      <c r="A163" s="3">
        <v>44013</v>
      </c>
      <c r="B163" s="2">
        <v>162</v>
      </c>
      <c r="C163" s="1">
        <v>90.707176000000004</v>
      </c>
      <c r="D163" s="2">
        <v>110737200</v>
      </c>
      <c r="E163" s="1">
        <v>143.29972799999999</v>
      </c>
      <c r="F163" s="2">
        <v>2609500</v>
      </c>
    </row>
    <row r="164" spans="1:6" x14ac:dyDescent="0.35">
      <c r="A164" s="3">
        <v>44014</v>
      </c>
      <c r="B164" s="2">
        <v>163</v>
      </c>
      <c r="C164" s="1">
        <v>90.707176000000004</v>
      </c>
      <c r="D164" s="2">
        <v>114041600</v>
      </c>
      <c r="E164" s="1">
        <v>144.20462000000001</v>
      </c>
      <c r="F164" s="2">
        <v>2758500</v>
      </c>
    </row>
    <row r="165" spans="1:6" x14ac:dyDescent="0.35">
      <c r="A165" s="3">
        <v>44018</v>
      </c>
      <c r="B165" s="2">
        <v>164</v>
      </c>
      <c r="C165" s="1">
        <v>93.133613999999994</v>
      </c>
      <c r="D165" s="2">
        <v>118655600</v>
      </c>
      <c r="E165" s="1">
        <v>146.39224200000001</v>
      </c>
      <c r="F165" s="2">
        <v>2336700</v>
      </c>
    </row>
    <row r="166" spans="1:6" x14ac:dyDescent="0.35">
      <c r="A166" s="3">
        <v>44019</v>
      </c>
      <c r="B166" s="2">
        <v>165</v>
      </c>
      <c r="C166" s="1">
        <v>92.844634999999997</v>
      </c>
      <c r="D166" s="2">
        <v>112424400</v>
      </c>
      <c r="E166" s="1">
        <v>144.15489199999999</v>
      </c>
      <c r="F166" s="2">
        <v>2622000</v>
      </c>
    </row>
    <row r="167" spans="1:6" x14ac:dyDescent="0.35">
      <c r="A167" s="3">
        <v>44020</v>
      </c>
      <c r="B167" s="2">
        <v>166</v>
      </c>
      <c r="C167" s="1">
        <v>95.006996000000001</v>
      </c>
      <c r="D167" s="2">
        <v>117092000</v>
      </c>
      <c r="E167" s="1">
        <v>144.77140800000001</v>
      </c>
      <c r="F167" s="2">
        <v>3587800</v>
      </c>
    </row>
    <row r="168" spans="1:6" x14ac:dyDescent="0.35">
      <c r="A168" s="3">
        <v>44021</v>
      </c>
      <c r="B168" s="2">
        <v>167</v>
      </c>
      <c r="C168" s="1">
        <v>95.415558000000004</v>
      </c>
      <c r="D168" s="2">
        <v>125642800</v>
      </c>
      <c r="E168" s="1">
        <v>140.57513399999999</v>
      </c>
      <c r="F168" s="2">
        <v>3167200</v>
      </c>
    </row>
    <row r="169" spans="1:6" x14ac:dyDescent="0.35">
      <c r="A169" s="3">
        <v>44022</v>
      </c>
      <c r="B169" s="2">
        <v>168</v>
      </c>
      <c r="C169" s="1">
        <v>95.582465999999997</v>
      </c>
      <c r="D169" s="2">
        <v>90257200</v>
      </c>
      <c r="E169" s="1">
        <v>141.64906300000001</v>
      </c>
      <c r="F169" s="2">
        <v>2325000</v>
      </c>
    </row>
    <row r="170" spans="1:6" x14ac:dyDescent="0.35">
      <c r="A170" s="3">
        <v>44025</v>
      </c>
      <c r="B170" s="2">
        <v>169</v>
      </c>
      <c r="C170" s="1">
        <v>95.141525000000001</v>
      </c>
      <c r="D170" s="2">
        <v>191649200</v>
      </c>
      <c r="E170" s="1">
        <v>142.68322800000001</v>
      </c>
      <c r="F170" s="2">
        <v>2585700</v>
      </c>
    </row>
    <row r="171" spans="1:6" x14ac:dyDescent="0.35">
      <c r="A171" s="3">
        <v>44026</v>
      </c>
      <c r="B171" s="2">
        <v>170</v>
      </c>
      <c r="C171" s="1">
        <v>96.715964999999997</v>
      </c>
      <c r="D171" s="2">
        <v>170989200</v>
      </c>
      <c r="E171" s="1">
        <v>147.267303</v>
      </c>
      <c r="F171" s="2">
        <v>2649800</v>
      </c>
    </row>
    <row r="172" spans="1:6" x14ac:dyDescent="0.35">
      <c r="A172" s="3">
        <v>44027</v>
      </c>
      <c r="B172" s="2">
        <v>171</v>
      </c>
      <c r="C172" s="1">
        <v>97.381111000000004</v>
      </c>
      <c r="D172" s="2">
        <v>153198000</v>
      </c>
      <c r="E172" s="1">
        <v>151.07576</v>
      </c>
      <c r="F172" s="2">
        <v>2984600</v>
      </c>
    </row>
    <row r="173" spans="1:6" x14ac:dyDescent="0.35">
      <c r="A173" s="3">
        <v>44028</v>
      </c>
      <c r="B173" s="2">
        <v>172</v>
      </c>
      <c r="C173" s="1">
        <v>96.182845999999998</v>
      </c>
      <c r="D173" s="2">
        <v>110577600</v>
      </c>
      <c r="E173" s="1">
        <v>152.21929900000001</v>
      </c>
      <c r="F173" s="2">
        <v>3697600</v>
      </c>
    </row>
    <row r="174" spans="1:6" x14ac:dyDescent="0.35">
      <c r="A174" s="3">
        <v>44029</v>
      </c>
      <c r="B174" s="2">
        <v>173</v>
      </c>
      <c r="C174" s="1">
        <v>95.988533000000004</v>
      </c>
      <c r="D174" s="2">
        <v>92186800</v>
      </c>
      <c r="E174" s="1">
        <v>154.12851000000001</v>
      </c>
      <c r="F174" s="2">
        <v>4886500</v>
      </c>
    </row>
    <row r="175" spans="1:6" x14ac:dyDescent="0.35">
      <c r="A175" s="3">
        <v>44032</v>
      </c>
      <c r="B175" s="2">
        <v>174</v>
      </c>
      <c r="C175" s="1">
        <v>98.011391000000003</v>
      </c>
      <c r="D175" s="2">
        <v>90318000</v>
      </c>
      <c r="E175" s="1">
        <v>152.527557</v>
      </c>
      <c r="F175" s="2">
        <v>4876200</v>
      </c>
    </row>
    <row r="176" spans="1:6" x14ac:dyDescent="0.35">
      <c r="A176" s="3">
        <v>44033</v>
      </c>
      <c r="B176" s="2">
        <v>175</v>
      </c>
      <c r="C176" s="1">
        <v>96.658660999999995</v>
      </c>
      <c r="D176" s="2">
        <v>103646000</v>
      </c>
      <c r="E176" s="1">
        <v>153.889847</v>
      </c>
      <c r="F176" s="2">
        <v>2394000</v>
      </c>
    </row>
    <row r="177" spans="1:6" x14ac:dyDescent="0.35">
      <c r="A177" s="3">
        <v>44034</v>
      </c>
      <c r="B177" s="2">
        <v>176</v>
      </c>
      <c r="C177" s="1">
        <v>96.930199000000002</v>
      </c>
      <c r="D177" s="2">
        <v>89001600</v>
      </c>
      <c r="E177" s="1">
        <v>153.740692</v>
      </c>
      <c r="F177" s="2">
        <v>1798600</v>
      </c>
    </row>
    <row r="178" spans="1:6" x14ac:dyDescent="0.35">
      <c r="A178" s="3">
        <v>44035</v>
      </c>
      <c r="B178" s="2">
        <v>177</v>
      </c>
      <c r="C178" s="1">
        <v>92.518287999999998</v>
      </c>
      <c r="D178" s="2">
        <v>197004400</v>
      </c>
      <c r="E178" s="1">
        <v>152.86563100000001</v>
      </c>
      <c r="F178" s="2">
        <v>2625600</v>
      </c>
    </row>
    <row r="179" spans="1:6" x14ac:dyDescent="0.35">
      <c r="A179" s="3">
        <v>44036</v>
      </c>
      <c r="B179" s="2">
        <v>178</v>
      </c>
      <c r="C179" s="1">
        <v>92.289092999999994</v>
      </c>
      <c r="D179" s="2">
        <v>185438800</v>
      </c>
      <c r="E179" s="1">
        <v>148.58981299999999</v>
      </c>
      <c r="F179" s="2">
        <v>4368300</v>
      </c>
    </row>
    <row r="180" spans="1:6" x14ac:dyDescent="0.35">
      <c r="A180" s="3">
        <v>44039</v>
      </c>
      <c r="B180" s="2">
        <v>179</v>
      </c>
      <c r="C180" s="1">
        <v>94.476364000000004</v>
      </c>
      <c r="D180" s="2">
        <v>121214000</v>
      </c>
      <c r="E180" s="1">
        <v>149.91233800000001</v>
      </c>
      <c r="F180" s="2">
        <v>3378300</v>
      </c>
    </row>
    <row r="181" spans="1:6" x14ac:dyDescent="0.35">
      <c r="A181" s="3">
        <v>44040</v>
      </c>
      <c r="B181" s="2">
        <v>180</v>
      </c>
      <c r="C181" s="1">
        <v>92.924355000000006</v>
      </c>
      <c r="D181" s="2">
        <v>103625600</v>
      </c>
      <c r="E181" s="1">
        <v>151.155304</v>
      </c>
      <c r="F181" s="2">
        <v>3904200</v>
      </c>
    </row>
    <row r="182" spans="1:6" x14ac:dyDescent="0.35">
      <c r="A182" s="3">
        <v>44041</v>
      </c>
      <c r="B182" s="2">
        <v>181</v>
      </c>
      <c r="C182" s="1">
        <v>94.705558999999994</v>
      </c>
      <c r="D182" s="2">
        <v>90329200</v>
      </c>
      <c r="E182" s="1">
        <v>153.71086099999999</v>
      </c>
      <c r="F182" s="2">
        <v>3311500</v>
      </c>
    </row>
    <row r="183" spans="1:6" x14ac:dyDescent="0.35">
      <c r="A183" s="3">
        <v>44042</v>
      </c>
      <c r="B183" s="2">
        <v>182</v>
      </c>
      <c r="C183" s="1">
        <v>95.851517000000001</v>
      </c>
      <c r="D183" s="2">
        <v>158130000</v>
      </c>
      <c r="E183" s="1">
        <v>148.321335</v>
      </c>
      <c r="F183" s="2">
        <v>2749100</v>
      </c>
    </row>
    <row r="184" spans="1:6" x14ac:dyDescent="0.35">
      <c r="A184" s="3">
        <v>44043</v>
      </c>
      <c r="B184" s="2">
        <v>183</v>
      </c>
      <c r="C184" s="1">
        <v>105.88608600000001</v>
      </c>
      <c r="D184" s="2">
        <v>374336800</v>
      </c>
      <c r="E184" s="1">
        <v>148.53015099999999</v>
      </c>
      <c r="F184" s="2">
        <v>4061200</v>
      </c>
    </row>
    <row r="185" spans="1:6" x14ac:dyDescent="0.35">
      <c r="A185" s="3">
        <v>44046</v>
      </c>
      <c r="B185" s="2">
        <v>184</v>
      </c>
      <c r="C185" s="1">
        <v>108.554153</v>
      </c>
      <c r="D185" s="2">
        <v>308151200</v>
      </c>
      <c r="E185" s="1">
        <v>147.694885</v>
      </c>
      <c r="F185" s="2">
        <v>2105400</v>
      </c>
    </row>
    <row r="186" spans="1:6" x14ac:dyDescent="0.35">
      <c r="A186" s="3">
        <v>44047</v>
      </c>
      <c r="B186" s="2">
        <v>185</v>
      </c>
      <c r="C186" s="1">
        <v>109.279099</v>
      </c>
      <c r="D186" s="2">
        <v>173071600</v>
      </c>
      <c r="E186" s="1">
        <v>146.501633</v>
      </c>
      <c r="F186" s="2">
        <v>3078300</v>
      </c>
    </row>
    <row r="187" spans="1:6" x14ac:dyDescent="0.35">
      <c r="A187" s="3">
        <v>44048</v>
      </c>
      <c r="B187" s="2">
        <v>186</v>
      </c>
      <c r="C187" s="1">
        <v>109.675194</v>
      </c>
      <c r="D187" s="2">
        <v>121992000</v>
      </c>
      <c r="E187" s="1">
        <v>149.972015</v>
      </c>
      <c r="F187" s="2">
        <v>4181000</v>
      </c>
    </row>
    <row r="188" spans="1:6" x14ac:dyDescent="0.35">
      <c r="A188" s="3">
        <v>44049</v>
      </c>
      <c r="B188" s="2">
        <v>187</v>
      </c>
      <c r="C188" s="1">
        <v>113.501678</v>
      </c>
      <c r="D188" s="2">
        <v>202428800</v>
      </c>
      <c r="E188" s="1">
        <v>151.72210699999999</v>
      </c>
      <c r="F188" s="2">
        <v>2502700</v>
      </c>
    </row>
    <row r="189" spans="1:6" x14ac:dyDescent="0.35">
      <c r="A189" s="3">
        <v>44050</v>
      </c>
      <c r="B189" s="2">
        <v>188</v>
      </c>
      <c r="C189" s="1">
        <v>110.92113500000001</v>
      </c>
      <c r="D189" s="2">
        <v>198045600</v>
      </c>
      <c r="E189" s="1">
        <v>154.23788500000001</v>
      </c>
      <c r="F189" s="2">
        <v>2519500</v>
      </c>
    </row>
    <row r="190" spans="1:6" x14ac:dyDescent="0.35">
      <c r="A190" s="3">
        <v>44053</v>
      </c>
      <c r="B190" s="2">
        <v>189</v>
      </c>
      <c r="C190" s="1">
        <v>112.533356</v>
      </c>
      <c r="D190" s="2">
        <v>212403600</v>
      </c>
      <c r="E190" s="1">
        <v>158.53358499999999</v>
      </c>
      <c r="F190" s="2">
        <v>2858800</v>
      </c>
    </row>
    <row r="191" spans="1:6" x14ac:dyDescent="0.35">
      <c r="A191" s="3">
        <v>44054</v>
      </c>
      <c r="B191" s="2">
        <v>190</v>
      </c>
      <c r="C191" s="1">
        <v>109.186623</v>
      </c>
      <c r="D191" s="2">
        <v>187902400</v>
      </c>
      <c r="E191" s="1">
        <v>159.378815</v>
      </c>
      <c r="F191" s="2">
        <v>3773700</v>
      </c>
    </row>
    <row r="192" spans="1:6" x14ac:dyDescent="0.35">
      <c r="A192" s="3">
        <v>44055</v>
      </c>
      <c r="B192" s="2">
        <v>191</v>
      </c>
      <c r="C192" s="1">
        <v>112.815369</v>
      </c>
      <c r="D192" s="2">
        <v>165944800</v>
      </c>
      <c r="E192" s="1">
        <v>159.16999799999999</v>
      </c>
      <c r="F192" s="2">
        <v>2670100</v>
      </c>
    </row>
    <row r="193" spans="1:6" x14ac:dyDescent="0.35">
      <c r="A193" s="3">
        <v>44056</v>
      </c>
      <c r="B193" s="2">
        <v>192</v>
      </c>
      <c r="C193" s="1">
        <v>114.81192</v>
      </c>
      <c r="D193" s="2">
        <v>210082000</v>
      </c>
      <c r="E193" s="1">
        <v>158.979996</v>
      </c>
      <c r="F193" s="2">
        <v>2574900</v>
      </c>
    </row>
    <row r="194" spans="1:6" x14ac:dyDescent="0.35">
      <c r="A194" s="3">
        <v>44057</v>
      </c>
      <c r="B194" s="2">
        <v>193</v>
      </c>
      <c r="C194" s="1">
        <v>114.709602</v>
      </c>
      <c r="D194" s="2">
        <v>165565200</v>
      </c>
      <c r="E194" s="1">
        <v>160.279999</v>
      </c>
      <c r="F194" s="2">
        <v>2844700</v>
      </c>
    </row>
    <row r="195" spans="1:6" x14ac:dyDescent="0.35">
      <c r="A195" s="3">
        <v>44060</v>
      </c>
      <c r="B195" s="2">
        <v>194</v>
      </c>
      <c r="C195" s="1">
        <v>114.41011</v>
      </c>
      <c r="D195" s="2">
        <v>119561600</v>
      </c>
      <c r="E195" s="1">
        <v>158.759995</v>
      </c>
      <c r="F195" s="2">
        <v>2817200</v>
      </c>
    </row>
    <row r="196" spans="1:6" x14ac:dyDescent="0.35">
      <c r="A196" s="3">
        <v>44061</v>
      </c>
      <c r="B196" s="2">
        <v>195</v>
      </c>
      <c r="C196" s="1">
        <v>115.363472</v>
      </c>
      <c r="D196" s="2">
        <v>105633600</v>
      </c>
      <c r="E196" s="1">
        <v>157.38000500000001</v>
      </c>
      <c r="F196" s="2">
        <v>1869300</v>
      </c>
    </row>
    <row r="197" spans="1:6" x14ac:dyDescent="0.35">
      <c r="A197" s="3">
        <v>44062</v>
      </c>
      <c r="B197" s="2">
        <v>196</v>
      </c>
      <c r="C197" s="1">
        <v>115.508217</v>
      </c>
      <c r="D197" s="2">
        <v>145538000</v>
      </c>
      <c r="E197" s="1">
        <v>156.85000600000001</v>
      </c>
      <c r="F197" s="2">
        <v>2098100</v>
      </c>
    </row>
    <row r="198" spans="1:6" x14ac:dyDescent="0.35">
      <c r="A198" s="3">
        <v>44063</v>
      </c>
      <c r="B198" s="2">
        <v>197</v>
      </c>
      <c r="C198" s="1">
        <v>118.071297</v>
      </c>
      <c r="D198" s="2">
        <v>126907200</v>
      </c>
      <c r="E198" s="1">
        <v>156.16999799999999</v>
      </c>
      <c r="F198" s="2">
        <v>1600300</v>
      </c>
    </row>
    <row r="199" spans="1:6" x14ac:dyDescent="0.35">
      <c r="A199" s="3">
        <v>44064</v>
      </c>
      <c r="B199" s="2">
        <v>198</v>
      </c>
      <c r="C199" s="1">
        <v>124.1558</v>
      </c>
      <c r="D199" s="2">
        <v>338054800</v>
      </c>
      <c r="E199" s="1">
        <v>157.5</v>
      </c>
      <c r="F199" s="2">
        <v>2507800</v>
      </c>
    </row>
    <row r="200" spans="1:6" x14ac:dyDescent="0.35">
      <c r="A200" s="3">
        <v>44067</v>
      </c>
      <c r="B200" s="2">
        <v>199</v>
      </c>
      <c r="C200" s="1">
        <v>125.640739</v>
      </c>
      <c r="D200" s="2">
        <v>345937600</v>
      </c>
      <c r="E200" s="1">
        <v>159.36999499999999</v>
      </c>
      <c r="F200" s="2">
        <v>2087000</v>
      </c>
    </row>
    <row r="201" spans="1:6" x14ac:dyDescent="0.35">
      <c r="A201" s="3">
        <v>44068</v>
      </c>
      <c r="B201" s="2">
        <v>200</v>
      </c>
      <c r="C201" s="1">
        <v>124.610016</v>
      </c>
      <c r="D201" s="2">
        <v>211495600</v>
      </c>
      <c r="E201" s="1">
        <v>164.529999</v>
      </c>
      <c r="F201" s="2">
        <v>7400500</v>
      </c>
    </row>
    <row r="202" spans="1:6" x14ac:dyDescent="0.35">
      <c r="A202" s="3">
        <v>44069</v>
      </c>
      <c r="B202" s="2">
        <v>201</v>
      </c>
      <c r="C202" s="1">
        <v>126.304596</v>
      </c>
      <c r="D202" s="2">
        <v>163022400</v>
      </c>
      <c r="E202" s="1">
        <v>165.30999800000001</v>
      </c>
      <c r="F202" s="2">
        <v>3466600</v>
      </c>
    </row>
    <row r="203" spans="1:6" x14ac:dyDescent="0.35">
      <c r="A203" s="3">
        <v>44070</v>
      </c>
      <c r="B203" s="2">
        <v>202</v>
      </c>
      <c r="C203" s="1">
        <v>124.794701</v>
      </c>
      <c r="D203" s="2">
        <v>155552400</v>
      </c>
      <c r="E203" s="1">
        <v>165.990005</v>
      </c>
      <c r="F203" s="2">
        <v>4281100</v>
      </c>
    </row>
    <row r="204" spans="1:6" x14ac:dyDescent="0.35">
      <c r="A204" s="3">
        <v>44071</v>
      </c>
      <c r="B204" s="2">
        <v>203</v>
      </c>
      <c r="C204" s="1">
        <v>124.592552</v>
      </c>
      <c r="D204" s="2">
        <v>187630000</v>
      </c>
      <c r="E204" s="1">
        <v>168.38000500000001</v>
      </c>
      <c r="F204" s="2">
        <v>13011800</v>
      </c>
    </row>
    <row r="205" spans="1:6" x14ac:dyDescent="0.35">
      <c r="A205" s="3">
        <v>44074</v>
      </c>
      <c r="B205" s="2">
        <v>204</v>
      </c>
      <c r="C205" s="1">
        <v>128.81774899999999</v>
      </c>
      <c r="D205" s="2">
        <v>225702700</v>
      </c>
      <c r="E205" s="1">
        <v>165.550003</v>
      </c>
      <c r="F205" s="2">
        <v>4561900</v>
      </c>
    </row>
    <row r="206" spans="1:6" x14ac:dyDescent="0.35">
      <c r="A206" s="3">
        <v>44075</v>
      </c>
      <c r="B206" s="2">
        <v>205</v>
      </c>
      <c r="C206" s="1">
        <v>133.94889800000001</v>
      </c>
      <c r="D206" s="2">
        <v>152470100</v>
      </c>
      <c r="E206" s="1">
        <v>167.970001</v>
      </c>
      <c r="F206" s="2">
        <v>3975100</v>
      </c>
    </row>
    <row r="207" spans="1:6" x14ac:dyDescent="0.35">
      <c r="A207" s="3">
        <v>44076</v>
      </c>
      <c r="B207" s="2">
        <v>206</v>
      </c>
      <c r="C207" s="1">
        <v>131.17369099999999</v>
      </c>
      <c r="D207" s="2">
        <v>200119000</v>
      </c>
      <c r="E207" s="1">
        <v>172.470001</v>
      </c>
      <c r="F207" s="2">
        <v>4111900</v>
      </c>
    </row>
    <row r="208" spans="1:6" x14ac:dyDescent="0.35">
      <c r="A208" s="3">
        <v>44077</v>
      </c>
      <c r="B208" s="2">
        <v>207</v>
      </c>
      <c r="C208" s="1">
        <v>120.671806</v>
      </c>
      <c r="D208" s="2">
        <v>257599600</v>
      </c>
      <c r="E208" s="1">
        <v>166.300003</v>
      </c>
      <c r="F208" s="2">
        <v>3527700</v>
      </c>
    </row>
    <row r="209" spans="1:6" x14ac:dyDescent="0.35">
      <c r="A209" s="3">
        <v>44078</v>
      </c>
      <c r="B209" s="2">
        <v>208</v>
      </c>
      <c r="C209" s="1">
        <v>120.751671</v>
      </c>
      <c r="D209" s="2">
        <v>332607200</v>
      </c>
      <c r="E209" s="1">
        <v>166.69000199999999</v>
      </c>
      <c r="F209" s="2">
        <v>3326500</v>
      </c>
    </row>
    <row r="210" spans="1:6" x14ac:dyDescent="0.35">
      <c r="A210" s="3">
        <v>44082</v>
      </c>
      <c r="B210" s="2">
        <v>209</v>
      </c>
      <c r="C210" s="1">
        <v>112.625694</v>
      </c>
      <c r="D210" s="2">
        <v>231366600</v>
      </c>
      <c r="E210" s="1">
        <v>164.270004</v>
      </c>
      <c r="F210" s="2">
        <v>2796800</v>
      </c>
    </row>
    <row r="211" spans="1:6" x14ac:dyDescent="0.35">
      <c r="A211" s="3">
        <v>44083</v>
      </c>
      <c r="B211" s="2">
        <v>210</v>
      </c>
      <c r="C211" s="1">
        <v>117.117943</v>
      </c>
      <c r="D211" s="2">
        <v>176940500</v>
      </c>
      <c r="E211" s="1">
        <v>165.75</v>
      </c>
      <c r="F211" s="2">
        <v>2807500</v>
      </c>
    </row>
    <row r="212" spans="1:6" x14ac:dyDescent="0.35">
      <c r="A212" s="3">
        <v>44084</v>
      </c>
      <c r="B212" s="2">
        <v>211</v>
      </c>
      <c r="C212" s="1">
        <v>113.29454</v>
      </c>
      <c r="D212" s="2">
        <v>182274400</v>
      </c>
      <c r="E212" s="1">
        <v>164.270004</v>
      </c>
      <c r="F212" s="2">
        <v>2814900</v>
      </c>
    </row>
    <row r="213" spans="1:6" x14ac:dyDescent="0.35">
      <c r="A213" s="3">
        <v>44085</v>
      </c>
      <c r="B213" s="2">
        <v>212</v>
      </c>
      <c r="C213" s="1">
        <v>111.807106</v>
      </c>
      <c r="D213" s="2">
        <v>180860300</v>
      </c>
      <c r="E213" s="1">
        <v>166.449997</v>
      </c>
      <c r="F213" s="2">
        <v>2116700</v>
      </c>
    </row>
    <row r="214" spans="1:6" x14ac:dyDescent="0.35">
      <c r="A214" s="3">
        <v>44088</v>
      </c>
      <c r="B214" s="2">
        <v>213</v>
      </c>
      <c r="C214" s="1">
        <v>115.161316</v>
      </c>
      <c r="D214" s="2">
        <v>140150100</v>
      </c>
      <c r="E214" s="1">
        <v>168.470001</v>
      </c>
      <c r="F214" s="2">
        <v>2134000</v>
      </c>
    </row>
    <row r="215" spans="1:6" x14ac:dyDescent="0.35">
      <c r="A215" s="3">
        <v>44089</v>
      </c>
      <c r="B215" s="2">
        <v>214</v>
      </c>
      <c r="C215" s="1">
        <v>115.34101099999999</v>
      </c>
      <c r="D215" s="2">
        <v>184642000</v>
      </c>
      <c r="E215" s="1">
        <v>168.300003</v>
      </c>
      <c r="F215" s="2">
        <v>1851200</v>
      </c>
    </row>
    <row r="216" spans="1:6" x14ac:dyDescent="0.35">
      <c r="A216" s="3">
        <v>44090</v>
      </c>
      <c r="B216" s="2">
        <v>215</v>
      </c>
      <c r="C216" s="1">
        <v>111.936882</v>
      </c>
      <c r="D216" s="2">
        <v>154679000</v>
      </c>
      <c r="E216" s="1">
        <v>170</v>
      </c>
      <c r="F216" s="2">
        <v>3152000</v>
      </c>
    </row>
    <row r="217" spans="1:6" x14ac:dyDescent="0.35">
      <c r="A217" s="3">
        <v>44091</v>
      </c>
      <c r="B217" s="2">
        <v>216</v>
      </c>
      <c r="C217" s="1">
        <v>110.149963</v>
      </c>
      <c r="D217" s="2">
        <v>178011000</v>
      </c>
      <c r="E217" s="1">
        <v>170.33999600000001</v>
      </c>
      <c r="F217" s="2">
        <v>2661400</v>
      </c>
    </row>
    <row r="218" spans="1:6" x14ac:dyDescent="0.35">
      <c r="A218" s="3">
        <v>44092</v>
      </c>
      <c r="B218" s="2">
        <v>217</v>
      </c>
      <c r="C218" s="1">
        <v>106.655991</v>
      </c>
      <c r="D218" s="2">
        <v>287104900</v>
      </c>
      <c r="E218" s="1">
        <v>168.699997</v>
      </c>
      <c r="F218" s="2">
        <v>4908000</v>
      </c>
    </row>
    <row r="219" spans="1:6" x14ac:dyDescent="0.35">
      <c r="A219" s="3">
        <v>44095</v>
      </c>
      <c r="B219" s="2">
        <v>218</v>
      </c>
      <c r="C219" s="1">
        <v>109.890411</v>
      </c>
      <c r="D219" s="2">
        <v>195713800</v>
      </c>
      <c r="E219" s="1">
        <v>161.36999499999999</v>
      </c>
      <c r="F219" s="2">
        <v>4459600</v>
      </c>
    </row>
    <row r="220" spans="1:6" x14ac:dyDescent="0.35">
      <c r="A220" s="3">
        <v>44096</v>
      </c>
      <c r="B220" s="2">
        <v>219</v>
      </c>
      <c r="C220" s="1">
        <v>111.61743199999999</v>
      </c>
      <c r="D220" s="2">
        <v>183055400</v>
      </c>
      <c r="E220" s="1">
        <v>162.679993</v>
      </c>
      <c r="F220" s="2">
        <v>2501000</v>
      </c>
    </row>
    <row r="221" spans="1:6" x14ac:dyDescent="0.35">
      <c r="A221" s="3">
        <v>44097</v>
      </c>
      <c r="B221" s="2">
        <v>220</v>
      </c>
      <c r="C221" s="1">
        <v>106.935509</v>
      </c>
      <c r="D221" s="2">
        <v>150718700</v>
      </c>
      <c r="E221" s="1">
        <v>158.78999300000001</v>
      </c>
      <c r="F221" s="2">
        <v>2507600</v>
      </c>
    </row>
    <row r="222" spans="1:6" x14ac:dyDescent="0.35">
      <c r="A222" s="3">
        <v>44098</v>
      </c>
      <c r="B222" s="2">
        <v>221</v>
      </c>
      <c r="C222" s="1">
        <v>108.033615</v>
      </c>
      <c r="D222" s="2">
        <v>167743300</v>
      </c>
      <c r="E222" s="1">
        <v>158.759995</v>
      </c>
      <c r="F222" s="2">
        <v>2238300</v>
      </c>
    </row>
    <row r="223" spans="1:6" x14ac:dyDescent="0.35">
      <c r="A223" s="3">
        <v>44099</v>
      </c>
      <c r="B223" s="2">
        <v>222</v>
      </c>
      <c r="C223" s="1">
        <v>112.086624</v>
      </c>
      <c r="D223" s="2">
        <v>149981400</v>
      </c>
      <c r="E223" s="1">
        <v>161.490005</v>
      </c>
      <c r="F223" s="2">
        <v>2593900</v>
      </c>
    </row>
    <row r="224" spans="1:6" x14ac:dyDescent="0.35">
      <c r="A224" s="3">
        <v>44102</v>
      </c>
      <c r="B224" s="2">
        <v>223</v>
      </c>
      <c r="C224" s="1">
        <v>114.76200900000001</v>
      </c>
      <c r="D224" s="2">
        <v>137672400</v>
      </c>
      <c r="E224" s="1">
        <v>164.63999899999999</v>
      </c>
      <c r="F224" s="2">
        <v>2512600</v>
      </c>
    </row>
    <row r="225" spans="1:6" x14ac:dyDescent="0.35">
      <c r="A225" s="3">
        <v>44103</v>
      </c>
      <c r="B225" s="2">
        <v>224</v>
      </c>
      <c r="C225" s="1">
        <v>113.893501</v>
      </c>
      <c r="D225" s="2">
        <v>99382200</v>
      </c>
      <c r="E225" s="1">
        <v>164.509995</v>
      </c>
      <c r="F225" s="2">
        <v>2169300</v>
      </c>
    </row>
    <row r="226" spans="1:6" x14ac:dyDescent="0.35">
      <c r="A226" s="3">
        <v>44104</v>
      </c>
      <c r="B226" s="2">
        <v>225</v>
      </c>
      <c r="C226" s="1">
        <v>115.610542</v>
      </c>
      <c r="D226" s="2">
        <v>142675200</v>
      </c>
      <c r="E226" s="1">
        <v>164.61000100000001</v>
      </c>
      <c r="F226" s="2">
        <v>2883400</v>
      </c>
    </row>
    <row r="227" spans="1:6" x14ac:dyDescent="0.35">
      <c r="A227" s="3">
        <v>44105</v>
      </c>
      <c r="B227" s="2">
        <v>226</v>
      </c>
      <c r="C227" s="1">
        <v>116.58886</v>
      </c>
      <c r="D227" s="2">
        <v>116120400</v>
      </c>
      <c r="E227" s="1">
        <v>163.679993</v>
      </c>
      <c r="F227" s="2">
        <v>2409300</v>
      </c>
    </row>
    <row r="228" spans="1:6" x14ac:dyDescent="0.35">
      <c r="A228" s="3">
        <v>44106</v>
      </c>
      <c r="B228" s="2">
        <v>227</v>
      </c>
      <c r="C228" s="1">
        <v>112.82534800000001</v>
      </c>
      <c r="D228" s="2">
        <v>144712000</v>
      </c>
      <c r="E228" s="1">
        <v>165.61000100000001</v>
      </c>
      <c r="F228" s="2">
        <v>2339900</v>
      </c>
    </row>
    <row r="229" spans="1:6" x14ac:dyDescent="0.35">
      <c r="A229" s="3">
        <v>44109</v>
      </c>
      <c r="B229" s="2">
        <v>228</v>
      </c>
      <c r="C229" s="1">
        <v>116.29935500000001</v>
      </c>
      <c r="D229" s="2">
        <v>106243800</v>
      </c>
      <c r="E229" s="1">
        <v>168.720001</v>
      </c>
      <c r="F229" s="2">
        <v>1750000</v>
      </c>
    </row>
    <row r="230" spans="1:6" x14ac:dyDescent="0.35">
      <c r="A230" s="3">
        <v>44110</v>
      </c>
      <c r="B230" s="2">
        <v>229</v>
      </c>
      <c r="C230" s="1">
        <v>112.96511099999999</v>
      </c>
      <c r="D230" s="2">
        <v>161498200</v>
      </c>
      <c r="E230" s="1">
        <v>166.88999899999999</v>
      </c>
      <c r="F230" s="2">
        <v>2345800</v>
      </c>
    </row>
    <row r="231" spans="1:6" x14ac:dyDescent="0.35">
      <c r="A231" s="3">
        <v>44111</v>
      </c>
      <c r="B231" s="2">
        <v>230</v>
      </c>
      <c r="C231" s="1">
        <v>114.881805</v>
      </c>
      <c r="D231" s="2">
        <v>96849000</v>
      </c>
      <c r="E231" s="1">
        <v>171.550003</v>
      </c>
      <c r="F231" s="2">
        <v>2030200</v>
      </c>
    </row>
    <row r="232" spans="1:6" x14ac:dyDescent="0.35">
      <c r="A232" s="3">
        <v>44112</v>
      </c>
      <c r="B232" s="2">
        <v>231</v>
      </c>
      <c r="C232" s="1">
        <v>114.77198799999999</v>
      </c>
      <c r="D232" s="2">
        <v>83477200</v>
      </c>
      <c r="E232" s="1">
        <v>173.779999</v>
      </c>
      <c r="F232" s="2">
        <v>1977900</v>
      </c>
    </row>
    <row r="233" spans="1:6" x14ac:dyDescent="0.35">
      <c r="A233" s="3">
        <v>44113</v>
      </c>
      <c r="B233" s="2">
        <v>232</v>
      </c>
      <c r="C233" s="1">
        <v>116.768547</v>
      </c>
      <c r="D233" s="2">
        <v>100506900</v>
      </c>
      <c r="E233" s="1">
        <v>174.38000500000001</v>
      </c>
      <c r="F233" s="2">
        <v>2636900</v>
      </c>
    </row>
    <row r="234" spans="1:6" x14ac:dyDescent="0.35">
      <c r="A234" s="3">
        <v>44116</v>
      </c>
      <c r="B234" s="2">
        <v>233</v>
      </c>
      <c r="C234" s="1">
        <v>124.18575300000001</v>
      </c>
      <c r="D234" s="2">
        <v>240226800</v>
      </c>
      <c r="E234" s="1">
        <v>175.36000100000001</v>
      </c>
      <c r="F234" s="2">
        <v>3396300</v>
      </c>
    </row>
    <row r="235" spans="1:6" x14ac:dyDescent="0.35">
      <c r="A235" s="3">
        <v>44117</v>
      </c>
      <c r="B235" s="2">
        <v>234</v>
      </c>
      <c r="C235" s="1">
        <v>120.891434</v>
      </c>
      <c r="D235" s="2">
        <v>262330500</v>
      </c>
      <c r="E235" s="1">
        <v>171.550003</v>
      </c>
      <c r="F235" s="2">
        <v>2315300</v>
      </c>
    </row>
    <row r="236" spans="1:6" x14ac:dyDescent="0.35">
      <c r="A236" s="3">
        <v>44118</v>
      </c>
      <c r="B236" s="2">
        <v>235</v>
      </c>
      <c r="C236" s="1">
        <v>120.98127700000001</v>
      </c>
      <c r="D236" s="2">
        <v>151062300</v>
      </c>
      <c r="E236" s="1">
        <v>173.470001</v>
      </c>
      <c r="F236" s="2">
        <v>2386400</v>
      </c>
    </row>
    <row r="237" spans="1:6" x14ac:dyDescent="0.35">
      <c r="A237" s="3">
        <v>44119</v>
      </c>
      <c r="B237" s="2">
        <v>236</v>
      </c>
      <c r="C237" s="1">
        <v>120.502106</v>
      </c>
      <c r="D237" s="2">
        <v>112559200</v>
      </c>
      <c r="E237" s="1">
        <v>172.61000100000001</v>
      </c>
      <c r="F237" s="2">
        <v>2436600</v>
      </c>
    </row>
    <row r="238" spans="1:6" x14ac:dyDescent="0.35">
      <c r="A238" s="3">
        <v>44120</v>
      </c>
      <c r="B238" s="2">
        <v>237</v>
      </c>
      <c r="C238" s="1">
        <v>118.81501</v>
      </c>
      <c r="D238" s="2">
        <v>115393800</v>
      </c>
      <c r="E238" s="1">
        <v>174.86000100000001</v>
      </c>
      <c r="F238" s="2">
        <v>3628800</v>
      </c>
    </row>
    <row r="239" spans="1:6" x14ac:dyDescent="0.35">
      <c r="A239" s="3">
        <v>44123</v>
      </c>
      <c r="B239" s="2">
        <v>238</v>
      </c>
      <c r="C239" s="1">
        <v>115.78025100000001</v>
      </c>
      <c r="D239" s="2">
        <v>120639300</v>
      </c>
      <c r="E239" s="1">
        <v>171.58999600000001</v>
      </c>
      <c r="F239" s="2">
        <v>2103500</v>
      </c>
    </row>
    <row r="240" spans="1:6" x14ac:dyDescent="0.35">
      <c r="A240" s="3">
        <v>44124</v>
      </c>
      <c r="B240" s="2">
        <v>239</v>
      </c>
      <c r="C240" s="1">
        <v>117.30761699999999</v>
      </c>
      <c r="D240" s="2">
        <v>124423700</v>
      </c>
      <c r="E240" s="1">
        <v>173.259995</v>
      </c>
      <c r="F240" s="2">
        <v>1580300</v>
      </c>
    </row>
    <row r="241" spans="1:6" x14ac:dyDescent="0.35">
      <c r="A241" s="3">
        <v>44125</v>
      </c>
      <c r="B241" s="2">
        <v>240</v>
      </c>
      <c r="C241" s="1">
        <v>116.668724</v>
      </c>
      <c r="D241" s="2">
        <v>89946000</v>
      </c>
      <c r="E241" s="1">
        <v>172.86999499999999</v>
      </c>
      <c r="F241" s="2">
        <v>1827000</v>
      </c>
    </row>
    <row r="242" spans="1:6" x14ac:dyDescent="0.35">
      <c r="A242" s="3">
        <v>44126</v>
      </c>
      <c r="B242" s="2">
        <v>241</v>
      </c>
      <c r="C242" s="1">
        <v>115.55064400000001</v>
      </c>
      <c r="D242" s="2">
        <v>101988000</v>
      </c>
      <c r="E242" s="1">
        <v>176.85000600000001</v>
      </c>
      <c r="F242" s="2">
        <v>1882100</v>
      </c>
    </row>
    <row r="243" spans="1:6" x14ac:dyDescent="0.35">
      <c r="A243" s="3">
        <v>44127</v>
      </c>
      <c r="B243" s="2">
        <v>242</v>
      </c>
      <c r="C243" s="1">
        <v>114.84187300000001</v>
      </c>
      <c r="D243" s="2">
        <v>82572600</v>
      </c>
      <c r="E243" s="1">
        <v>175.53999300000001</v>
      </c>
      <c r="F243" s="2">
        <v>1987900</v>
      </c>
    </row>
    <row r="244" spans="1:6" x14ac:dyDescent="0.35">
      <c r="A244" s="3">
        <v>44130</v>
      </c>
      <c r="B244" s="2">
        <v>243</v>
      </c>
      <c r="C244" s="1">
        <v>114.85185199999999</v>
      </c>
      <c r="D244" s="2">
        <v>111850700</v>
      </c>
      <c r="E244" s="1">
        <v>170.16999799999999</v>
      </c>
      <c r="F244" s="2">
        <v>2323700</v>
      </c>
    </row>
    <row r="245" spans="1:6" x14ac:dyDescent="0.35">
      <c r="A245" s="3">
        <v>44131</v>
      </c>
      <c r="B245" s="2">
        <v>244</v>
      </c>
      <c r="C245" s="1">
        <v>116.39917800000001</v>
      </c>
      <c r="D245" s="2">
        <v>92276800</v>
      </c>
      <c r="E245" s="1">
        <v>166.75</v>
      </c>
      <c r="F245" s="2">
        <v>2009300</v>
      </c>
    </row>
    <row r="246" spans="1:6" x14ac:dyDescent="0.35">
      <c r="A246" s="3">
        <v>44132</v>
      </c>
      <c r="B246" s="2">
        <v>245</v>
      </c>
      <c r="C246" s="1">
        <v>111.008476</v>
      </c>
      <c r="D246" s="2">
        <v>143937800</v>
      </c>
      <c r="E246" s="1">
        <v>161.16000399999999</v>
      </c>
      <c r="F246" s="2">
        <v>3233500</v>
      </c>
    </row>
    <row r="247" spans="1:6" x14ac:dyDescent="0.35">
      <c r="A247" s="3">
        <v>44133</v>
      </c>
      <c r="B247" s="2">
        <v>246</v>
      </c>
      <c r="C247" s="1">
        <v>115.12138400000001</v>
      </c>
      <c r="D247" s="2">
        <v>146129200</v>
      </c>
      <c r="E247" s="1">
        <v>164.60000600000001</v>
      </c>
      <c r="F247" s="2">
        <v>3113600</v>
      </c>
    </row>
    <row r="248" spans="1:6" x14ac:dyDescent="0.35">
      <c r="A248" s="3">
        <v>44134</v>
      </c>
      <c r="B248" s="2">
        <v>247</v>
      </c>
      <c r="C248" s="1">
        <v>108.672516</v>
      </c>
      <c r="D248" s="2">
        <v>190272600</v>
      </c>
      <c r="E248" s="1">
        <v>164.949997</v>
      </c>
      <c r="F248" s="2">
        <v>4389500</v>
      </c>
    </row>
    <row r="249" spans="1:6" x14ac:dyDescent="0.35">
      <c r="A249" s="3">
        <v>44137</v>
      </c>
      <c r="B249" s="2">
        <v>248</v>
      </c>
      <c r="C249" s="1">
        <v>108.58266399999999</v>
      </c>
      <c r="D249" s="2">
        <v>122866900</v>
      </c>
      <c r="E249" s="1">
        <v>173.61000100000001</v>
      </c>
      <c r="F249" s="2">
        <v>4198300</v>
      </c>
    </row>
    <row r="250" spans="1:6" x14ac:dyDescent="0.35">
      <c r="A250" s="3">
        <v>44138</v>
      </c>
      <c r="B250" s="2">
        <v>249</v>
      </c>
      <c r="C250" s="1">
        <v>110.24979399999999</v>
      </c>
      <c r="D250" s="2">
        <v>107624400</v>
      </c>
      <c r="E250" s="1">
        <v>179.21000699999999</v>
      </c>
      <c r="F250" s="2">
        <v>3719800</v>
      </c>
    </row>
    <row r="251" spans="1:6" x14ac:dyDescent="0.35">
      <c r="A251" s="3">
        <v>44139</v>
      </c>
      <c r="B251" s="2">
        <v>250</v>
      </c>
      <c r="C251" s="1">
        <v>114.752022</v>
      </c>
      <c r="D251" s="2">
        <v>138235500</v>
      </c>
      <c r="E251" s="1">
        <v>178.91000399999999</v>
      </c>
      <c r="F251" s="2">
        <v>4318600</v>
      </c>
    </row>
    <row r="252" spans="1:6" x14ac:dyDescent="0.35">
      <c r="A252" s="3">
        <v>44140</v>
      </c>
      <c r="B252" s="2">
        <v>251</v>
      </c>
      <c r="C252" s="1">
        <v>118.824997</v>
      </c>
      <c r="D252" s="2">
        <v>126387100</v>
      </c>
      <c r="E252" s="1">
        <v>183.279999</v>
      </c>
      <c r="F252" s="2">
        <v>4585100</v>
      </c>
    </row>
    <row r="253" spans="1:6" ht="16" thickBot="1" x14ac:dyDescent="0.4">
      <c r="A253" s="3">
        <v>44141</v>
      </c>
      <c r="B253" s="2">
        <v>252</v>
      </c>
      <c r="C253" s="1">
        <v>118.69000200000001</v>
      </c>
      <c r="D253" s="2">
        <v>114283600</v>
      </c>
      <c r="E253" s="1">
        <v>184.270004</v>
      </c>
      <c r="F253" s="2">
        <v>3080300</v>
      </c>
    </row>
    <row r="254" spans="1:6" ht="16" thickBot="1" x14ac:dyDescent="0.4">
      <c r="A254" s="3">
        <v>44144</v>
      </c>
      <c r="B254" s="2">
        <v>253</v>
      </c>
      <c r="C254" s="4"/>
      <c r="E254" s="4"/>
    </row>
    <row r="255" spans="1:6" x14ac:dyDescent="0.35">
      <c r="A255" s="3">
        <v>44145</v>
      </c>
      <c r="B255" s="2">
        <v>254</v>
      </c>
    </row>
    <row r="256" spans="1:6" x14ac:dyDescent="0.35">
      <c r="A256" s="3">
        <v>44146</v>
      </c>
      <c r="B256" s="2">
        <v>255</v>
      </c>
    </row>
    <row r="257" spans="1:2" x14ac:dyDescent="0.35">
      <c r="A257" s="3">
        <v>44147</v>
      </c>
      <c r="B257" s="2">
        <v>256</v>
      </c>
    </row>
    <row r="258" spans="1:2" x14ac:dyDescent="0.35">
      <c r="A258" s="3">
        <v>44148</v>
      </c>
      <c r="B258" s="2">
        <v>257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BJ259"/>
  <sheetViews>
    <sheetView topLeftCell="AS242" workbookViewId="0">
      <selection activeCell="R4" sqref="R4"/>
    </sheetView>
  </sheetViews>
  <sheetFormatPr defaultColWidth="10.6640625" defaultRowHeight="15.5" x14ac:dyDescent="0.35"/>
  <cols>
    <col min="13" max="14" width="10.6640625" style="2"/>
    <col min="15" max="15" width="24.33203125" style="2" customWidth="1"/>
    <col min="16" max="16" width="29" style="2" customWidth="1"/>
    <col min="28" max="28" width="12.25" bestFit="1" customWidth="1"/>
    <col min="29" max="29" width="12" customWidth="1"/>
    <col min="38" max="38" width="11.6640625" customWidth="1"/>
    <col min="39" max="40" width="11.58203125" customWidth="1"/>
    <col min="41" max="41" width="11.6640625" customWidth="1"/>
    <col min="42" max="42" width="14.08203125" customWidth="1"/>
    <col min="43" max="43" width="13.83203125" customWidth="1"/>
    <col min="44" max="45" width="14.08203125" customWidth="1"/>
    <col min="46" max="46" width="14.5" customWidth="1"/>
    <col min="47" max="47" width="13.83203125" customWidth="1"/>
    <col min="48" max="48" width="14" customWidth="1"/>
    <col min="49" max="49" width="13.83203125" customWidth="1"/>
    <col min="50" max="50" width="12" customWidth="1"/>
    <col min="51" max="51" width="12.6640625" customWidth="1"/>
    <col min="52" max="53" width="12.5" customWidth="1"/>
    <col min="54" max="54" width="12.9140625" customWidth="1"/>
    <col min="55" max="55" width="14" customWidth="1"/>
    <col min="56" max="56" width="14.08203125" customWidth="1"/>
    <col min="57" max="57" width="14.6640625" customWidth="1"/>
    <col min="58" max="59" width="14.1640625" customWidth="1"/>
    <col min="60" max="60" width="14.5" customWidth="1"/>
    <col min="61" max="61" width="13.9140625" customWidth="1"/>
    <col min="62" max="62" width="14.25" customWidth="1"/>
  </cols>
  <sheetData>
    <row r="1" spans="1:62" x14ac:dyDescent="0.35">
      <c r="A1" s="10" t="s">
        <v>32</v>
      </c>
      <c r="M1" s="11" t="s">
        <v>31</v>
      </c>
      <c r="R1" s="10" t="s">
        <v>11</v>
      </c>
      <c r="W1" s="10" t="s">
        <v>12</v>
      </c>
      <c r="AB1" s="10" t="s">
        <v>13</v>
      </c>
      <c r="AG1" s="10" t="s">
        <v>30</v>
      </c>
      <c r="AK1" s="10" t="s">
        <v>33</v>
      </c>
      <c r="AL1" s="10" t="s">
        <v>20</v>
      </c>
      <c r="AM1" s="10"/>
      <c r="AN1" s="10"/>
      <c r="AT1" s="10" t="s">
        <v>104</v>
      </c>
      <c r="AY1" s="10" t="s">
        <v>25</v>
      </c>
      <c r="AZ1" s="10"/>
      <c r="BA1" s="10"/>
      <c r="BG1" s="10" t="s">
        <v>105</v>
      </c>
    </row>
    <row r="2" spans="1:62" x14ac:dyDescent="0.35">
      <c r="M2" s="2" t="s">
        <v>5</v>
      </c>
      <c r="N2" s="2" t="s">
        <v>0</v>
      </c>
      <c r="O2" s="2" t="s">
        <v>1</v>
      </c>
      <c r="P2" s="2" t="s">
        <v>4</v>
      </c>
      <c r="R2" s="2" t="s">
        <v>6</v>
      </c>
      <c r="S2" s="2" t="s">
        <v>7</v>
      </c>
      <c r="T2" t="s">
        <v>8</v>
      </c>
      <c r="U2" t="s">
        <v>9</v>
      </c>
      <c r="W2" s="2" t="s">
        <v>6</v>
      </c>
      <c r="X2" s="2" t="s">
        <v>7</v>
      </c>
      <c r="Y2" t="s">
        <v>8</v>
      </c>
      <c r="Z2" t="s">
        <v>9</v>
      </c>
      <c r="AB2" s="2" t="s">
        <v>14</v>
      </c>
      <c r="AC2" s="2" t="s">
        <v>15</v>
      </c>
      <c r="AD2" t="s">
        <v>16</v>
      </c>
      <c r="AE2" t="s">
        <v>17</v>
      </c>
      <c r="AG2" s="2" t="s">
        <v>14</v>
      </c>
      <c r="AH2" s="2" t="s">
        <v>15</v>
      </c>
      <c r="AI2" t="s">
        <v>16</v>
      </c>
      <c r="AJ2" t="s">
        <v>17</v>
      </c>
      <c r="AL2" t="s">
        <v>21</v>
      </c>
      <c r="AM2" t="s">
        <v>22</v>
      </c>
      <c r="AN2" t="s">
        <v>23</v>
      </c>
      <c r="AO2" t="s">
        <v>24</v>
      </c>
      <c r="AP2" t="s">
        <v>26</v>
      </c>
      <c r="AQ2" t="s">
        <v>27</v>
      </c>
      <c r="AR2" t="s">
        <v>28</v>
      </c>
      <c r="AS2" t="s">
        <v>29</v>
      </c>
      <c r="AT2" t="s">
        <v>26</v>
      </c>
      <c r="AU2" t="s">
        <v>27</v>
      </c>
      <c r="AV2" t="s">
        <v>28</v>
      </c>
      <c r="AW2" t="s">
        <v>29</v>
      </c>
      <c r="AY2" t="s">
        <v>21</v>
      </c>
      <c r="AZ2" t="s">
        <v>22</v>
      </c>
      <c r="BA2" t="s">
        <v>23</v>
      </c>
      <c r="BB2" t="s">
        <v>24</v>
      </c>
      <c r="BC2" t="s">
        <v>26</v>
      </c>
      <c r="BD2" t="s">
        <v>27</v>
      </c>
      <c r="BE2" t="s">
        <v>28</v>
      </c>
      <c r="BF2" t="s">
        <v>29</v>
      </c>
      <c r="BG2" t="s">
        <v>26</v>
      </c>
      <c r="BH2" t="s">
        <v>27</v>
      </c>
      <c r="BI2" t="s">
        <v>28</v>
      </c>
      <c r="BJ2" t="s">
        <v>29</v>
      </c>
    </row>
    <row r="3" spans="1:62" x14ac:dyDescent="0.35">
      <c r="M3" s="2">
        <v>1</v>
      </c>
      <c r="N3" s="3">
        <v>43777</v>
      </c>
      <c r="O3" s="1">
        <v>63.954543999999999</v>
      </c>
      <c r="P3" s="1">
        <v>177.02937299999999</v>
      </c>
      <c r="R3" s="5">
        <v>63.95</v>
      </c>
      <c r="S3" s="5">
        <v>63.95</v>
      </c>
      <c r="T3" s="5">
        <v>63.95</v>
      </c>
      <c r="U3" s="5">
        <v>63.95</v>
      </c>
      <c r="V3" s="5"/>
      <c r="W3" s="5">
        <v>177.03</v>
      </c>
      <c r="X3" s="5">
        <v>177.03</v>
      </c>
      <c r="Y3" s="5">
        <v>177.03</v>
      </c>
      <c r="Z3" s="5">
        <v>177.03</v>
      </c>
      <c r="AB3" s="5">
        <f>ABS((O3-R3)/O3)*100</f>
        <v>7.1050463591698235E-3</v>
      </c>
      <c r="AC3" s="5">
        <f>ABS((O3-S3)/O3)*100</f>
        <v>7.1050463591698235E-3</v>
      </c>
      <c r="AD3" s="5">
        <f>ABS((O3-T3)/O3)*100</f>
        <v>7.1050463591698235E-3</v>
      </c>
      <c r="AE3" s="5">
        <f>ABS((O3-U3)/O3)*100</f>
        <v>7.1050463591698235E-3</v>
      </c>
      <c r="AG3" s="5">
        <f>ABS((P3-W3)/P3)*100</f>
        <v>3.5417851251644717E-4</v>
      </c>
      <c r="AH3" s="5">
        <f>ABS((P3-X3)/P3)*100</f>
        <v>3.5417851251644717E-4</v>
      </c>
      <c r="AI3" s="5">
        <f>ABS((P3-Y3)/P3)*100</f>
        <v>3.5417851251644717E-4</v>
      </c>
      <c r="AJ3" s="5">
        <f>ABS((P3-Z3)/P3)*100</f>
        <v>3.5417851251644717E-4</v>
      </c>
      <c r="AL3" s="5">
        <v>0</v>
      </c>
      <c r="AM3" s="5">
        <v>0</v>
      </c>
      <c r="AN3" s="5">
        <v>0</v>
      </c>
      <c r="AO3" s="5">
        <v>0</v>
      </c>
      <c r="AP3" s="5">
        <f>T3+AL3</f>
        <v>63.95</v>
      </c>
      <c r="AQ3" s="5">
        <f>T3+AM3</f>
        <v>63.95</v>
      </c>
      <c r="AR3" s="5">
        <f>T3+AN3</f>
        <v>63.95</v>
      </c>
      <c r="AS3" s="5">
        <f>T3+AO3</f>
        <v>63.95</v>
      </c>
      <c r="AY3">
        <v>0</v>
      </c>
      <c r="AZ3">
        <v>0</v>
      </c>
      <c r="BA3">
        <v>0</v>
      </c>
      <c r="BB3">
        <v>0</v>
      </c>
      <c r="BC3" s="5">
        <f>Y3+AY3</f>
        <v>177.03</v>
      </c>
      <c r="BD3" s="5">
        <f>Y3+AZ3</f>
        <v>177.03</v>
      </c>
      <c r="BE3" s="5">
        <f>Y3+BA3</f>
        <v>177.03</v>
      </c>
      <c r="BF3" s="5">
        <f>Y3+BB3</f>
        <v>177.03</v>
      </c>
    </row>
    <row r="4" spans="1:62" x14ac:dyDescent="0.35">
      <c r="M4" s="2">
        <v>2</v>
      </c>
      <c r="N4" s="3">
        <v>43780</v>
      </c>
      <c r="O4" s="1">
        <v>64.460991000000007</v>
      </c>
      <c r="P4" s="1">
        <v>176.658142</v>
      </c>
      <c r="R4" s="5">
        <f>0.15*O3+(1-0.15)*R3</f>
        <v>63.950681600000003</v>
      </c>
      <c r="S4" s="5">
        <f>0.35*O3+(1-0.35)*S3</f>
        <v>63.951590400000001</v>
      </c>
      <c r="T4" s="5">
        <f>0.55*O3+(1-0.55)*T3</f>
        <v>63.952499200000005</v>
      </c>
      <c r="U4" s="5">
        <f>0.75*O3+(1-0.75)*U3</f>
        <v>63.953407999999996</v>
      </c>
      <c r="V4" s="5"/>
      <c r="W4" s="5">
        <f>0.15*P3+(1-0.15)*W3</f>
        <v>177.02990595</v>
      </c>
      <c r="X4" s="5">
        <f>0.35*P3+(1-0.35)*X3</f>
        <v>177.02978055</v>
      </c>
      <c r="Y4" s="5">
        <f>0.55*P3+(1-0.55)*Y3</f>
        <v>177.02965515</v>
      </c>
      <c r="Z4" s="5">
        <f>0.75*P3+(1-0.75)*Z3</f>
        <v>177.02952974999999</v>
      </c>
      <c r="AB4" s="5">
        <f t="shared" ref="AB4:AB67" si="0">ABS((O4-R4)/O4)*100</f>
        <v>0.79165615061674122</v>
      </c>
      <c r="AC4" s="5">
        <f t="shared" ref="AC4:AC67" si="1">ABS((O4-S4)/O4)*100</f>
        <v>0.79024630570759657</v>
      </c>
      <c r="AD4" s="5">
        <f t="shared" ref="AD4:AD67" si="2">ABS((O4-T4)/O4)*100</f>
        <v>0.78883646079844094</v>
      </c>
      <c r="AE4" s="5">
        <f t="shared" ref="AE4:AE67" si="3">ABS((O4-U4)/O4)*100</f>
        <v>0.7874266158893074</v>
      </c>
      <c r="AG4" s="5">
        <f>ABS((P4-W4)/P4)*100</f>
        <v>0.21044257897833082</v>
      </c>
      <c r="AH4" s="5">
        <f>ABS((P4-X4)/P4)*100</f>
        <v>0.21037159442104861</v>
      </c>
      <c r="AI4" s="5">
        <f>ABS((P4-Y4)/P4)*100</f>
        <v>0.21030060986376636</v>
      </c>
      <c r="AJ4" s="5">
        <f>ABS((P4-Z4)/P4)*100</f>
        <v>0.21022962530648412</v>
      </c>
      <c r="AL4" s="5">
        <f>0.15*(T4-T3)+(1-0.15)*AL3</f>
        <v>3.7488000000038821E-4</v>
      </c>
      <c r="AM4" s="5">
        <f>0.25*(T4-T3)+(1-0.25)*AM3</f>
        <v>6.2480000000064706E-4</v>
      </c>
      <c r="AN4" s="5">
        <f>0.45*(T4-T3)+(1-0.45)*AN3</f>
        <v>1.1246400000011648E-3</v>
      </c>
      <c r="AO4" s="5">
        <f>0.85*(T4-T3)+(1-0.85)*AO3</f>
        <v>2.1243200000021999E-3</v>
      </c>
      <c r="AP4" s="5">
        <f>T4+AL4</f>
        <v>63.952874080000008</v>
      </c>
      <c r="AQ4" s="5">
        <f t="shared" ref="AQ4:AQ67" si="4">T4+AM4</f>
        <v>63.953124000000003</v>
      </c>
      <c r="AR4" s="5">
        <f t="shared" ref="AR4:AR67" si="5">T4+AN4</f>
        <v>63.953623840000006</v>
      </c>
      <c r="AS4" s="5">
        <f t="shared" ref="AS4:AS67" si="6">T4+AO4</f>
        <v>63.954623520000005</v>
      </c>
      <c r="AT4" s="5">
        <f>ABS(O4-AP4)</f>
        <v>0.50811691999999908</v>
      </c>
      <c r="AU4" s="5">
        <f>ABS(P4-AQ4)</f>
        <v>112.705018</v>
      </c>
      <c r="AV4" s="5">
        <f t="shared" ref="AU4:AW19" si="7">ABS(Q4-AR4)</f>
        <v>63.953623840000006</v>
      </c>
      <c r="AW4" s="5">
        <f t="shared" si="7"/>
        <v>3.9419200000025967E-3</v>
      </c>
      <c r="AY4" s="5">
        <f>0.15*(Y4-Y3)+(1-0.15)*AY3</f>
        <v>-5.1727500000708915E-5</v>
      </c>
      <c r="AZ4" s="5">
        <f>0.25*(Y4-Y3)+(1-0.25)*AZ3</f>
        <v>-8.6212500001181525E-5</v>
      </c>
      <c r="BA4" s="5">
        <f>0.45*(Y4-Y3)+(1-0.45)*BA3</f>
        <v>-1.5518250000212674E-4</v>
      </c>
      <c r="BB4" s="5">
        <f>0.85*(Y4-Y3)+(1-0.85)*BB3</f>
        <v>-2.9312250000401718E-4</v>
      </c>
      <c r="BC4" s="5">
        <f>Y4+AY4</f>
        <v>177.0296034225</v>
      </c>
      <c r="BD4" s="5">
        <f>Y4+AZ4</f>
        <v>177.02956893749999</v>
      </c>
      <c r="BE4" s="5">
        <f>Y4+BA4</f>
        <v>177.02949996749999</v>
      </c>
      <c r="BF4" s="5">
        <f>Y4+BB4</f>
        <v>177.02936202749999</v>
      </c>
      <c r="BG4" s="5">
        <f>ABS(P4-BC4)</f>
        <v>0.3714614225000048</v>
      </c>
      <c r="BH4" s="5">
        <f>ABS(P4-BD4)</f>
        <v>0.37142693749999012</v>
      </c>
      <c r="BI4" s="5">
        <f>ABS(P4-BE4)</f>
        <v>0.37135796749998917</v>
      </c>
      <c r="BJ4" s="5">
        <f>ABS(P4-BF4)</f>
        <v>0.37122002749998728</v>
      </c>
    </row>
    <row r="5" spans="1:62" x14ac:dyDescent="0.35">
      <c r="M5" s="2">
        <v>3</v>
      </c>
      <c r="N5" s="3">
        <v>43781</v>
      </c>
      <c r="O5" s="1">
        <v>64.401978</v>
      </c>
      <c r="P5" s="1">
        <v>177.810913</v>
      </c>
      <c r="R5" s="5">
        <f t="shared" ref="R5:R68" si="8">0.15*O4+(1-0.15)*R4</f>
        <v>64.027228010000002</v>
      </c>
      <c r="S5" s="5">
        <f t="shared" ref="S5:S68" si="9">0.35*O4+(1-0.35)*S4</f>
        <v>64.129880610000001</v>
      </c>
      <c r="T5" s="5">
        <f t="shared" ref="T5:T68" si="10">0.55*O4+(1-0.55)*T4</f>
        <v>64.232169690000006</v>
      </c>
      <c r="U5" s="5">
        <f t="shared" ref="U5:U68" si="11">0.75*O4+(1-0.75)*U4</f>
        <v>64.334095250000004</v>
      </c>
      <c r="V5" s="5"/>
      <c r="W5" s="5">
        <f>0.15*P4+(1-0.15)*W4</f>
        <v>176.9741413575</v>
      </c>
      <c r="X5" s="5">
        <f>0.35*P4+(1-0.35)*X4</f>
        <v>176.8997070575</v>
      </c>
      <c r="Y5" s="5">
        <f>0.55*P4+(1-0.55)*Y4</f>
        <v>176.82532291749999</v>
      </c>
      <c r="Z5" s="5">
        <f>0.75*P4+(1-0.75)*Z4</f>
        <v>176.75098893749998</v>
      </c>
      <c r="AB5" s="5">
        <f t="shared" si="0"/>
        <v>0.58189204996156796</v>
      </c>
      <c r="AC5" s="5">
        <f t="shared" si="1"/>
        <v>0.42249849841568377</v>
      </c>
      <c r="AD5" s="5">
        <f t="shared" si="2"/>
        <v>0.26366940158265545</v>
      </c>
      <c r="AE5" s="5">
        <f t="shared" si="3"/>
        <v>0.10540475946250508</v>
      </c>
      <c r="AG5" s="5">
        <f>ABS((P5-W5)/P5)*100</f>
        <v>0.47059633651394445</v>
      </c>
      <c r="AH5" s="5">
        <f>ABS((P5-X5)/P5)*100</f>
        <v>0.51245782788371608</v>
      </c>
      <c r="AI5" s="5">
        <f>ABS((P5-Y5)/P5)*100</f>
        <v>0.55429110951137772</v>
      </c>
      <c r="AJ5" s="5">
        <f>ABS((P5-Z5)/P5)*100</f>
        <v>0.59609618139692944</v>
      </c>
      <c r="AL5" s="5">
        <f>0.15*(T5-T4)+(1-0.15)*AL4</f>
        <v>4.226922150000046E-2</v>
      </c>
      <c r="AM5" s="5">
        <f>0.25*(T5-T4)+(1-0.25)*AM4</f>
        <v>7.0386222500000706E-2</v>
      </c>
      <c r="AN5" s="5">
        <f>0.45*(T5-T4)+(1-0.45)*AN4</f>
        <v>0.12647027250000104</v>
      </c>
      <c r="AO5" s="5">
        <f>0.85*(T5-T4)+(1-0.85)*AO4</f>
        <v>0.23803856450000108</v>
      </c>
      <c r="AP5" s="5">
        <f>T5+AL5</f>
        <v>64.274438911500013</v>
      </c>
      <c r="AQ5" s="5">
        <f t="shared" si="4"/>
        <v>64.302555912500011</v>
      </c>
      <c r="AR5" s="5">
        <f t="shared" si="5"/>
        <v>64.358639962500007</v>
      </c>
      <c r="AS5" s="5">
        <f t="shared" si="6"/>
        <v>64.470208254500008</v>
      </c>
      <c r="AT5" s="5">
        <f t="shared" ref="AT5:AT68" si="12">ABS(O5-AP5)</f>
        <v>0.12753908849998652</v>
      </c>
      <c r="AU5" s="5">
        <f t="shared" ref="AU5:AU68" si="13">ABS(P5-AQ5)</f>
        <v>113.50835708749999</v>
      </c>
      <c r="AV5" s="5">
        <f t="shared" si="7"/>
        <v>64.358639962500007</v>
      </c>
      <c r="AW5" s="5">
        <f t="shared" si="7"/>
        <v>0.44298024450000639</v>
      </c>
      <c r="AY5" s="5">
        <f>0.15*(Y5-Y4)+(1-0.15)*AY4</f>
        <v>-3.0693803250001747E-2</v>
      </c>
      <c r="AZ5" s="5">
        <f>0.25*(Y5-Y4)+(1-0.25)*AZ4</f>
        <v>-5.1147717500002798E-2</v>
      </c>
      <c r="BA5" s="5">
        <f>0.45*(Y5-Y4)+(1-0.45)*BA4</f>
        <v>-9.2034855000004606E-2</v>
      </c>
      <c r="BB5" s="5">
        <f>0.85*(Y5-Y4)+(1-0.85)*BB4</f>
        <v>-0.1737263660000071</v>
      </c>
      <c r="BC5" s="5">
        <f>Y5+AY5</f>
        <v>176.79462911425</v>
      </c>
      <c r="BD5" s="5">
        <f>Y5+AZ5</f>
        <v>176.77417519999997</v>
      </c>
      <c r="BE5" s="5">
        <f>Y5+BA5</f>
        <v>176.73328806249998</v>
      </c>
      <c r="BF5" s="5">
        <f>Y5+BB5</f>
        <v>176.65159655149998</v>
      </c>
      <c r="BG5" s="5">
        <f t="shared" ref="BG5:BG68" si="14">ABS(P5-BC5)</f>
        <v>1.0162838857499992</v>
      </c>
      <c r="BH5" s="5">
        <f t="shared" ref="BH5:BH68" si="15">ABS(P5-BD5)</f>
        <v>1.0367378000000258</v>
      </c>
      <c r="BI5" s="5">
        <f t="shared" ref="BI5:BI68" si="16">ABS(P5-BE5)</f>
        <v>1.0776249375000191</v>
      </c>
      <c r="BJ5" s="5">
        <f t="shared" ref="BJ5:BJ68" si="17">ABS(P5-BF5)</f>
        <v>1.1593164485000216</v>
      </c>
    </row>
    <row r="6" spans="1:62" x14ac:dyDescent="0.35">
      <c r="M6" s="2">
        <v>4</v>
      </c>
      <c r="N6" s="3">
        <v>43782</v>
      </c>
      <c r="O6" s="1">
        <v>65.019051000000005</v>
      </c>
      <c r="P6" s="1">
        <v>177.752319</v>
      </c>
      <c r="R6" s="5">
        <f t="shared" si="8"/>
        <v>64.083440508500004</v>
      </c>
      <c r="S6" s="5">
        <f t="shared" si="9"/>
        <v>64.2251146965</v>
      </c>
      <c r="T6" s="5">
        <f t="shared" si="10"/>
        <v>64.325564260500002</v>
      </c>
      <c r="U6" s="5">
        <f t="shared" si="11"/>
        <v>64.385007312500008</v>
      </c>
      <c r="V6" s="5"/>
      <c r="W6" s="5">
        <f>0.15*P5+(1-0.15)*W5</f>
        <v>177.09965710387499</v>
      </c>
      <c r="X6" s="5">
        <f>0.35*P5+(1-0.35)*X5</f>
        <v>177.21862913737499</v>
      </c>
      <c r="Y6" s="5">
        <f>0.55*P5+(1-0.55)*Y5</f>
        <v>177.36739746287498</v>
      </c>
      <c r="Z6" s="5">
        <f>0.75*P5+(1-0.75)*Z5</f>
        <v>177.54593198437499</v>
      </c>
      <c r="AB6" s="5">
        <f t="shared" si="0"/>
        <v>1.4389790024772897</v>
      </c>
      <c r="AC6" s="5">
        <f t="shared" si="1"/>
        <v>1.2210825770127038</v>
      </c>
      <c r="AD6" s="5">
        <f t="shared" si="2"/>
        <v>1.0665900668098072</v>
      </c>
      <c r="AE6" s="5">
        <f t="shared" si="3"/>
        <v>0.9751660132658605</v>
      </c>
      <c r="AG6" s="5">
        <f>ABS((P6-W6)/P6)*100</f>
        <v>0.36717489808108261</v>
      </c>
      <c r="AH6" s="5">
        <f>ABS((P6-X6)/P6)*100</f>
        <v>0.30024354429098077</v>
      </c>
      <c r="AI6" s="5">
        <f>ABS((P6-Y6)/P6)*100</f>
        <v>0.21654937572151947</v>
      </c>
      <c r="AJ6" s="5">
        <f>ABS((P6-Z6)/P6)*100</f>
        <v>0.11610932379735189</v>
      </c>
      <c r="AL6" s="5">
        <f>0.15*(T6-T5)+(1-0.15)*AL5</f>
        <v>4.9938023849999735E-2</v>
      </c>
      <c r="AM6" s="5">
        <f>0.25*(T6-T5)+(1-0.25)*AM5</f>
        <v>7.6138309499999446E-2</v>
      </c>
      <c r="AN6" s="5">
        <f>0.45*(T6-T5)+(1-0.45)*AN5</f>
        <v>0.11158620659999863</v>
      </c>
      <c r="AO6" s="5">
        <f>0.85*(T6-T5)+(1-0.85)*AO5</f>
        <v>0.11509116959999649</v>
      </c>
      <c r="AP6" s="5">
        <f>T6+AL6</f>
        <v>64.375502284350006</v>
      </c>
      <c r="AQ6" s="5">
        <f t="shared" si="4"/>
        <v>64.401702569999998</v>
      </c>
      <c r="AR6" s="5">
        <f t="shared" si="5"/>
        <v>64.437150467099997</v>
      </c>
      <c r="AS6" s="5">
        <f t="shared" si="6"/>
        <v>64.440655430099994</v>
      </c>
      <c r="AT6" s="5">
        <f t="shared" si="12"/>
        <v>0.64354871564999883</v>
      </c>
      <c r="AU6" s="5">
        <f t="shared" si="13"/>
        <v>113.35061643</v>
      </c>
      <c r="AV6" s="5">
        <f t="shared" si="7"/>
        <v>64.437150467099997</v>
      </c>
      <c r="AW6" s="5">
        <f t="shared" si="7"/>
        <v>0.35721492159999002</v>
      </c>
      <c r="AY6" s="5">
        <f>0.15*(Y6-Y5)+(1-0.15)*AY5</f>
        <v>5.5221449043746609E-2</v>
      </c>
      <c r="AZ6" s="5">
        <f>0.25*(Y6-Y5)+(1-0.25)*AZ5</f>
        <v>9.7157848218744736E-2</v>
      </c>
      <c r="BA6" s="5">
        <f>0.45*(Y6-Y5)+(1-0.45)*BA5</f>
        <v>0.19331437516874178</v>
      </c>
      <c r="BB6" s="5">
        <f>0.85*(Y6-Y5)+(1-0.85)*BB5</f>
        <v>0.43470440866873816</v>
      </c>
      <c r="BC6" s="5">
        <f>Y6+AY6</f>
        <v>177.42261891191873</v>
      </c>
      <c r="BD6" s="5">
        <f>Y6+AZ6</f>
        <v>177.46455531109373</v>
      </c>
      <c r="BE6" s="5">
        <f>Y6+BA6</f>
        <v>177.56071183804372</v>
      </c>
      <c r="BF6" s="5">
        <f>Y6+BB6</f>
        <v>177.80210187154373</v>
      </c>
      <c r="BG6" s="5">
        <f t="shared" si="14"/>
        <v>0.32970008808126749</v>
      </c>
      <c r="BH6" s="5">
        <f t="shared" si="15"/>
        <v>0.28776368890626713</v>
      </c>
      <c r="BI6" s="5">
        <f t="shared" si="16"/>
        <v>0.19160716195628424</v>
      </c>
      <c r="BJ6" s="5">
        <f t="shared" si="17"/>
        <v>4.9782871543726515E-2</v>
      </c>
    </row>
    <row r="7" spans="1:62" x14ac:dyDescent="0.35">
      <c r="M7" s="2">
        <v>5</v>
      </c>
      <c r="N7" s="3">
        <v>43783</v>
      </c>
      <c r="O7" s="1">
        <v>64.569159999999997</v>
      </c>
      <c r="P7" s="1">
        <v>176.37780799999999</v>
      </c>
      <c r="R7" s="5">
        <f t="shared" si="8"/>
        <v>64.223782082225</v>
      </c>
      <c r="S7" s="5">
        <f t="shared" si="9"/>
        <v>64.502992402724999</v>
      </c>
      <c r="T7" s="5">
        <f t="shared" si="10"/>
        <v>64.706981967225005</v>
      </c>
      <c r="U7" s="5">
        <f t="shared" si="11"/>
        <v>64.860540078125013</v>
      </c>
      <c r="V7" s="5"/>
      <c r="W7" s="5">
        <f>0.15*P6+(1-0.15)*W6</f>
        <v>177.19755638829372</v>
      </c>
      <c r="X7" s="5">
        <f>0.35*P6+(1-0.35)*X6</f>
        <v>177.40542058929373</v>
      </c>
      <c r="Y7" s="5">
        <f>0.55*P6+(1-0.55)*Y6</f>
        <v>177.57910430829372</v>
      </c>
      <c r="Z7" s="5">
        <f>0.75*P6+(1-0.75)*Z6</f>
        <v>177.70072224609376</v>
      </c>
      <c r="AB7" s="5">
        <f t="shared" si="0"/>
        <v>0.53489609865607124</v>
      </c>
      <c r="AC7" s="5">
        <f t="shared" si="1"/>
        <v>0.10247554292946903</v>
      </c>
      <c r="AD7" s="5">
        <f t="shared" si="2"/>
        <v>0.2134485987195873</v>
      </c>
      <c r="AE7" s="5">
        <f t="shared" si="3"/>
        <v>0.45126818766887478</v>
      </c>
      <c r="AG7" s="5">
        <f>ABS((P7-W7)/P7)*100</f>
        <v>0.46476844087649172</v>
      </c>
      <c r="AH7" s="5">
        <f>ABS((P7-X7)/P7)*100</f>
        <v>0.58262011584458451</v>
      </c>
      <c r="AI7" s="5">
        <f>ABS((P7-Y7)/P7)*100</f>
        <v>0.68109266234544363</v>
      </c>
      <c r="AJ7" s="5">
        <f>ABS((P7-Z7)/P7)*100</f>
        <v>0.75004574617106812</v>
      </c>
      <c r="AL7" s="5">
        <f>0.15*(T7-T6)+(1-0.15)*AL6</f>
        <v>9.9659976281250201E-2</v>
      </c>
      <c r="AM7" s="5">
        <f>0.25*(T7-T6)+(1-0.25)*AM6</f>
        <v>0.1524581588062503</v>
      </c>
      <c r="AN7" s="5">
        <f>0.45*(T7-T6)+(1-0.45)*AN6</f>
        <v>0.23301038165625054</v>
      </c>
      <c r="AO7" s="5">
        <f>0.85*(T7-T6)+(1-0.85)*AO6</f>
        <v>0.3414687261562519</v>
      </c>
      <c r="AP7" s="5">
        <f>T7+AL7</f>
        <v>64.80664194350625</v>
      </c>
      <c r="AQ7" s="5">
        <f t="shared" si="4"/>
        <v>64.859440126031259</v>
      </c>
      <c r="AR7" s="5">
        <f t="shared" si="5"/>
        <v>64.939992348881262</v>
      </c>
      <c r="AS7" s="5">
        <f t="shared" si="6"/>
        <v>65.048450693381255</v>
      </c>
      <c r="AT7" s="5">
        <f t="shared" si="12"/>
        <v>0.2374819435062534</v>
      </c>
      <c r="AU7" s="5">
        <f t="shared" si="13"/>
        <v>111.51836787396873</v>
      </c>
      <c r="AV7" s="5">
        <f t="shared" si="7"/>
        <v>64.939992348881262</v>
      </c>
      <c r="AW7" s="5">
        <f t="shared" si="7"/>
        <v>0.82466861115625534</v>
      </c>
      <c r="AY7" s="5">
        <f>0.15*(Y7-Y6)+(1-0.15)*AY6</f>
        <v>7.8694258499996533E-2</v>
      </c>
      <c r="AZ7" s="5">
        <f>0.25*(Y7-Y6)+(1-0.25)*AZ6</f>
        <v>0.12579509751874507</v>
      </c>
      <c r="BA7" s="5">
        <f>0.45*(Y7-Y6)+(1-0.45)*BA6</f>
        <v>0.20159098678124371</v>
      </c>
      <c r="BB7" s="5">
        <f>0.85*(Y7-Y6)+(1-0.85)*BB6</f>
        <v>0.2451564799062449</v>
      </c>
      <c r="BC7" s="5">
        <f>Y7+AY7</f>
        <v>177.65779856679373</v>
      </c>
      <c r="BD7" s="5">
        <f>Y7+AZ7</f>
        <v>177.70489940581245</v>
      </c>
      <c r="BE7" s="5">
        <f>Y7+BA7</f>
        <v>177.78069529507496</v>
      </c>
      <c r="BF7" s="5">
        <f>Y7+BB7</f>
        <v>177.82426078819998</v>
      </c>
      <c r="BG7" s="5">
        <f t="shared" si="14"/>
        <v>1.2799905667937423</v>
      </c>
      <c r="BH7" s="5">
        <f t="shared" si="15"/>
        <v>1.3270914058124674</v>
      </c>
      <c r="BI7" s="5">
        <f t="shared" si="16"/>
        <v>1.4028872950749758</v>
      </c>
      <c r="BJ7" s="5">
        <f t="shared" si="17"/>
        <v>1.4464527881999913</v>
      </c>
    </row>
    <row r="8" spans="1:62" x14ac:dyDescent="0.35">
      <c r="M8" s="2">
        <v>6</v>
      </c>
      <c r="N8" s="3">
        <v>43784</v>
      </c>
      <c r="O8" s="1">
        <v>65.336212000000003</v>
      </c>
      <c r="P8" s="1">
        <v>178.43956</v>
      </c>
      <c r="R8" s="5">
        <f t="shared" si="8"/>
        <v>64.275588769891243</v>
      </c>
      <c r="S8" s="5">
        <f t="shared" si="9"/>
        <v>64.526151061771245</v>
      </c>
      <c r="T8" s="5">
        <f t="shared" si="10"/>
        <v>64.631179885251242</v>
      </c>
      <c r="U8" s="5">
        <f t="shared" si="11"/>
        <v>64.64200501953124</v>
      </c>
      <c r="V8" s="5"/>
      <c r="W8" s="5">
        <f>0.15*P7+(1-0.15)*W7</f>
        <v>177.07459413004963</v>
      </c>
      <c r="X8" s="5">
        <f>0.35*P7+(1-0.35)*X7</f>
        <v>177.04575618304091</v>
      </c>
      <c r="Y8" s="5">
        <f>0.55*P7+(1-0.55)*Y7</f>
        <v>176.91839133873216</v>
      </c>
      <c r="Z8" s="5">
        <f>0.75*P7+(1-0.75)*Z7</f>
        <v>176.70853656152343</v>
      </c>
      <c r="AB8" s="5">
        <f t="shared" si="0"/>
        <v>1.6233313772594591</v>
      </c>
      <c r="AC8" s="5">
        <f t="shared" si="1"/>
        <v>1.2398345625374771</v>
      </c>
      <c r="AD8" s="5">
        <f t="shared" si="2"/>
        <v>1.0790832421517806</v>
      </c>
      <c r="AE8" s="5">
        <f t="shared" si="3"/>
        <v>1.0625148890920755</v>
      </c>
      <c r="AG8" s="5">
        <f>ABS((P8-W8)/P8)*100</f>
        <v>0.76494577208684411</v>
      </c>
      <c r="AH8" s="5">
        <f>ABS((P8-X8)/P8)*100</f>
        <v>0.78110695686488607</v>
      </c>
      <c r="AI8" s="5">
        <f>ABS((P8-Y8)/P8)*100</f>
        <v>0.85248397903908546</v>
      </c>
      <c r="AJ8" s="5">
        <f>ABS((P8-Z8)/P8)*100</f>
        <v>0.97008950172067754</v>
      </c>
      <c r="AL8" s="5">
        <f>0.15*(T8-T7)+(1-0.15)*AL7</f>
        <v>7.3340667542998311E-2</v>
      </c>
      <c r="AM8" s="5">
        <f>0.25*(T8-T7)+(1-0.25)*AM7</f>
        <v>9.5393098611247132E-2</v>
      </c>
      <c r="AN8" s="5">
        <f>0.45*(T8-T7)+(1-0.45)*AN7</f>
        <v>9.4044773022744735E-2</v>
      </c>
      <c r="AO8" s="5">
        <f>0.85*(T8-T7)+(1-0.85)*AO7</f>
        <v>-1.3211460754260218E-2</v>
      </c>
      <c r="AP8" s="5">
        <f>T8+AL8</f>
        <v>64.704520552794236</v>
      </c>
      <c r="AQ8" s="5">
        <f t="shared" si="4"/>
        <v>64.726572983862496</v>
      </c>
      <c r="AR8" s="5">
        <f t="shared" si="5"/>
        <v>64.725224658273987</v>
      </c>
      <c r="AS8" s="5">
        <f t="shared" si="6"/>
        <v>64.617968424496979</v>
      </c>
      <c r="AT8" s="5">
        <f t="shared" si="12"/>
        <v>0.63169144720576753</v>
      </c>
      <c r="AU8" s="5">
        <f t="shared" si="13"/>
        <v>113.7129870161375</v>
      </c>
      <c r="AV8" s="5">
        <f t="shared" si="7"/>
        <v>64.725224658273987</v>
      </c>
      <c r="AW8" s="5">
        <f t="shared" si="7"/>
        <v>0.34237965460573605</v>
      </c>
      <c r="AY8" s="5">
        <f>0.15*(Y8-Y7)+(1-0.15)*AY7</f>
        <v>-3.2216825709236702E-2</v>
      </c>
      <c r="AZ8" s="5">
        <f>0.25*(Y8-Y7)+(1-0.25)*AZ7</f>
        <v>-7.0831919251330783E-2</v>
      </c>
      <c r="BA8" s="5">
        <f>0.45*(Y8-Y7)+(1-0.45)*BA7</f>
        <v>-0.18644579357301724</v>
      </c>
      <c r="BB8" s="5">
        <f>0.85*(Y8-Y7)+(1-0.85)*BB7</f>
        <v>-0.5248325521413878</v>
      </c>
      <c r="BC8" s="5">
        <f>Y8+AY8</f>
        <v>176.88617451302292</v>
      </c>
      <c r="BD8" s="5">
        <f>Y8+AZ8</f>
        <v>176.84755941948083</v>
      </c>
      <c r="BE8" s="5">
        <f>Y8+BA8</f>
        <v>176.73194554515914</v>
      </c>
      <c r="BF8" s="5">
        <f>Y8+BB8</f>
        <v>176.39355878659077</v>
      </c>
      <c r="BG8" s="5">
        <f t="shared" si="14"/>
        <v>1.5533854869770778</v>
      </c>
      <c r="BH8" s="5">
        <f t="shared" si="15"/>
        <v>1.5920005805191693</v>
      </c>
      <c r="BI8" s="5">
        <f t="shared" si="16"/>
        <v>1.7076144548408649</v>
      </c>
      <c r="BJ8" s="5">
        <f t="shared" si="17"/>
        <v>2.0460012134092267</v>
      </c>
    </row>
    <row r="9" spans="1:62" x14ac:dyDescent="0.35">
      <c r="M9" s="2">
        <v>7</v>
      </c>
      <c r="N9" s="3">
        <v>43787</v>
      </c>
      <c r="O9" s="1">
        <v>65.665633999999997</v>
      </c>
      <c r="P9" s="1">
        <v>176.52507</v>
      </c>
      <c r="R9" s="5">
        <f t="shared" si="8"/>
        <v>64.434682254407562</v>
      </c>
      <c r="S9" s="5">
        <f t="shared" si="9"/>
        <v>64.809672390151306</v>
      </c>
      <c r="T9" s="5">
        <f t="shared" si="10"/>
        <v>65.018947548363059</v>
      </c>
      <c r="U9" s="5">
        <f t="shared" si="11"/>
        <v>65.162660254882809</v>
      </c>
      <c r="V9" s="5"/>
      <c r="W9" s="5">
        <f>0.15*P8+(1-0.15)*W8</f>
        <v>177.27933901054217</v>
      </c>
      <c r="X9" s="5">
        <f>0.35*P8+(1-0.35)*X8</f>
        <v>177.53358751897659</v>
      </c>
      <c r="Y9" s="5">
        <f>0.55*P8+(1-0.55)*Y8</f>
        <v>177.75503410242948</v>
      </c>
      <c r="Z9" s="5">
        <f>0.75*P8+(1-0.75)*Z8</f>
        <v>178.00680414038084</v>
      </c>
      <c r="AB9" s="5">
        <f t="shared" si="0"/>
        <v>1.8745752848322992</v>
      </c>
      <c r="AC9" s="5">
        <f t="shared" si="1"/>
        <v>1.3035153362696406</v>
      </c>
      <c r="AD9" s="5">
        <f t="shared" si="2"/>
        <v>0.98481719012556612</v>
      </c>
      <c r="AE9" s="5">
        <f t="shared" si="3"/>
        <v>0.76596191109216771</v>
      </c>
      <c r="AG9" s="5">
        <f>ABS((P9-W9)/P9)*100</f>
        <v>0.42728718959985351</v>
      </c>
      <c r="AH9" s="5">
        <f>ABS((P9-X9)/P9)*100</f>
        <v>0.57131687809362663</v>
      </c>
      <c r="AI9" s="5">
        <f>ABS((P9-Y9)/P9)*100</f>
        <v>0.69676454592510695</v>
      </c>
      <c r="AJ9" s="5">
        <f>ABS((P9-Z9)/P9)*100</f>
        <v>0.83939020127896691</v>
      </c>
      <c r="AL9" s="5">
        <f>0.15*(T9-T8)+(1-0.15)*AL8</f>
        <v>0.12050471687832101</v>
      </c>
      <c r="AM9" s="5">
        <f>0.25*(T9-T8)+(1-0.25)*AM8</f>
        <v>0.16848673973638945</v>
      </c>
      <c r="AN9" s="5">
        <f>0.45*(T9-T8)+(1-0.45)*AN8</f>
        <v>0.22622007356282697</v>
      </c>
      <c r="AO9" s="5">
        <f>0.85*(T9-T8)+(1-0.85)*AO8</f>
        <v>0.32762079453190479</v>
      </c>
      <c r="AP9" s="5">
        <f>T9+AL9</f>
        <v>65.139452265241374</v>
      </c>
      <c r="AQ9" s="5">
        <f t="shared" si="4"/>
        <v>65.187434288099453</v>
      </c>
      <c r="AR9" s="5">
        <f t="shared" si="5"/>
        <v>65.245167621925887</v>
      </c>
      <c r="AS9" s="5">
        <f t="shared" si="6"/>
        <v>65.346568342894969</v>
      </c>
      <c r="AT9" s="5">
        <f t="shared" si="12"/>
        <v>0.52618173475862307</v>
      </c>
      <c r="AU9" s="5">
        <f t="shared" si="13"/>
        <v>111.33763571190055</v>
      </c>
      <c r="AV9" s="5">
        <f t="shared" si="7"/>
        <v>65.245167621925887</v>
      </c>
      <c r="AW9" s="5">
        <f t="shared" si="7"/>
        <v>0.91188608848740671</v>
      </c>
      <c r="AY9" s="5">
        <f>0.15*(Y9-Y8)+(1-0.15)*AY8</f>
        <v>9.8112112701745732E-2</v>
      </c>
      <c r="AZ9" s="5">
        <f>0.25*(Y9-Y8)+(1-0.25)*AZ8</f>
        <v>0.15603675148583013</v>
      </c>
      <c r="BA9" s="5">
        <f>0.45*(Y9-Y8)+(1-0.45)*BA8</f>
        <v>0.2739440571986313</v>
      </c>
      <c r="BB9" s="5">
        <f>0.85*(Y9-Y8)+(1-0.85)*BB8</f>
        <v>0.63242146632150775</v>
      </c>
      <c r="BC9" s="5">
        <f>Y9+AY9</f>
        <v>177.85314621513123</v>
      </c>
      <c r="BD9" s="5">
        <f>Y9+AZ9</f>
        <v>177.91107085391531</v>
      </c>
      <c r="BE9" s="5">
        <f>Y9+BA9</f>
        <v>178.02897815962811</v>
      </c>
      <c r="BF9" s="5">
        <f>Y9+BB9</f>
        <v>178.38745556875099</v>
      </c>
      <c r="BG9" s="5">
        <f t="shared" si="14"/>
        <v>1.3280762151312331</v>
      </c>
      <c r="BH9" s="5">
        <f t="shared" si="15"/>
        <v>1.3860008539153057</v>
      </c>
      <c r="BI9" s="5">
        <f t="shared" si="16"/>
        <v>1.5039081596281108</v>
      </c>
      <c r="BJ9" s="5">
        <f t="shared" si="17"/>
        <v>1.8623855687509945</v>
      </c>
    </row>
    <row r="10" spans="1:62" x14ac:dyDescent="0.35">
      <c r="M10" s="2">
        <v>8</v>
      </c>
      <c r="N10" s="3">
        <v>43788</v>
      </c>
      <c r="O10" s="1">
        <v>65.466507000000007</v>
      </c>
      <c r="P10" s="1">
        <v>176.839249</v>
      </c>
      <c r="R10" s="5">
        <f t="shared" si="8"/>
        <v>64.619325016246421</v>
      </c>
      <c r="S10" s="5">
        <f t="shared" si="9"/>
        <v>65.109258953598356</v>
      </c>
      <c r="T10" s="5">
        <f t="shared" si="10"/>
        <v>65.374625096763367</v>
      </c>
      <c r="U10" s="5">
        <f t="shared" si="11"/>
        <v>65.539890563720689</v>
      </c>
      <c r="V10" s="5"/>
      <c r="W10" s="5">
        <f>0.15*P9+(1-0.15)*W9</f>
        <v>177.16619865896084</v>
      </c>
      <c r="X10" s="5">
        <f>0.35*P9+(1-0.35)*X9</f>
        <v>177.18060638733476</v>
      </c>
      <c r="Y10" s="5">
        <f>0.55*P9+(1-0.55)*Y9</f>
        <v>177.07855384609326</v>
      </c>
      <c r="Z10" s="5">
        <f>0.75*P9+(1-0.75)*Z9</f>
        <v>176.8955035350952</v>
      </c>
      <c r="AB10" s="5">
        <f t="shared" si="0"/>
        <v>1.2940693227356486</v>
      </c>
      <c r="AC10" s="5">
        <f t="shared" si="1"/>
        <v>0.54569590279446356</v>
      </c>
      <c r="AD10" s="5">
        <f t="shared" si="2"/>
        <v>0.14034948166188249</v>
      </c>
      <c r="AE10" s="5">
        <f t="shared" si="3"/>
        <v>0.11209329332429836</v>
      </c>
      <c r="AG10" s="5">
        <f>ABS((P10-W10)/P10)*100</f>
        <v>0.18488523379831945</v>
      </c>
      <c r="AH10" s="5">
        <f>ABS((P10-X10)/P10)*100</f>
        <v>0.19303259274459331</v>
      </c>
      <c r="AI10" s="5">
        <f>ABS((P10-Y10)/P10)*100</f>
        <v>0.13532337840524411</v>
      </c>
      <c r="AJ10" s="5">
        <f>ABS((P10-Z10)/P10)*100</f>
        <v>3.1811113999475532E-2</v>
      </c>
      <c r="AL10" s="5">
        <f>0.15*(T10-T9)+(1-0.15)*AL9</f>
        <v>0.15578064160661909</v>
      </c>
      <c r="AM10" s="5">
        <f>0.25*(T10-T9)+(1-0.25)*AM9</f>
        <v>0.21528444190236917</v>
      </c>
      <c r="AN10" s="5">
        <f>0.45*(T10-T9)+(1-0.45)*AN9</f>
        <v>0.28447593723969355</v>
      </c>
      <c r="AO10" s="5">
        <f>0.85*(T10-T9)+(1-0.85)*AO9</f>
        <v>0.35146903532004781</v>
      </c>
      <c r="AP10" s="5">
        <f>T10+AL10</f>
        <v>65.530405738369993</v>
      </c>
      <c r="AQ10" s="5">
        <f t="shared" si="4"/>
        <v>65.589909538665736</v>
      </c>
      <c r="AR10" s="5">
        <f t="shared" si="5"/>
        <v>65.659101034003058</v>
      </c>
      <c r="AS10" s="5">
        <f t="shared" si="6"/>
        <v>65.726094132083418</v>
      </c>
      <c r="AT10" s="5">
        <f t="shared" si="12"/>
        <v>6.3898738369985608E-2</v>
      </c>
      <c r="AU10" s="5">
        <f t="shared" si="13"/>
        <v>111.24933946133426</v>
      </c>
      <c r="AV10" s="5">
        <f t="shared" si="7"/>
        <v>65.659101034003058</v>
      </c>
      <c r="AW10" s="5">
        <f t="shared" si="7"/>
        <v>1.1067691158369968</v>
      </c>
      <c r="AY10" s="5">
        <f>0.15*(Y10-Y9)+(1-0.15)*AY9</f>
        <v>-1.8076742653949054E-2</v>
      </c>
      <c r="AZ10" s="5">
        <f>0.25*(Y10-Y9)+(1-0.25)*AZ9</f>
        <v>-5.2092500469682293E-2</v>
      </c>
      <c r="BA10" s="5">
        <f>0.45*(Y10-Y9)+(1-0.45)*BA9</f>
        <v>-0.15374688389205157</v>
      </c>
      <c r="BB10" s="5">
        <f>0.85*(Y10-Y9)+(1-0.85)*BB9</f>
        <v>-0.48014499793756044</v>
      </c>
      <c r="BC10" s="5">
        <f>Y10+AY10</f>
        <v>177.0604771034393</v>
      </c>
      <c r="BD10" s="5">
        <f>Y10+AZ10</f>
        <v>177.02646134562357</v>
      </c>
      <c r="BE10" s="5">
        <f>Y10+BA10</f>
        <v>176.92480696220122</v>
      </c>
      <c r="BF10" s="5">
        <f>Y10+BB10</f>
        <v>176.59840884815569</v>
      </c>
      <c r="BG10" s="5">
        <f t="shared" si="14"/>
        <v>0.22122810343930155</v>
      </c>
      <c r="BH10" s="5">
        <f t="shared" si="15"/>
        <v>0.18721234562357836</v>
      </c>
      <c r="BI10" s="5">
        <f t="shared" si="16"/>
        <v>8.5557962201221471E-2</v>
      </c>
      <c r="BJ10" s="5">
        <f t="shared" si="17"/>
        <v>0.24084015184430996</v>
      </c>
    </row>
    <row r="11" spans="1:62" x14ac:dyDescent="0.35">
      <c r="M11" s="2">
        <v>9</v>
      </c>
      <c r="N11" s="3">
        <v>43789</v>
      </c>
      <c r="O11" s="1">
        <v>64.704375999999996</v>
      </c>
      <c r="P11" s="1">
        <v>173.99208100000001</v>
      </c>
      <c r="R11" s="5">
        <f t="shared" si="8"/>
        <v>64.746402313809455</v>
      </c>
      <c r="S11" s="5">
        <f t="shared" si="9"/>
        <v>65.234295769838937</v>
      </c>
      <c r="T11" s="5">
        <f t="shared" si="10"/>
        <v>65.425160143543508</v>
      </c>
      <c r="U11" s="5">
        <f t="shared" si="11"/>
        <v>65.484852890930171</v>
      </c>
      <c r="V11" s="5"/>
      <c r="W11" s="5">
        <f>0.15*P10+(1-0.15)*W10</f>
        <v>177.11715621011672</v>
      </c>
      <c r="X11" s="5">
        <f>0.35*P10+(1-0.35)*X10</f>
        <v>177.0611313017676</v>
      </c>
      <c r="Y11" s="5">
        <f>0.55*P10+(1-0.55)*Y10</f>
        <v>176.94693618074197</v>
      </c>
      <c r="Z11" s="5">
        <f>0.75*P10+(1-0.75)*Z10</f>
        <v>176.85331263377378</v>
      </c>
      <c r="AB11" s="5">
        <f t="shared" si="0"/>
        <v>6.4951269771086756E-2</v>
      </c>
      <c r="AC11" s="5">
        <f t="shared" si="1"/>
        <v>0.81898598301750192</v>
      </c>
      <c r="AD11" s="5">
        <f t="shared" si="2"/>
        <v>1.113965064037572</v>
      </c>
      <c r="AE11" s="5">
        <f t="shared" si="3"/>
        <v>1.206219639503477</v>
      </c>
      <c r="AG11" s="5">
        <f>ABS((P11-W11)/P11)*100</f>
        <v>1.7961019789841499</v>
      </c>
      <c r="AH11" s="5">
        <f>ABS((P11-X11)/P11)*100</f>
        <v>1.7639022903390582</v>
      </c>
      <c r="AI11" s="5">
        <f>ABS((P11-Y11)/P11)*100</f>
        <v>1.6982699234121803</v>
      </c>
      <c r="AJ11" s="5">
        <f>ABS((P11-Z11)/P11)*100</f>
        <v>1.6444608382916974</v>
      </c>
      <c r="AL11" s="5">
        <f>0.15*(T11-T10)+(1-0.15)*AL10</f>
        <v>0.1399938023826473</v>
      </c>
      <c r="AM11" s="5">
        <f>0.25*(T11-T10)+(1-0.25)*AM10</f>
        <v>0.17409709312181204</v>
      </c>
      <c r="AN11" s="5">
        <f>0.45*(T11-T10)+(1-0.45)*AN10</f>
        <v>0.17920253653289475</v>
      </c>
      <c r="AO11" s="5">
        <f>0.85*(T11-T10)+(1-0.85)*AO10</f>
        <v>9.5675145061126732E-2</v>
      </c>
      <c r="AP11" s="5">
        <f>T11+AL11</f>
        <v>65.565153945926156</v>
      </c>
      <c r="AQ11" s="5">
        <f t="shared" si="4"/>
        <v>65.599257236665323</v>
      </c>
      <c r="AR11" s="5">
        <f t="shared" si="5"/>
        <v>65.604362680076406</v>
      </c>
      <c r="AS11" s="5">
        <f t="shared" si="6"/>
        <v>65.52083528860463</v>
      </c>
      <c r="AT11" s="5">
        <f t="shared" si="12"/>
        <v>0.8607779459261593</v>
      </c>
      <c r="AU11" s="5">
        <f t="shared" si="13"/>
        <v>108.39282376333469</v>
      </c>
      <c r="AV11" s="5">
        <f t="shared" si="7"/>
        <v>65.604362680076406</v>
      </c>
      <c r="AW11" s="5">
        <f t="shared" si="7"/>
        <v>0.77443297479517526</v>
      </c>
      <c r="AY11" s="5">
        <f>0.15*(Y11-Y10)+(1-0.15)*AY10</f>
        <v>-3.510788105854952E-2</v>
      </c>
      <c r="AZ11" s="5">
        <f>0.25*(Y11-Y10)+(1-0.25)*AZ10</f>
        <v>-7.1973791690083097E-2</v>
      </c>
      <c r="BA11" s="5">
        <f>0.45*(Y11-Y10)+(1-0.45)*BA10</f>
        <v>-0.14378873554870686</v>
      </c>
      <c r="BB11" s="5">
        <f>0.85*(Y11-Y10)+(1-0.85)*BB10</f>
        <v>-0.18389676523922674</v>
      </c>
      <c r="BC11" s="5">
        <f>Y11+AY11</f>
        <v>176.91182829968344</v>
      </c>
      <c r="BD11" s="5">
        <f>Y11+AZ11</f>
        <v>176.87496238905189</v>
      </c>
      <c r="BE11" s="5">
        <f>Y11+BA11</f>
        <v>176.80314744519328</v>
      </c>
      <c r="BF11" s="5">
        <f>Y11+BB11</f>
        <v>176.76303941550273</v>
      </c>
      <c r="BG11" s="5">
        <f t="shared" si="14"/>
        <v>2.9197472996834222</v>
      </c>
      <c r="BH11" s="5">
        <f t="shared" si="15"/>
        <v>2.8828813890518745</v>
      </c>
      <c r="BI11" s="5">
        <f t="shared" si="16"/>
        <v>2.8110664451932621</v>
      </c>
      <c r="BJ11" s="5">
        <f t="shared" si="17"/>
        <v>2.7709584155027187</v>
      </c>
    </row>
    <row r="12" spans="1:62" x14ac:dyDescent="0.35">
      <c r="M12" s="2">
        <v>10</v>
      </c>
      <c r="N12" s="3">
        <v>43790</v>
      </c>
      <c r="O12" s="1">
        <v>64.414268000000007</v>
      </c>
      <c r="P12" s="1">
        <v>173.31463600000001</v>
      </c>
      <c r="R12" s="5">
        <f t="shared" si="8"/>
        <v>64.740098366738039</v>
      </c>
      <c r="S12" s="5">
        <f t="shared" si="9"/>
        <v>65.048823850395308</v>
      </c>
      <c r="T12" s="5">
        <f t="shared" si="10"/>
        <v>65.028728864594584</v>
      </c>
      <c r="U12" s="5">
        <f t="shared" si="11"/>
        <v>64.89949522273254</v>
      </c>
      <c r="V12" s="5"/>
      <c r="W12" s="5">
        <f>0.15*P11+(1-0.15)*W11</f>
        <v>176.6483949285992</v>
      </c>
      <c r="X12" s="5">
        <f>0.35*P11+(1-0.35)*X11</f>
        <v>175.98696369614893</v>
      </c>
      <c r="Y12" s="5">
        <f>0.55*P11+(1-0.55)*Y11</f>
        <v>175.32176583133389</v>
      </c>
      <c r="Z12" s="5">
        <f>0.75*P11+(1-0.75)*Z11</f>
        <v>174.70738890844348</v>
      </c>
      <c r="AB12" s="5">
        <f t="shared" si="0"/>
        <v>0.50583570512364084</v>
      </c>
      <c r="AC12" s="5">
        <f t="shared" si="1"/>
        <v>0.98511691601509999</v>
      </c>
      <c r="AD12" s="5">
        <f t="shared" si="2"/>
        <v>0.95392043358247347</v>
      </c>
      <c r="AE12" s="5">
        <f t="shared" si="3"/>
        <v>0.75329152654895171</v>
      </c>
      <c r="AG12" s="5">
        <f>ABS((P12-W12)/P12)*100</f>
        <v>1.9235299485031345</v>
      </c>
      <c r="AH12" s="5">
        <f>ABS((P12-X12)/P12)*100</f>
        <v>1.541893839911435</v>
      </c>
      <c r="AI12" s="5">
        <f>ABS((P12-Y12)/P12)*100</f>
        <v>1.158084439754923</v>
      </c>
      <c r="AJ12" s="5">
        <f>ABS((P12-Z12)/P12)*100</f>
        <v>0.80359797682837908</v>
      </c>
      <c r="AL12" s="5">
        <f>0.15*(T12-T11)+(1-0.15)*AL11</f>
        <v>5.9530040182911588E-2</v>
      </c>
      <c r="AM12" s="5">
        <f>0.25*(T12-T11)+(1-0.25)*AM11</f>
        <v>3.1465000104128005E-2</v>
      </c>
      <c r="AN12" s="5">
        <f>0.45*(T12-T11)+(1-0.45)*AN11</f>
        <v>-7.9832680433923761E-2</v>
      </c>
      <c r="AO12" s="5">
        <f>0.85*(T12-T11)+(1-0.85)*AO11</f>
        <v>-0.3226153153474165</v>
      </c>
      <c r="AP12" s="5">
        <f>T12+AL12</f>
        <v>65.08825890477749</v>
      </c>
      <c r="AQ12" s="5">
        <f t="shared" si="4"/>
        <v>65.060193864698718</v>
      </c>
      <c r="AR12" s="5">
        <f t="shared" si="5"/>
        <v>64.94889618416066</v>
      </c>
      <c r="AS12" s="5">
        <f t="shared" si="6"/>
        <v>64.706113549247164</v>
      </c>
      <c r="AT12" s="5">
        <f t="shared" si="12"/>
        <v>0.67399090477748302</v>
      </c>
      <c r="AU12" s="5">
        <f t="shared" si="13"/>
        <v>108.25444213530129</v>
      </c>
      <c r="AV12" s="5">
        <f t="shared" si="7"/>
        <v>64.94889618416066</v>
      </c>
      <c r="AW12" s="5">
        <f t="shared" si="7"/>
        <v>3.398481749087523E-2</v>
      </c>
      <c r="AY12" s="5">
        <f>0.15*(Y12-Y11)+(1-0.15)*AY11</f>
        <v>-0.27361725131097908</v>
      </c>
      <c r="AZ12" s="5">
        <f>0.25*(Y12-Y11)+(1-0.25)*AZ11</f>
        <v>-0.46027293111958234</v>
      </c>
      <c r="BA12" s="5">
        <f>0.45*(Y12-Y11)+(1-0.45)*BA11</f>
        <v>-0.81041046178542475</v>
      </c>
      <c r="BB12" s="5">
        <f>0.85*(Y12-Y11)+(1-0.85)*BB11</f>
        <v>-1.408979311782752</v>
      </c>
      <c r="BC12" s="5">
        <f>Y12+AY12</f>
        <v>175.04814858002291</v>
      </c>
      <c r="BD12" s="5">
        <f>Y12+AZ12</f>
        <v>174.8614929002143</v>
      </c>
      <c r="BE12" s="5">
        <f>Y12+BA12</f>
        <v>174.51135536954845</v>
      </c>
      <c r="BF12" s="5">
        <f>Y12+BB12</f>
        <v>173.91278651955113</v>
      </c>
      <c r="BG12" s="5">
        <f t="shared" si="14"/>
        <v>1.7335125800229036</v>
      </c>
      <c r="BH12" s="5">
        <f t="shared" si="15"/>
        <v>1.5468569002142942</v>
      </c>
      <c r="BI12" s="5">
        <f t="shared" si="16"/>
        <v>1.1967193695484468</v>
      </c>
      <c r="BJ12" s="5">
        <f t="shared" si="17"/>
        <v>0.59815051955112608</v>
      </c>
    </row>
    <row r="13" spans="1:62" x14ac:dyDescent="0.35">
      <c r="M13" s="2">
        <v>11</v>
      </c>
      <c r="N13" s="3">
        <v>43791</v>
      </c>
      <c r="O13" s="1">
        <v>64.357726999999997</v>
      </c>
      <c r="P13" s="1">
        <v>173.56990099999999</v>
      </c>
      <c r="R13" s="5">
        <f t="shared" si="8"/>
        <v>64.691223811727326</v>
      </c>
      <c r="S13" s="5">
        <f t="shared" si="9"/>
        <v>64.826729302756945</v>
      </c>
      <c r="T13" s="5">
        <f t="shared" si="10"/>
        <v>64.690775389067568</v>
      </c>
      <c r="U13" s="5">
        <f t="shared" si="11"/>
        <v>64.53557480568314</v>
      </c>
      <c r="V13" s="5"/>
      <c r="W13" s="5">
        <f>0.15*P12+(1-0.15)*W12</f>
        <v>176.14833108930932</v>
      </c>
      <c r="X13" s="5">
        <f>0.35*P12+(1-0.35)*X12</f>
        <v>175.05164900249682</v>
      </c>
      <c r="Y13" s="5">
        <f>0.55*P12+(1-0.55)*Y12</f>
        <v>174.21784442410024</v>
      </c>
      <c r="Z13" s="5">
        <f>0.75*P12+(1-0.75)*Z12</f>
        <v>173.66282422711086</v>
      </c>
      <c r="AB13" s="5">
        <f t="shared" si="0"/>
        <v>0.51819234033440797</v>
      </c>
      <c r="AC13" s="5">
        <f t="shared" si="1"/>
        <v>0.72874280155504578</v>
      </c>
      <c r="AD13" s="5">
        <f t="shared" si="2"/>
        <v>0.51749557449033401</v>
      </c>
      <c r="AE13" s="5">
        <f t="shared" si="3"/>
        <v>0.27634258382547167</v>
      </c>
      <c r="AG13" s="5">
        <f>ABS((P13-W13)/P13)*100</f>
        <v>1.4855283516635387</v>
      </c>
      <c r="AH13" s="5">
        <f>ABS((P13-X13)/P13)*100</f>
        <v>0.85368948991728066</v>
      </c>
      <c r="AI13" s="5">
        <f>ABS((P13-Y13)/P13)*100</f>
        <v>0.37330402354740527</v>
      </c>
      <c r="AJ13" s="5">
        <f>ABS((P13-Z13)/P13)*100</f>
        <v>5.3536486784579715E-2</v>
      </c>
      <c r="AL13" s="5">
        <f>0.15*(T13-T12)+(1-0.15)*AL12</f>
        <v>-9.2487173577501802E-5</v>
      </c>
      <c r="AM13" s="5">
        <f>0.25*(T13-T12)+(1-0.25)*AM12</f>
        <v>-6.0889618803657924E-2</v>
      </c>
      <c r="AN13" s="5">
        <f>0.45*(T13-T12)+(1-0.45)*AN12</f>
        <v>-0.19598703822581515</v>
      </c>
      <c r="AO13" s="5">
        <f>0.85*(T13-T12)+(1-0.85)*AO12</f>
        <v>-0.33565275150007584</v>
      </c>
      <c r="AP13" s="5">
        <f>T13+AL13</f>
        <v>64.690682901893993</v>
      </c>
      <c r="AQ13" s="5">
        <f t="shared" si="4"/>
        <v>64.629885770263911</v>
      </c>
      <c r="AR13" s="5">
        <f t="shared" si="5"/>
        <v>64.494788350841759</v>
      </c>
      <c r="AS13" s="5">
        <f t="shared" si="6"/>
        <v>64.35512263756749</v>
      </c>
      <c r="AT13" s="5">
        <f t="shared" si="12"/>
        <v>0.33295590189399604</v>
      </c>
      <c r="AU13" s="5">
        <f t="shared" si="13"/>
        <v>108.94001522973608</v>
      </c>
      <c r="AV13" s="5">
        <f t="shared" si="7"/>
        <v>64.494788350841759</v>
      </c>
      <c r="AW13" s="5">
        <f t="shared" si="7"/>
        <v>0.33610117415983609</v>
      </c>
      <c r="AY13" s="5">
        <f>0.15*(Y13-Y12)+(1-0.15)*AY12</f>
        <v>-0.39816287469938061</v>
      </c>
      <c r="AZ13" s="5">
        <f>0.25*(Y13-Y12)+(1-0.25)*AZ12</f>
        <v>-0.62118505014810088</v>
      </c>
      <c r="BA13" s="5">
        <f>0.45*(Y13-Y12)+(1-0.45)*BA12</f>
        <v>-0.94249038723712908</v>
      </c>
      <c r="BB13" s="5">
        <f>0.85*(Y13-Y12)+(1-0.85)*BB12</f>
        <v>-1.1496800929160207</v>
      </c>
      <c r="BC13" s="5">
        <f>Y13+AY13</f>
        <v>173.81968154940085</v>
      </c>
      <c r="BD13" s="5">
        <f>Y13+AZ13</f>
        <v>173.59665937395212</v>
      </c>
      <c r="BE13" s="5">
        <f>Y13+BA13</f>
        <v>173.27535403686309</v>
      </c>
      <c r="BF13" s="5">
        <f>Y13+BB13</f>
        <v>173.06816433118422</v>
      </c>
      <c r="BG13" s="5">
        <f t="shared" si="14"/>
        <v>0.24978054940086736</v>
      </c>
      <c r="BH13" s="5">
        <f t="shared" si="15"/>
        <v>2.6758373952134207E-2</v>
      </c>
      <c r="BI13" s="5">
        <f t="shared" si="16"/>
        <v>0.2945469631368951</v>
      </c>
      <c r="BJ13" s="5">
        <f t="shared" si="17"/>
        <v>0.50173666881576651</v>
      </c>
    </row>
    <row r="14" spans="1:62" x14ac:dyDescent="0.35">
      <c r="M14" s="2">
        <v>12</v>
      </c>
      <c r="N14" s="3">
        <v>43794</v>
      </c>
      <c r="O14" s="1">
        <v>65.486168000000006</v>
      </c>
      <c r="P14" s="1">
        <v>173.29499799999999</v>
      </c>
      <c r="R14" s="5">
        <f t="shared" si="8"/>
        <v>64.641199289968228</v>
      </c>
      <c r="S14" s="5">
        <f t="shared" si="9"/>
        <v>64.662578496792008</v>
      </c>
      <c r="T14" s="5">
        <f t="shared" si="10"/>
        <v>64.507598775080396</v>
      </c>
      <c r="U14" s="5">
        <f t="shared" si="11"/>
        <v>64.402188951420783</v>
      </c>
      <c r="V14" s="5"/>
      <c r="W14" s="5">
        <f>0.15*P13+(1-0.15)*W13</f>
        <v>175.76156657591292</v>
      </c>
      <c r="X14" s="5">
        <f>0.35*P13+(1-0.35)*X13</f>
        <v>174.53303720162293</v>
      </c>
      <c r="Y14" s="5">
        <f>0.55*P13+(1-0.55)*Y13</f>
        <v>173.86147554084511</v>
      </c>
      <c r="Z14" s="5">
        <f>0.75*P13+(1-0.75)*Z13</f>
        <v>173.59313180677771</v>
      </c>
      <c r="AB14" s="5">
        <f t="shared" si="0"/>
        <v>1.2903010449959122</v>
      </c>
      <c r="AC14" s="5">
        <f t="shared" si="1"/>
        <v>1.2576541403491466</v>
      </c>
      <c r="AD14" s="5">
        <f t="shared" si="2"/>
        <v>1.4943143793657467</v>
      </c>
      <c r="AE14" s="5">
        <f t="shared" si="3"/>
        <v>1.6552793997340376</v>
      </c>
      <c r="AG14" s="5">
        <f>ABS((P14-W14)/P14)*100</f>
        <v>1.4233351247177546</v>
      </c>
      <c r="AH14" s="5">
        <f>ABS((P14-X14)/P14)*100</f>
        <v>0.71441138862123388</v>
      </c>
      <c r="AI14" s="5">
        <f>ABS((P14-Y14)/P14)*100</f>
        <v>0.3268862617979969</v>
      </c>
      <c r="AJ14" s="5">
        <f>ABS((P14-Z14)/P14)*100</f>
        <v>0.1720383220626559</v>
      </c>
      <c r="AL14" s="5">
        <f>0.15*(T14-T13)+(1-0.15)*AL13</f>
        <v>-2.755510619561664E-2</v>
      </c>
      <c r="AM14" s="5">
        <f>0.25*(T14-T13)+(1-0.25)*AM13</f>
        <v>-9.1461367599536381E-2</v>
      </c>
      <c r="AN14" s="5">
        <f>0.45*(T14-T13)+(1-0.45)*AN13</f>
        <v>-0.19022234731842563</v>
      </c>
      <c r="AO14" s="5">
        <f>0.85*(T14-T13)+(1-0.85)*AO13</f>
        <v>-0.20604803461410739</v>
      </c>
      <c r="AP14" s="5">
        <f>T14+AL14</f>
        <v>64.480043668884775</v>
      </c>
      <c r="AQ14" s="5">
        <f t="shared" si="4"/>
        <v>64.416137407480861</v>
      </c>
      <c r="AR14" s="5">
        <f t="shared" si="5"/>
        <v>64.317376427761971</v>
      </c>
      <c r="AS14" s="5">
        <f t="shared" si="6"/>
        <v>64.301550740466283</v>
      </c>
      <c r="AT14" s="5">
        <f t="shared" si="12"/>
        <v>1.006124331115231</v>
      </c>
      <c r="AU14" s="5">
        <f t="shared" si="13"/>
        <v>108.87886059251913</v>
      </c>
      <c r="AV14" s="5">
        <f t="shared" si="7"/>
        <v>64.317376427761971</v>
      </c>
      <c r="AW14" s="5">
        <f t="shared" si="7"/>
        <v>0.33964854950194479</v>
      </c>
      <c r="AY14" s="5">
        <f>0.15*(Y14-Y13)+(1-0.15)*AY13</f>
        <v>-0.39189377598274289</v>
      </c>
      <c r="AZ14" s="5">
        <f>0.25*(Y14-Y13)+(1-0.25)*AZ13</f>
        <v>-0.55498100842485798</v>
      </c>
      <c r="BA14" s="5">
        <f>0.45*(Y14-Y13)+(1-0.45)*BA13</f>
        <v>-0.67873571044522918</v>
      </c>
      <c r="BB14" s="5">
        <f>0.85*(Y14-Y13)+(1-0.85)*BB13</f>
        <v>-0.47536556470426305</v>
      </c>
      <c r="BC14" s="5">
        <f>Y14+AY14</f>
        <v>173.46958176486237</v>
      </c>
      <c r="BD14" s="5">
        <f>Y14+AZ14</f>
        <v>173.30649453242026</v>
      </c>
      <c r="BE14" s="5">
        <f>Y14+BA14</f>
        <v>173.18273983039987</v>
      </c>
      <c r="BF14" s="5">
        <f>Y14+BB14</f>
        <v>173.38610997614083</v>
      </c>
      <c r="BG14" s="5">
        <f t="shared" si="14"/>
        <v>0.17458376486237626</v>
      </c>
      <c r="BH14" s="5">
        <f t="shared" si="15"/>
        <v>1.1496532420267158E-2</v>
      </c>
      <c r="BI14" s="5">
        <f t="shared" si="16"/>
        <v>0.1122581696001248</v>
      </c>
      <c r="BJ14" s="5">
        <f t="shared" si="17"/>
        <v>9.1111976140837214E-2</v>
      </c>
    </row>
    <row r="15" spans="1:62" x14ac:dyDescent="0.35">
      <c r="M15" s="2">
        <v>13</v>
      </c>
      <c r="N15" s="3">
        <v>43795</v>
      </c>
      <c r="O15" s="1">
        <v>64.974815000000007</v>
      </c>
      <c r="P15" s="1">
        <v>175.26838699999999</v>
      </c>
      <c r="R15" s="5">
        <f t="shared" si="8"/>
        <v>64.767944596473001</v>
      </c>
      <c r="S15" s="5">
        <f t="shared" si="9"/>
        <v>64.9508348229148</v>
      </c>
      <c r="T15" s="5">
        <f t="shared" si="10"/>
        <v>65.045811848786173</v>
      </c>
      <c r="U15" s="5">
        <f t="shared" si="11"/>
        <v>65.215173237855197</v>
      </c>
      <c r="V15" s="5"/>
      <c r="W15" s="5">
        <f>0.15*P14+(1-0.15)*W14</f>
        <v>175.39158128952596</v>
      </c>
      <c r="X15" s="5">
        <f>0.35*P14+(1-0.35)*X14</f>
        <v>174.09972348105489</v>
      </c>
      <c r="Y15" s="5">
        <f>0.55*P14+(1-0.55)*Y14</f>
        <v>173.54991289338028</v>
      </c>
      <c r="Z15" s="5">
        <f>0.75*P14+(1-0.75)*Z14</f>
        <v>173.36953145169443</v>
      </c>
      <c r="AB15" s="5">
        <f t="shared" si="0"/>
        <v>0.31838552141626858</v>
      </c>
      <c r="AC15" s="5">
        <f t="shared" si="1"/>
        <v>3.6906880127641505E-2</v>
      </c>
      <c r="AD15" s="5">
        <f t="shared" si="2"/>
        <v>0.10926825845701268</v>
      </c>
      <c r="AE15" s="5">
        <f t="shared" si="3"/>
        <v>0.3699252361937318</v>
      </c>
      <c r="AG15" s="5">
        <f>ABS((P15-W15)/P15)*100</f>
        <v>7.0288938943660867E-2</v>
      </c>
      <c r="AH15" s="5">
        <f>ABS((P15-X15)/P15)*100</f>
        <v>0.66678511678497698</v>
      </c>
      <c r="AI15" s="5">
        <f>ABS((P15-Y15)/P15)*100</f>
        <v>0.98048149813788676</v>
      </c>
      <c r="AJ15" s="5">
        <f>ABS((P15-Z15)/P15)*100</f>
        <v>1.0833987696284111</v>
      </c>
      <c r="AL15" s="5">
        <f>0.15*(T15-T14)+(1-0.15)*AL14</f>
        <v>5.7310120789592314E-2</v>
      </c>
      <c r="AM15" s="5">
        <f>0.25*(T15-T14)+(1-0.25)*AM14</f>
        <v>6.595724272679182E-2</v>
      </c>
      <c r="AN15" s="5">
        <f>0.45*(T15-T14)+(1-0.45)*AN14</f>
        <v>0.13757359214246528</v>
      </c>
      <c r="AO15" s="5">
        <f>0.85*(T15-T14)+(1-0.85)*AO14</f>
        <v>0.42657390745779383</v>
      </c>
      <c r="AP15" s="5">
        <f>T15+AL15</f>
        <v>65.103121969575767</v>
      </c>
      <c r="AQ15" s="5">
        <f t="shared" si="4"/>
        <v>65.111769091512969</v>
      </c>
      <c r="AR15" s="5">
        <f t="shared" si="5"/>
        <v>65.183385440928632</v>
      </c>
      <c r="AS15" s="5">
        <f t="shared" si="6"/>
        <v>65.472385756243966</v>
      </c>
      <c r="AT15" s="5">
        <f t="shared" si="12"/>
        <v>0.12830696957576038</v>
      </c>
      <c r="AU15" s="5">
        <f t="shared" si="13"/>
        <v>110.15661790848702</v>
      </c>
      <c r="AV15" s="5">
        <f t="shared" si="7"/>
        <v>65.183385440928632</v>
      </c>
      <c r="AW15" s="5">
        <f t="shared" si="7"/>
        <v>0.70444115977096544</v>
      </c>
      <c r="AY15" s="5">
        <f>0.15*(Y15-Y14)+(1-0.15)*AY14</f>
        <v>-0.3798441067050552</v>
      </c>
      <c r="AZ15" s="5">
        <f>0.25*(Y15-Y14)+(1-0.25)*AZ14</f>
        <v>-0.49412641818484981</v>
      </c>
      <c r="BA15" s="5">
        <f>0.45*(Y15-Y14)+(1-0.45)*BA14</f>
        <v>-0.51350783210404738</v>
      </c>
      <c r="BB15" s="5">
        <f>0.85*(Y15-Y14)+(1-0.85)*BB14</f>
        <v>-0.33613308505074091</v>
      </c>
      <c r="BC15" s="5">
        <f>Y15+AY15</f>
        <v>173.17006878667522</v>
      </c>
      <c r="BD15" s="5">
        <f>Y15+AZ15</f>
        <v>173.05578647519542</v>
      </c>
      <c r="BE15" s="5">
        <f>Y15+BA15</f>
        <v>173.03640506127624</v>
      </c>
      <c r="BF15" s="5">
        <f>Y15+BB15</f>
        <v>173.21377980832955</v>
      </c>
      <c r="BG15" s="5">
        <f t="shared" si="14"/>
        <v>2.0983182133247738</v>
      </c>
      <c r="BH15" s="5">
        <f t="shared" si="15"/>
        <v>2.2126005248045715</v>
      </c>
      <c r="BI15" s="5">
        <f t="shared" si="16"/>
        <v>2.2319819387237487</v>
      </c>
      <c r="BJ15" s="5">
        <f t="shared" si="17"/>
        <v>2.054607191670442</v>
      </c>
    </row>
    <row r="16" spans="1:62" x14ac:dyDescent="0.35">
      <c r="M16" s="2">
        <v>14</v>
      </c>
      <c r="N16" s="3">
        <v>43796</v>
      </c>
      <c r="O16" s="1">
        <v>65.847565000000003</v>
      </c>
      <c r="P16" s="1">
        <v>176.151993</v>
      </c>
      <c r="R16" s="5">
        <f t="shared" si="8"/>
        <v>64.798975157002047</v>
      </c>
      <c r="S16" s="5">
        <f t="shared" si="9"/>
        <v>64.959227884894631</v>
      </c>
      <c r="T16" s="5">
        <f t="shared" si="10"/>
        <v>65.006763581953777</v>
      </c>
      <c r="U16" s="5">
        <f t="shared" si="11"/>
        <v>65.034904559463797</v>
      </c>
      <c r="V16" s="5"/>
      <c r="W16" s="5">
        <f>0.15*P15+(1-0.15)*W15</f>
        <v>175.37310214609707</v>
      </c>
      <c r="X16" s="5">
        <f>0.35*P15+(1-0.35)*X15</f>
        <v>174.50875571268568</v>
      </c>
      <c r="Y16" s="5">
        <f>0.55*P15+(1-0.55)*Y15</f>
        <v>174.49507365202112</v>
      </c>
      <c r="Z16" s="5">
        <f>0.75*P15+(1-0.75)*Z15</f>
        <v>174.79367311292361</v>
      </c>
      <c r="AB16" s="5">
        <f t="shared" si="0"/>
        <v>1.5924504467218425</v>
      </c>
      <c r="AC16" s="5">
        <f t="shared" si="1"/>
        <v>1.3490811924562012</v>
      </c>
      <c r="AD16" s="5">
        <f t="shared" si="2"/>
        <v>1.2768906762857912</v>
      </c>
      <c r="AE16" s="5">
        <f t="shared" si="3"/>
        <v>1.2341541263313318</v>
      </c>
      <c r="AG16" s="5">
        <f>ABS((P16-W16)/P16)*100</f>
        <v>0.44216976523390028</v>
      </c>
      <c r="AH16" s="5">
        <f>ABS((P16-X16)/P16)*100</f>
        <v>0.93285194185360187</v>
      </c>
      <c r="AI16" s="5">
        <f>ABS((P16-Y16)/P16)*100</f>
        <v>0.94061913223932991</v>
      </c>
      <c r="AJ16" s="5">
        <f>ABS((P16-Z16)/P16)*100</f>
        <v>0.77110673796145524</v>
      </c>
      <c r="AL16" s="5">
        <f>0.15*(T16-T15)+(1-0.15)*AL15</f>
        <v>4.2856362646294145E-2</v>
      </c>
      <c r="AM16" s="5">
        <f>0.25*(T16-T15)+(1-0.25)*AM15</f>
        <v>3.9705865336994994E-2</v>
      </c>
      <c r="AN16" s="5">
        <f>0.45*(T16-T15)+(1-0.45)*AN15</f>
        <v>5.8093755603777941E-2</v>
      </c>
      <c r="AO16" s="5">
        <f>0.85*(T16-T15)+(1-0.85)*AO15</f>
        <v>3.0795059311132925E-2</v>
      </c>
      <c r="AP16" s="5">
        <f>T16+AL16</f>
        <v>65.049619944600067</v>
      </c>
      <c r="AQ16" s="5">
        <f t="shared" si="4"/>
        <v>65.046469447290775</v>
      </c>
      <c r="AR16" s="5">
        <f t="shared" si="5"/>
        <v>65.064857337557555</v>
      </c>
      <c r="AS16" s="5">
        <f t="shared" si="6"/>
        <v>65.037558641264908</v>
      </c>
      <c r="AT16" s="5">
        <f t="shared" si="12"/>
        <v>0.79794505539993565</v>
      </c>
      <c r="AU16" s="5">
        <f t="shared" si="13"/>
        <v>111.10552355270923</v>
      </c>
      <c r="AV16" s="5">
        <f t="shared" si="7"/>
        <v>65.064857337557555</v>
      </c>
      <c r="AW16" s="5">
        <f t="shared" si="7"/>
        <v>0.23858348426286113</v>
      </c>
      <c r="AY16" s="5">
        <f>0.15*(Y16-Y15)+(1-0.15)*AY15</f>
        <v>-0.18109337690317115</v>
      </c>
      <c r="AZ16" s="5">
        <f>0.25*(Y16-Y15)+(1-0.25)*AZ15</f>
        <v>-0.13430462397842768</v>
      </c>
      <c r="BA16" s="5">
        <f>0.45*(Y16-Y15)+(1-0.45)*BA15</f>
        <v>0.14289303373115131</v>
      </c>
      <c r="BB16" s="5">
        <f>0.85*(Y16-Y15)+(1-0.85)*BB15</f>
        <v>0.7529666820871016</v>
      </c>
      <c r="BC16" s="5">
        <f>Y16+AY16</f>
        <v>174.31398027511796</v>
      </c>
      <c r="BD16" s="5">
        <f>Y16+AZ16</f>
        <v>174.36076902804268</v>
      </c>
      <c r="BE16" s="5">
        <f>Y16+BA16</f>
        <v>174.63796668575227</v>
      </c>
      <c r="BF16" s="5">
        <f>Y16+BB16</f>
        <v>175.24804033410823</v>
      </c>
      <c r="BG16" s="5">
        <f t="shared" si="14"/>
        <v>1.8380127248820486</v>
      </c>
      <c r="BH16" s="5">
        <f t="shared" si="15"/>
        <v>1.7912239719573222</v>
      </c>
      <c r="BI16" s="5">
        <f t="shared" si="16"/>
        <v>1.5140263142477295</v>
      </c>
      <c r="BJ16" s="5">
        <f t="shared" si="17"/>
        <v>0.90395266589177936</v>
      </c>
    </row>
    <row r="17" spans="13:62" x14ac:dyDescent="0.35">
      <c r="M17" s="2">
        <v>15</v>
      </c>
      <c r="N17" s="3">
        <v>43798</v>
      </c>
      <c r="O17" s="1">
        <v>65.702515000000005</v>
      </c>
      <c r="P17" s="1">
        <v>175.29785200000001</v>
      </c>
      <c r="R17" s="5">
        <f t="shared" si="8"/>
        <v>64.956263633451741</v>
      </c>
      <c r="S17" s="5">
        <f t="shared" si="9"/>
        <v>65.270145875181512</v>
      </c>
      <c r="T17" s="5">
        <f t="shared" si="10"/>
        <v>65.469204361879207</v>
      </c>
      <c r="U17" s="5">
        <f t="shared" si="11"/>
        <v>65.644399889865952</v>
      </c>
      <c r="V17" s="5"/>
      <c r="W17" s="5">
        <f>0.15*P16+(1-0.15)*W16</f>
        <v>175.48993577418253</v>
      </c>
      <c r="X17" s="5">
        <f>0.35*P16+(1-0.35)*X16</f>
        <v>175.08388876324568</v>
      </c>
      <c r="Y17" s="5">
        <f>0.55*P16+(1-0.55)*Y16</f>
        <v>175.40637929340951</v>
      </c>
      <c r="Z17" s="5">
        <f>0.75*P16+(1-0.75)*Z16</f>
        <v>175.81241302823094</v>
      </c>
      <c r="AB17" s="5">
        <f t="shared" si="0"/>
        <v>1.135803350219188</v>
      </c>
      <c r="AC17" s="5">
        <f t="shared" si="1"/>
        <v>0.65807088939973279</v>
      </c>
      <c r="AD17" s="5">
        <f t="shared" si="2"/>
        <v>0.35510153320736398</v>
      </c>
      <c r="AE17" s="5">
        <f t="shared" si="3"/>
        <v>8.8451880622916479E-2</v>
      </c>
      <c r="AG17" s="5">
        <f>ABS((P17-W17)/P17)*100</f>
        <v>0.10957565765410575</v>
      </c>
      <c r="AH17" s="5">
        <f>ABS((P17-X17)/P17)*100</f>
        <v>0.12205696436846487</v>
      </c>
      <c r="AI17" s="5">
        <f>ABS((P17-Y17)/P17)*100</f>
        <v>6.1910224324658994E-2</v>
      </c>
      <c r="AJ17" s="5">
        <f>ABS((P17-Z17)/P17)*100</f>
        <v>0.29353527288567638</v>
      </c>
      <c r="AL17" s="5">
        <f>0.15*(T17-T16)+(1-0.15)*AL16</f>
        <v>0.10579402523816452</v>
      </c>
      <c r="AM17" s="5">
        <f>0.25*(T17-T16)+(1-0.25)*AM16</f>
        <v>0.14538959398410373</v>
      </c>
      <c r="AN17" s="5">
        <f>0.45*(T17-T16)+(1-0.45)*AN16</f>
        <v>0.24004991654852137</v>
      </c>
      <c r="AO17" s="5">
        <f>0.85*(T17-T16)+(1-0.85)*AO16</f>
        <v>0.39769392183328539</v>
      </c>
      <c r="AP17" s="5">
        <f>T17+AL17</f>
        <v>65.574998387117375</v>
      </c>
      <c r="AQ17" s="5">
        <f t="shared" si="4"/>
        <v>65.614593955863313</v>
      </c>
      <c r="AR17" s="5">
        <f t="shared" si="5"/>
        <v>65.709254278427721</v>
      </c>
      <c r="AS17" s="5">
        <f t="shared" si="6"/>
        <v>65.866898283712487</v>
      </c>
      <c r="AT17" s="5">
        <f t="shared" si="12"/>
        <v>0.12751661288262994</v>
      </c>
      <c r="AU17" s="5">
        <f t="shared" si="13"/>
        <v>109.68325804413669</v>
      </c>
      <c r="AV17" s="5">
        <f t="shared" si="7"/>
        <v>65.709254278427721</v>
      </c>
      <c r="AW17" s="5">
        <f t="shared" si="7"/>
        <v>0.91063465026074653</v>
      </c>
      <c r="AY17" s="5">
        <f>0.15*(Y17-Y16)+(1-0.15)*AY16</f>
        <v>-1.7233524159436187E-2</v>
      </c>
      <c r="AZ17" s="5">
        <f>0.25*(Y17-Y16)+(1-0.25)*AZ16</f>
        <v>0.12709794236327807</v>
      </c>
      <c r="BA17" s="5">
        <f>0.45*(Y17-Y16)+(1-0.45)*BA16</f>
        <v>0.48867870717691114</v>
      </c>
      <c r="BB17" s="5">
        <f>0.85*(Y17-Y16)+(1-0.85)*BB16</f>
        <v>0.88755479749320121</v>
      </c>
      <c r="BC17" s="5">
        <f>Y17+AY17</f>
        <v>175.38914576925009</v>
      </c>
      <c r="BD17" s="5">
        <f>Y17+AZ17</f>
        <v>175.53347723577278</v>
      </c>
      <c r="BE17" s="5">
        <f>Y17+BA17</f>
        <v>175.89505800058643</v>
      </c>
      <c r="BF17" s="5">
        <f>Y17+BB17</f>
        <v>176.29393409090272</v>
      </c>
      <c r="BG17" s="5">
        <f t="shared" si="14"/>
        <v>9.1293769250086143E-2</v>
      </c>
      <c r="BH17" s="5">
        <f t="shared" si="15"/>
        <v>0.23562523577277261</v>
      </c>
      <c r="BI17" s="5">
        <f t="shared" si="16"/>
        <v>0.59720600058642503</v>
      </c>
      <c r="BJ17" s="5">
        <f t="shared" si="17"/>
        <v>0.99608209090271771</v>
      </c>
    </row>
    <row r="18" spans="13:62" x14ac:dyDescent="0.35">
      <c r="M18" s="2">
        <v>16</v>
      </c>
      <c r="N18" s="3">
        <v>43801</v>
      </c>
      <c r="O18" s="1">
        <v>64.942841000000001</v>
      </c>
      <c r="P18" s="1">
        <v>171.144913</v>
      </c>
      <c r="R18" s="5">
        <f t="shared" si="8"/>
        <v>65.06820133843398</v>
      </c>
      <c r="S18" s="5">
        <f t="shared" si="9"/>
        <v>65.421475068867977</v>
      </c>
      <c r="T18" s="5">
        <f t="shared" si="10"/>
        <v>65.597525212845653</v>
      </c>
      <c r="U18" s="5">
        <f t="shared" si="11"/>
        <v>65.687986222466492</v>
      </c>
      <c r="V18" s="5"/>
      <c r="W18" s="5">
        <f>0.15*P17+(1-0.15)*W17</f>
        <v>175.46112320805514</v>
      </c>
      <c r="X18" s="5">
        <f>0.35*P17+(1-0.35)*X17</f>
        <v>175.15877589610972</v>
      </c>
      <c r="Y18" s="5">
        <f>0.55*P17+(1-0.55)*Y17</f>
        <v>175.34668928203428</v>
      </c>
      <c r="Z18" s="5">
        <f>0.75*P17+(1-0.75)*Z17</f>
        <v>175.42649225705773</v>
      </c>
      <c r="AB18" s="5">
        <f t="shared" si="0"/>
        <v>0.1930318053593903</v>
      </c>
      <c r="AC18" s="5">
        <f t="shared" si="1"/>
        <v>0.73700820829192826</v>
      </c>
      <c r="AD18" s="5">
        <f t="shared" si="2"/>
        <v>1.0080929672381469</v>
      </c>
      <c r="AE18" s="5">
        <f t="shared" si="3"/>
        <v>1.1473862414896361</v>
      </c>
      <c r="AG18" s="5">
        <f>ABS((P18-W18)/P18)*100</f>
        <v>2.5219623139223186</v>
      </c>
      <c r="AH18" s="5">
        <f>ABS((P18-X18)/P18)*100</f>
        <v>2.345300731263753</v>
      </c>
      <c r="AI18" s="5">
        <f>ABS((P18-Y18)/P18)*100</f>
        <v>2.4550985526717199</v>
      </c>
      <c r="AJ18" s="5">
        <f>ABS((P18-Z18)/P18)*100</f>
        <v>2.501727443723512</v>
      </c>
      <c r="AL18" s="5">
        <f>0.15*(T18-T17)+(1-0.15)*AL17</f>
        <v>0.10917304909740677</v>
      </c>
      <c r="AM18" s="5">
        <f>0.25*(T18-T17)+(1-0.25)*AM17</f>
        <v>0.14112240822968936</v>
      </c>
      <c r="AN18" s="5">
        <f>0.45*(T18-T17)+(1-0.45)*AN17</f>
        <v>0.18977183703658754</v>
      </c>
      <c r="AO18" s="5">
        <f>0.85*(T18-T17)+(1-0.85)*AO17</f>
        <v>0.16872681159647207</v>
      </c>
      <c r="AP18" s="5">
        <f>T18+AL18</f>
        <v>65.70669826194306</v>
      </c>
      <c r="AQ18" s="5">
        <f t="shared" si="4"/>
        <v>65.738647621075344</v>
      </c>
      <c r="AR18" s="5">
        <f t="shared" si="5"/>
        <v>65.787297049882241</v>
      </c>
      <c r="AS18" s="5">
        <f t="shared" si="6"/>
        <v>65.766252024442124</v>
      </c>
      <c r="AT18" s="5">
        <f t="shared" si="12"/>
        <v>0.76385726194305903</v>
      </c>
      <c r="AU18" s="5">
        <f t="shared" si="13"/>
        <v>105.40626537892466</v>
      </c>
      <c r="AV18" s="5">
        <f t="shared" si="7"/>
        <v>65.787297049882241</v>
      </c>
      <c r="AW18" s="5">
        <f t="shared" si="7"/>
        <v>0.69805068600814479</v>
      </c>
      <c r="AY18" s="5">
        <f>0.15*(Y18-Y17)+(1-0.15)*AY17</f>
        <v>-2.3601997241806508E-2</v>
      </c>
      <c r="AZ18" s="5">
        <f>0.25*(Y18-Y17)+(1-0.25)*AZ17</f>
        <v>8.0400953928648961E-2</v>
      </c>
      <c r="BA18" s="5">
        <f>0.45*(Y18-Y17)+(1-0.45)*BA17</f>
        <v>0.24191278382844389</v>
      </c>
      <c r="BB18" s="5">
        <f>0.85*(Y18-Y17)+(1-0.85)*BB17</f>
        <v>8.2396709955027625E-2</v>
      </c>
      <c r="BC18" s="5">
        <f>Y18+AY18</f>
        <v>175.32308728479248</v>
      </c>
      <c r="BD18" s="5">
        <f>Y18+AZ18</f>
        <v>175.42709023596294</v>
      </c>
      <c r="BE18" s="5">
        <f>Y18+BA18</f>
        <v>175.58860206586272</v>
      </c>
      <c r="BF18" s="5">
        <f>Y18+BB18</f>
        <v>175.4290859919893</v>
      </c>
      <c r="BG18" s="5">
        <f t="shared" si="14"/>
        <v>4.1781742847924761</v>
      </c>
      <c r="BH18" s="5">
        <f t="shared" si="15"/>
        <v>4.2821772359629335</v>
      </c>
      <c r="BI18" s="5">
        <f t="shared" si="16"/>
        <v>4.4436890658627135</v>
      </c>
      <c r="BJ18" s="5">
        <f t="shared" si="17"/>
        <v>4.2841729919892941</v>
      </c>
    </row>
    <row r="19" spans="13:62" x14ac:dyDescent="0.35">
      <c r="M19" s="2">
        <v>17</v>
      </c>
      <c r="N19" s="3">
        <v>43802</v>
      </c>
      <c r="O19" s="1">
        <v>63.784916000000003</v>
      </c>
      <c r="P19" s="1">
        <v>169.40713500000001</v>
      </c>
      <c r="R19" s="5">
        <f t="shared" si="8"/>
        <v>65.049397287668882</v>
      </c>
      <c r="S19" s="5">
        <f t="shared" si="9"/>
        <v>65.253953144764182</v>
      </c>
      <c r="T19" s="5">
        <f t="shared" si="10"/>
        <v>65.237448895780545</v>
      </c>
      <c r="U19" s="5">
        <f t="shared" si="11"/>
        <v>65.129127305616635</v>
      </c>
      <c r="V19" s="5"/>
      <c r="W19" s="5">
        <f>0.15*P18+(1-0.15)*W18</f>
        <v>174.81369167684687</v>
      </c>
      <c r="X19" s="5">
        <f>0.35*P18+(1-0.35)*X18</f>
        <v>173.75392388247133</v>
      </c>
      <c r="Y19" s="5">
        <f>0.55*P18+(1-0.55)*Y18</f>
        <v>173.03571232691542</v>
      </c>
      <c r="Z19" s="5">
        <f>0.75*P18+(1-0.75)*Z18</f>
        <v>172.21530781426443</v>
      </c>
      <c r="AB19" s="5">
        <f t="shared" si="0"/>
        <v>1.9824142868964174</v>
      </c>
      <c r="AC19" s="5">
        <f t="shared" si="1"/>
        <v>2.3031105736098789</v>
      </c>
      <c r="AD19" s="5">
        <f t="shared" si="2"/>
        <v>2.2772357273003898</v>
      </c>
      <c r="AE19" s="5">
        <f t="shared" si="3"/>
        <v>2.1074125199390901</v>
      </c>
      <c r="AG19" s="5">
        <f>ABS((P19-W19)/P19)*100</f>
        <v>3.1914574771876412</v>
      </c>
      <c r="AH19" s="5">
        <f>ABS((P19-X19)/P19)*100</f>
        <v>2.5658830027857538</v>
      </c>
      <c r="AI19" s="5">
        <f>ABS((P19-Y19)/P19)*100</f>
        <v>2.1419270958778713</v>
      </c>
      <c r="AJ19" s="5">
        <f>ABS((P19-Z19)/P19)*100</f>
        <v>1.6576473088128336</v>
      </c>
      <c r="AL19" s="5">
        <f>0.15*(T19-T18)+(1-0.15)*AL18</f>
        <v>3.8785644173029585E-2</v>
      </c>
      <c r="AM19" s="5">
        <f>0.25*(T19-T18)+(1-0.25)*AM18</f>
        <v>1.582272690599007E-2</v>
      </c>
      <c r="AN19" s="5">
        <f>0.45*(T19-T18)+(1-0.45)*AN18</f>
        <v>-5.7659832309175346E-2</v>
      </c>
      <c r="AO19" s="5">
        <f>0.85*(T19-T18)+(1-0.85)*AO18</f>
        <v>-0.28075584776587081</v>
      </c>
      <c r="AP19" s="5">
        <f>T19+AL19</f>
        <v>65.276234539953577</v>
      </c>
      <c r="AQ19" s="5">
        <f t="shared" si="4"/>
        <v>65.25327162268654</v>
      </c>
      <c r="AR19" s="5">
        <f t="shared" si="5"/>
        <v>65.179789063471375</v>
      </c>
      <c r="AS19" s="5">
        <f t="shared" si="6"/>
        <v>64.956693048014671</v>
      </c>
      <c r="AT19" s="5">
        <f t="shared" si="12"/>
        <v>1.4913185399535749</v>
      </c>
      <c r="AU19" s="5">
        <f t="shared" si="13"/>
        <v>104.15386337731347</v>
      </c>
      <c r="AV19" s="5">
        <f t="shared" si="7"/>
        <v>65.179789063471375</v>
      </c>
      <c r="AW19" s="5">
        <f t="shared" si="7"/>
        <v>9.2704239654210596E-2</v>
      </c>
      <c r="AY19" s="5">
        <f>0.15*(Y19-Y18)+(1-0.15)*AY18</f>
        <v>-0.36670824092336463</v>
      </c>
      <c r="AZ19" s="5">
        <f>0.25*(Y19-Y18)+(1-0.25)*AZ18</f>
        <v>-0.51744352333322841</v>
      </c>
      <c r="BA19" s="5">
        <f>0.45*(Y19-Y18)+(1-0.45)*BA18</f>
        <v>-0.90688759869784319</v>
      </c>
      <c r="BB19" s="5">
        <f>0.85*(Y19-Y18)+(1-0.85)*BB18</f>
        <v>-1.9519709053577772</v>
      </c>
      <c r="BC19" s="5">
        <f>Y19+AY19</f>
        <v>172.66900408599204</v>
      </c>
      <c r="BD19" s="5">
        <f>Y19+AZ19</f>
        <v>172.51826880358217</v>
      </c>
      <c r="BE19" s="5">
        <f>Y19+BA19</f>
        <v>172.12882472821758</v>
      </c>
      <c r="BF19" s="5">
        <f>Y19+BB19</f>
        <v>171.08374142155765</v>
      </c>
      <c r="BG19" s="5">
        <f t="shared" si="14"/>
        <v>3.2618690859920321</v>
      </c>
      <c r="BH19" s="5">
        <f t="shared" si="15"/>
        <v>3.1111338035821632</v>
      </c>
      <c r="BI19" s="5">
        <f t="shared" si="16"/>
        <v>2.7216897282175694</v>
      </c>
      <c r="BJ19" s="5">
        <f t="shared" si="17"/>
        <v>1.6766064215576364</v>
      </c>
    </row>
    <row r="20" spans="13:62" x14ac:dyDescent="0.35">
      <c r="M20" s="2">
        <v>18</v>
      </c>
      <c r="N20" s="3">
        <v>43803</v>
      </c>
      <c r="O20" s="1">
        <v>64.347892999999999</v>
      </c>
      <c r="P20" s="1">
        <v>170.055115</v>
      </c>
      <c r="R20" s="5">
        <f t="shared" si="8"/>
        <v>64.859725094518552</v>
      </c>
      <c r="S20" s="5">
        <f t="shared" si="9"/>
        <v>64.739790144096716</v>
      </c>
      <c r="T20" s="5">
        <f t="shared" si="10"/>
        <v>64.438555803101252</v>
      </c>
      <c r="U20" s="5">
        <f t="shared" si="11"/>
        <v>64.120968826404152</v>
      </c>
      <c r="V20" s="5"/>
      <c r="W20" s="5">
        <f>0.15*P19+(1-0.15)*W19</f>
        <v>174.00270817531984</v>
      </c>
      <c r="X20" s="5">
        <f>0.35*P19+(1-0.35)*X19</f>
        <v>172.23254777360637</v>
      </c>
      <c r="Y20" s="5">
        <f>0.55*P19+(1-0.55)*Y19</f>
        <v>171.03999479711194</v>
      </c>
      <c r="Z20" s="5">
        <f>0.75*P19+(1-0.75)*Z19</f>
        <v>170.1091782035661</v>
      </c>
      <c r="AB20" s="5">
        <f t="shared" si="0"/>
        <v>0.79541391435855258</v>
      </c>
      <c r="AC20" s="5">
        <f t="shared" si="1"/>
        <v>0.60902871224814914</v>
      </c>
      <c r="AD20" s="5">
        <f t="shared" si="2"/>
        <v>0.14089475019990644</v>
      </c>
      <c r="AE20" s="5">
        <f t="shared" si="3"/>
        <v>0.35265206522900039</v>
      </c>
      <c r="AG20" s="5">
        <f>ABS((P20-W20)/P20)*100</f>
        <v>2.3213610336389108</v>
      </c>
      <c r="AH20" s="5">
        <f>ABS((P20-X20)/P20)*100</f>
        <v>1.2804276858160777</v>
      </c>
      <c r="AI20" s="5">
        <f>ABS((P20-Y20)/P20)*100</f>
        <v>0.5791532922205509</v>
      </c>
      <c r="AJ20" s="5">
        <f>ABS((P20-Z20)/P20)*100</f>
        <v>3.1791577434234747E-2</v>
      </c>
      <c r="AL20" s="5">
        <f>0.15*(T20-T19)+(1-0.15)*AL19</f>
        <v>-8.6866166354818836E-2</v>
      </c>
      <c r="AM20" s="5">
        <f>0.25*(T20-T19)+(1-0.25)*AM19</f>
        <v>-0.18785622799033075</v>
      </c>
      <c r="AN20" s="5">
        <f>0.45*(T20-T19)+(1-0.45)*AN19</f>
        <v>-0.3912147994757284</v>
      </c>
      <c r="AO20" s="5">
        <f>0.85*(T20-T19)+(1-0.85)*AO19</f>
        <v>-0.72117250594227977</v>
      </c>
      <c r="AP20" s="5">
        <f>T20+AL20</f>
        <v>64.351689636746428</v>
      </c>
      <c r="AQ20" s="5">
        <f t="shared" si="4"/>
        <v>64.250699575110914</v>
      </c>
      <c r="AR20" s="5">
        <f t="shared" si="5"/>
        <v>64.047341003625519</v>
      </c>
      <c r="AS20" s="5">
        <f t="shared" si="6"/>
        <v>63.717383297158975</v>
      </c>
      <c r="AT20" s="5">
        <f t="shared" si="12"/>
        <v>3.7966367464292716E-3</v>
      </c>
      <c r="AU20" s="5">
        <f t="shared" si="13"/>
        <v>105.80441542488909</v>
      </c>
      <c r="AV20" s="5">
        <f t="shared" ref="AT5:AW68" si="18">ABS(Q20-AR20)</f>
        <v>64.047341003625519</v>
      </c>
      <c r="AW20" s="5">
        <f t="shared" si="18"/>
        <v>1.1423417973595775</v>
      </c>
      <c r="AY20" s="5">
        <f>0.15*(Y20-Y19)+(1-0.15)*AY19</f>
        <v>-0.61105963425538068</v>
      </c>
      <c r="AZ20" s="5">
        <f>0.25*(Y20-Y19)+(1-0.25)*AZ19</f>
        <v>-0.88701202495078912</v>
      </c>
      <c r="BA20" s="5">
        <f>0.45*(Y20-Y19)+(1-0.45)*BA19</f>
        <v>-1.3968610676953759</v>
      </c>
      <c r="BB20" s="5">
        <f>0.85*(Y20-Y19)+(1-0.85)*BB19</f>
        <v>-1.9891555361366171</v>
      </c>
      <c r="BC20" s="5">
        <f>Y20+AY20</f>
        <v>170.42893516285656</v>
      </c>
      <c r="BD20" s="5">
        <f>Y20+AZ20</f>
        <v>170.15298277216115</v>
      </c>
      <c r="BE20" s="5">
        <f>Y20+BA20</f>
        <v>169.64313372941658</v>
      </c>
      <c r="BF20" s="5">
        <f>Y20+BB20</f>
        <v>169.05083926097532</v>
      </c>
      <c r="BG20" s="5">
        <f t="shared" si="14"/>
        <v>0.3738201628565605</v>
      </c>
      <c r="BH20" s="5">
        <f t="shared" si="15"/>
        <v>9.7867772161151834E-2</v>
      </c>
      <c r="BI20" s="5">
        <f t="shared" si="16"/>
        <v>0.41198127058342493</v>
      </c>
      <c r="BJ20" s="5">
        <f t="shared" si="17"/>
        <v>1.0042757390246777</v>
      </c>
    </row>
    <row r="21" spans="13:62" x14ac:dyDescent="0.35">
      <c r="M21" s="2">
        <v>19</v>
      </c>
      <c r="N21" s="3">
        <v>43804</v>
      </c>
      <c r="O21" s="1">
        <v>65.291945999999996</v>
      </c>
      <c r="P21" s="1">
        <v>170.84053</v>
      </c>
      <c r="R21" s="5">
        <f t="shared" si="8"/>
        <v>64.782950280340771</v>
      </c>
      <c r="S21" s="5">
        <f t="shared" si="9"/>
        <v>64.60262614366286</v>
      </c>
      <c r="T21" s="5">
        <f t="shared" si="10"/>
        <v>64.388691261395564</v>
      </c>
      <c r="U21" s="5">
        <f t="shared" si="11"/>
        <v>64.29116195660103</v>
      </c>
      <c r="V21" s="5"/>
      <c r="W21" s="5">
        <f>0.15*P20+(1-0.15)*W20</f>
        <v>173.41056919902184</v>
      </c>
      <c r="X21" s="5">
        <f>0.35*P20+(1-0.35)*X20</f>
        <v>171.47044630284415</v>
      </c>
      <c r="Y21" s="5">
        <f>0.55*P20+(1-0.55)*Y20</f>
        <v>170.49831090870038</v>
      </c>
      <c r="Z21" s="5">
        <f>0.75*P20+(1-0.75)*Z20</f>
        <v>170.06863080089153</v>
      </c>
      <c r="AB21" s="5">
        <f t="shared" si="0"/>
        <v>0.77956892211364814</v>
      </c>
      <c r="AC21" s="5">
        <f t="shared" si="1"/>
        <v>1.0557502089723834</v>
      </c>
      <c r="AD21" s="5">
        <f t="shared" si="2"/>
        <v>1.3834091246176541</v>
      </c>
      <c r="AE21" s="5">
        <f t="shared" si="3"/>
        <v>1.5327832982631053</v>
      </c>
      <c r="AG21" s="5">
        <f>ABS((P21-W21)/P21)*100</f>
        <v>1.5043498161834519</v>
      </c>
      <c r="AH21" s="5">
        <f>ABS((P21-X21)/P21)*100</f>
        <v>0.36871596151343666</v>
      </c>
      <c r="AI21" s="5">
        <f>ABS((P21-Y21)/P21)*100</f>
        <v>0.20031493188391869</v>
      </c>
      <c r="AJ21" s="5">
        <f>ABS((P21-Z21)/P21)*100</f>
        <v>0.45182439969512794</v>
      </c>
      <c r="AL21" s="5">
        <f>0.15*(T21-T20)+(1-0.15)*AL20</f>
        <v>-8.1315922657449163E-2</v>
      </c>
      <c r="AM21" s="5">
        <f>0.25*(T21-T20)+(1-0.25)*AM20</f>
        <v>-0.15335830641917</v>
      </c>
      <c r="AN21" s="5">
        <f>0.45*(T21-T20)+(1-0.45)*AN20</f>
        <v>-0.23760718347921014</v>
      </c>
      <c r="AO21" s="5">
        <f>0.85*(T21-T20)+(1-0.85)*AO20</f>
        <v>-0.15056073634117659</v>
      </c>
      <c r="AP21" s="5">
        <f>T21+AL21</f>
        <v>64.307375338738112</v>
      </c>
      <c r="AQ21" s="5">
        <f t="shared" si="4"/>
        <v>64.2353329549764</v>
      </c>
      <c r="AR21" s="5">
        <f t="shared" si="5"/>
        <v>64.151084077916352</v>
      </c>
      <c r="AS21" s="5">
        <f t="shared" si="6"/>
        <v>64.238130525054387</v>
      </c>
      <c r="AT21" s="5">
        <f t="shared" si="12"/>
        <v>0.98457066126188408</v>
      </c>
      <c r="AU21" s="5">
        <f t="shared" si="13"/>
        <v>106.6051970450236</v>
      </c>
      <c r="AV21" s="5">
        <f t="shared" si="18"/>
        <v>64.151084077916352</v>
      </c>
      <c r="AW21" s="5">
        <f t="shared" si="18"/>
        <v>0.54481975528638316</v>
      </c>
      <c r="AY21" s="5">
        <f>0.15*(Y21-Y20)+(1-0.15)*AY20</f>
        <v>-0.60065327237880894</v>
      </c>
      <c r="AZ21" s="5">
        <f>0.25*(Y21-Y20)+(1-0.25)*AZ20</f>
        <v>-0.80067999081598407</v>
      </c>
      <c r="BA21" s="5">
        <f>0.45*(Y21-Y20)+(1-0.45)*BA20</f>
        <v>-1.0120313370176628</v>
      </c>
      <c r="BB21" s="5">
        <f>0.85*(Y21-Y20)+(1-0.85)*BB20</f>
        <v>-0.7588046355703264</v>
      </c>
      <c r="BC21" s="5">
        <f>Y21+AY21</f>
        <v>169.89765763632155</v>
      </c>
      <c r="BD21" s="5">
        <f>Y21+AZ21</f>
        <v>169.6976309178844</v>
      </c>
      <c r="BE21" s="5">
        <f>Y21+BA21</f>
        <v>169.4862795716827</v>
      </c>
      <c r="BF21" s="5">
        <f>Y21+BB21</f>
        <v>169.73950627313005</v>
      </c>
      <c r="BG21" s="5">
        <f t="shared" si="14"/>
        <v>0.94287236367844685</v>
      </c>
      <c r="BH21" s="5">
        <f t="shared" si="15"/>
        <v>1.1428990821156049</v>
      </c>
      <c r="BI21" s="5">
        <f t="shared" si="16"/>
        <v>1.3542504283173002</v>
      </c>
      <c r="BJ21" s="5">
        <f t="shared" si="17"/>
        <v>1.1010237268699541</v>
      </c>
    </row>
    <row r="22" spans="13:62" x14ac:dyDescent="0.35">
      <c r="M22" s="2">
        <v>20</v>
      </c>
      <c r="N22" s="3">
        <v>43805</v>
      </c>
      <c r="O22" s="1">
        <v>66.553130999999993</v>
      </c>
      <c r="P22" s="1">
        <v>172.26414500000001</v>
      </c>
      <c r="R22" s="5">
        <f t="shared" si="8"/>
        <v>64.859299638289656</v>
      </c>
      <c r="S22" s="5">
        <f t="shared" si="9"/>
        <v>64.843888093380855</v>
      </c>
      <c r="T22" s="5">
        <f t="shared" si="10"/>
        <v>64.885481367628003</v>
      </c>
      <c r="U22" s="5">
        <f t="shared" si="11"/>
        <v>65.041749989150247</v>
      </c>
      <c r="V22" s="5"/>
      <c r="W22" s="5">
        <f>0.15*P21+(1-0.15)*W21</f>
        <v>173.02506331916857</v>
      </c>
      <c r="X22" s="5">
        <f>0.35*P21+(1-0.35)*X21</f>
        <v>171.24997559684869</v>
      </c>
      <c r="Y22" s="5">
        <f>0.55*P21+(1-0.55)*Y21</f>
        <v>170.68653140891519</v>
      </c>
      <c r="Z22" s="5">
        <f>0.75*P21+(1-0.75)*Z21</f>
        <v>170.64755520022288</v>
      </c>
      <c r="AB22" s="5">
        <f t="shared" si="0"/>
        <v>2.5450814052765414</v>
      </c>
      <c r="AC22" s="5">
        <f t="shared" si="1"/>
        <v>2.5682381594025063</v>
      </c>
      <c r="AD22" s="5">
        <f t="shared" si="2"/>
        <v>2.5057418145691606</v>
      </c>
      <c r="AE22" s="5">
        <f t="shared" si="3"/>
        <v>2.2709390048828002</v>
      </c>
      <c r="AG22" s="5">
        <f>ABS((P22-W22)/P22)*100</f>
        <v>0.44171601650973452</v>
      </c>
      <c r="AH22" s="5">
        <f>ABS((P22-X22)/P22)*100</f>
        <v>0.58872924667598592</v>
      </c>
      <c r="AI22" s="5">
        <f>ABS((P22-Y22)/P22)*100</f>
        <v>0.91581076902847469</v>
      </c>
      <c r="AJ22" s="5">
        <f>ABS((P22-Z22)/P22)*100</f>
        <v>0.93843660837090082</v>
      </c>
      <c r="AL22" s="5">
        <f>0.15*(T22-T21)+(1-0.15)*AL21</f>
        <v>5.3999816760340186E-3</v>
      </c>
      <c r="AM22" s="5">
        <f>0.25*(T22-T21)+(1-0.25)*AM21</f>
        <v>9.178796743732176E-3</v>
      </c>
      <c r="AN22" s="5">
        <f>0.45*(T22-T21)+(1-0.45)*AN21</f>
        <v>9.2871596891031832E-2</v>
      </c>
      <c r="AO22" s="5">
        <f>0.85*(T22-T21)+(1-0.85)*AO21</f>
        <v>0.39968747984639641</v>
      </c>
      <c r="AP22" s="5">
        <f>T22+AL22</f>
        <v>64.890881349304038</v>
      </c>
      <c r="AQ22" s="5">
        <f t="shared" si="4"/>
        <v>64.894660164371729</v>
      </c>
      <c r="AR22" s="5">
        <f t="shared" si="5"/>
        <v>64.978352964519033</v>
      </c>
      <c r="AS22" s="5">
        <f t="shared" si="6"/>
        <v>65.285168847474395</v>
      </c>
      <c r="AT22" s="5">
        <f t="shared" si="12"/>
        <v>1.662249650695955</v>
      </c>
      <c r="AU22" s="5">
        <f t="shared" si="13"/>
        <v>107.36948483562828</v>
      </c>
      <c r="AV22" s="5">
        <f t="shared" si="18"/>
        <v>64.978352964519033</v>
      </c>
      <c r="AW22" s="5">
        <f t="shared" si="18"/>
        <v>0.42586920918473936</v>
      </c>
      <c r="AY22" s="5">
        <f>0.15*(Y22-Y21)+(1-0.15)*AY21</f>
        <v>-0.48232220648976593</v>
      </c>
      <c r="AZ22" s="5">
        <f>0.25*(Y22-Y21)+(1-0.25)*AZ21</f>
        <v>-0.55345486805828525</v>
      </c>
      <c r="BA22" s="5">
        <f>0.45*(Y22-Y21)+(1-0.45)*BA21</f>
        <v>-0.47191801026304958</v>
      </c>
      <c r="BB22" s="5">
        <f>0.85*(Y22-Y21)+(1-0.85)*BB21</f>
        <v>4.6166729847040511E-2</v>
      </c>
      <c r="BC22" s="5">
        <f>Y22+AY22</f>
        <v>170.20420920242543</v>
      </c>
      <c r="BD22" s="5">
        <f>Y22+AZ22</f>
        <v>170.13307654085691</v>
      </c>
      <c r="BE22" s="5">
        <f>Y22+BA22</f>
        <v>170.21461339865215</v>
      </c>
      <c r="BF22" s="5">
        <f>Y22+BB22</f>
        <v>170.73269813876223</v>
      </c>
      <c r="BG22" s="5">
        <f t="shared" si="14"/>
        <v>2.0599357975745818</v>
      </c>
      <c r="BH22" s="5">
        <f t="shared" si="15"/>
        <v>2.1310684591431084</v>
      </c>
      <c r="BI22" s="5">
        <f t="shared" si="16"/>
        <v>2.0495316013478657</v>
      </c>
      <c r="BJ22" s="5">
        <f t="shared" si="17"/>
        <v>1.5314468612377823</v>
      </c>
    </row>
    <row r="23" spans="13:62" x14ac:dyDescent="0.35">
      <c r="M23" s="2">
        <v>21</v>
      </c>
      <c r="N23" s="3">
        <v>43808</v>
      </c>
      <c r="O23" s="1">
        <v>65.621384000000006</v>
      </c>
      <c r="P23" s="1">
        <v>171.31179800000001</v>
      </c>
      <c r="R23" s="5">
        <f t="shared" si="8"/>
        <v>65.113374342546209</v>
      </c>
      <c r="S23" s="5">
        <f t="shared" si="9"/>
        <v>65.442123110697551</v>
      </c>
      <c r="T23" s="5">
        <f t="shared" si="10"/>
        <v>65.802688665432598</v>
      </c>
      <c r="U23" s="5">
        <f t="shared" si="11"/>
        <v>66.175285747287546</v>
      </c>
      <c r="V23" s="5"/>
      <c r="W23" s="5">
        <f>0.15*P22+(1-0.15)*W22</f>
        <v>172.91092557129326</v>
      </c>
      <c r="X23" s="5">
        <f>0.35*P22+(1-0.35)*X22</f>
        <v>171.60493488795163</v>
      </c>
      <c r="Y23" s="5">
        <f>0.55*P22+(1-0.55)*Y22</f>
        <v>171.55421888401185</v>
      </c>
      <c r="Z23" s="5">
        <f>0.75*P22+(1-0.75)*Z22</f>
        <v>171.85999755005574</v>
      </c>
      <c r="AB23" s="5">
        <f t="shared" si="0"/>
        <v>0.7741526107614517</v>
      </c>
      <c r="AC23" s="5">
        <f t="shared" si="1"/>
        <v>0.27317450254090186</v>
      </c>
      <c r="AD23" s="5">
        <f t="shared" si="2"/>
        <v>0.27628899968429743</v>
      </c>
      <c r="AE23" s="5">
        <f t="shared" si="3"/>
        <v>0.84408726778383714</v>
      </c>
      <c r="AG23" s="5">
        <f>ABS((P23-W23)/P23)*100</f>
        <v>0.93346026949833993</v>
      </c>
      <c r="AH23" s="5">
        <f>ABS((P23-X23)/P23)*100</f>
        <v>0.17111307649203383</v>
      </c>
      <c r="AI23" s="5">
        <f>ABS((P23-Y23)/P23)*100</f>
        <v>0.14150857491545057</v>
      </c>
      <c r="AJ23" s="5">
        <f>ABS((P23-Z23)/P23)*100</f>
        <v>0.32000104864682322</v>
      </c>
      <c r="AL23" s="5">
        <f>0.15*(T23-T22)+(1-0.15)*AL22</f>
        <v>0.14217107909531809</v>
      </c>
      <c r="AM23" s="5">
        <f>0.25*(T23-T22)+(1-0.25)*AM22</f>
        <v>0.23618592200894778</v>
      </c>
      <c r="AN23" s="5">
        <f>0.45*(T23-T22)+(1-0.45)*AN22</f>
        <v>0.46382266230213515</v>
      </c>
      <c r="AO23" s="5">
        <f>0.85*(T23-T22)+(1-0.85)*AO22</f>
        <v>0.83957932511086486</v>
      </c>
      <c r="AP23" s="5">
        <f>T23+AL23</f>
        <v>65.944859744527918</v>
      </c>
      <c r="AQ23" s="5">
        <f t="shared" si="4"/>
        <v>66.038874587441541</v>
      </c>
      <c r="AR23" s="5">
        <f t="shared" si="5"/>
        <v>66.266511327734733</v>
      </c>
      <c r="AS23" s="5">
        <f t="shared" si="6"/>
        <v>66.642267990543459</v>
      </c>
      <c r="AT23" s="5">
        <f t="shared" si="12"/>
        <v>0.3234757445279115</v>
      </c>
      <c r="AU23" s="5">
        <f t="shared" si="13"/>
        <v>105.27292341255847</v>
      </c>
      <c r="AV23" s="5">
        <f t="shared" si="18"/>
        <v>66.266511327734733</v>
      </c>
      <c r="AW23" s="5">
        <f t="shared" si="18"/>
        <v>1.5288936479972506</v>
      </c>
      <c r="AY23" s="5">
        <f>0.15*(Y23-Y22)+(1-0.15)*AY22</f>
        <v>-0.2798207542518022</v>
      </c>
      <c r="AZ23" s="5">
        <f>0.25*(Y23-Y22)+(1-0.25)*AZ22</f>
        <v>-0.19816928226954922</v>
      </c>
      <c r="BA23" s="5">
        <f>0.45*(Y23-Y22)+(1-0.45)*BA22</f>
        <v>0.13090445814881924</v>
      </c>
      <c r="BB23" s="5">
        <f>0.85*(Y23-Y22)+(1-0.85)*BB22</f>
        <v>0.74445936330921625</v>
      </c>
      <c r="BC23" s="5">
        <f>Y23+AY23</f>
        <v>171.27439812976004</v>
      </c>
      <c r="BD23" s="5">
        <f>Y23+AZ23</f>
        <v>171.35604960174228</v>
      </c>
      <c r="BE23" s="5">
        <f>Y23+BA23</f>
        <v>171.68512334216067</v>
      </c>
      <c r="BF23" s="5">
        <f>Y23+BB23</f>
        <v>172.29867824732105</v>
      </c>
      <c r="BG23" s="5">
        <f t="shared" si="14"/>
        <v>3.7399870239966049E-2</v>
      </c>
      <c r="BH23" s="5">
        <f t="shared" si="15"/>
        <v>4.4251601742274715E-2</v>
      </c>
      <c r="BI23" s="5">
        <f t="shared" si="16"/>
        <v>0.37332534216065483</v>
      </c>
      <c r="BJ23" s="5">
        <f t="shared" si="17"/>
        <v>0.98688024732103941</v>
      </c>
    </row>
    <row r="24" spans="13:62" x14ac:dyDescent="0.35">
      <c r="M24" s="2">
        <v>22</v>
      </c>
      <c r="N24" s="3">
        <v>43809</v>
      </c>
      <c r="O24" s="1">
        <v>66.004897999999997</v>
      </c>
      <c r="P24" s="1">
        <v>170.86998</v>
      </c>
      <c r="R24" s="5">
        <f t="shared" si="8"/>
        <v>65.189575791164273</v>
      </c>
      <c r="S24" s="5">
        <f t="shared" si="9"/>
        <v>65.504864421953414</v>
      </c>
      <c r="T24" s="5">
        <f t="shared" si="10"/>
        <v>65.702971099444682</v>
      </c>
      <c r="U24" s="5">
        <f t="shared" si="11"/>
        <v>65.759859436821898</v>
      </c>
      <c r="V24" s="5"/>
      <c r="W24" s="5">
        <f>0.15*P23+(1-0.15)*W23</f>
        <v>172.67105643559927</v>
      </c>
      <c r="X24" s="5">
        <f>0.35*P23+(1-0.35)*X23</f>
        <v>171.50233697716857</v>
      </c>
      <c r="Y24" s="5">
        <f>0.55*P23+(1-0.55)*Y23</f>
        <v>171.42088739780533</v>
      </c>
      <c r="Z24" s="5">
        <f>0.75*P23+(1-0.75)*Z23</f>
        <v>171.44884788751395</v>
      </c>
      <c r="AB24" s="5">
        <f t="shared" si="0"/>
        <v>1.2352450099017258</v>
      </c>
      <c r="AC24" s="5">
        <f t="shared" si="1"/>
        <v>0.75757041249663504</v>
      </c>
      <c r="AD24" s="5">
        <f t="shared" si="2"/>
        <v>0.45743105391256805</v>
      </c>
      <c r="AE24" s="5">
        <f t="shared" si="3"/>
        <v>0.37124299953936585</v>
      </c>
      <c r="AG24" s="5">
        <f>ABS((P24-W24)/P24)*100</f>
        <v>1.0540625308197908</v>
      </c>
      <c r="AH24" s="5">
        <f>ABS((P24-X24)/P24)*100</f>
        <v>0.37008079310863723</v>
      </c>
      <c r="AI24" s="5">
        <f>ABS((P24-Y24)/P24)*100</f>
        <v>0.3224132160636598</v>
      </c>
      <c r="AJ24" s="5">
        <f>ABS((P24-Z24)/P24)*100</f>
        <v>0.33877682171786466</v>
      </c>
      <c r="AL24" s="5">
        <f>0.15*(T24-T23)+(1-0.15)*AL23</f>
        <v>0.10588778233283296</v>
      </c>
      <c r="AM24" s="5">
        <f>0.25*(T24-T23)+(1-0.25)*AM23</f>
        <v>0.15221005000973181</v>
      </c>
      <c r="AN24" s="5">
        <f>0.45*(T24-T23)+(1-0.45)*AN23</f>
        <v>0.21022955957161207</v>
      </c>
      <c r="AO24" s="5">
        <f>0.85*(T24-T23)+(1-0.85)*AO23</f>
        <v>4.117696767690103E-2</v>
      </c>
      <c r="AP24" s="5">
        <f>T24+AL24</f>
        <v>65.80885888177751</v>
      </c>
      <c r="AQ24" s="5">
        <f t="shared" si="4"/>
        <v>65.85518114945441</v>
      </c>
      <c r="AR24" s="5">
        <f t="shared" si="5"/>
        <v>65.913200659016297</v>
      </c>
      <c r="AS24" s="5">
        <f t="shared" si="6"/>
        <v>65.744148067121586</v>
      </c>
      <c r="AT24" s="5">
        <f t="shared" si="12"/>
        <v>0.19603911822248676</v>
      </c>
      <c r="AU24" s="5">
        <f t="shared" si="13"/>
        <v>105.01479885054559</v>
      </c>
      <c r="AV24" s="5">
        <f t="shared" si="18"/>
        <v>65.913200659016297</v>
      </c>
      <c r="AW24" s="5">
        <f t="shared" si="18"/>
        <v>0.5545722759573124</v>
      </c>
      <c r="AY24" s="5">
        <f>0.15*(Y24-Y23)+(1-0.15)*AY23</f>
        <v>-0.25784736404500913</v>
      </c>
      <c r="AZ24" s="5">
        <f>0.25*(Y24-Y23)+(1-0.25)*AZ23</f>
        <v>-0.1819598332537907</v>
      </c>
      <c r="BA24" s="5">
        <f>0.45*(Y24-Y23)+(1-0.45)*BA23</f>
        <v>1.1998283188918775E-2</v>
      </c>
      <c r="BB24" s="5">
        <f>0.85*(Y24-Y23)+(1-0.85)*BB23</f>
        <v>-1.66285877915541E-3</v>
      </c>
      <c r="BC24" s="5">
        <f>Y24+AY24</f>
        <v>171.16304003376032</v>
      </c>
      <c r="BD24" s="5">
        <f>Y24+AZ24</f>
        <v>171.23892756455155</v>
      </c>
      <c r="BE24" s="5">
        <f>Y24+BA24</f>
        <v>171.43288568099425</v>
      </c>
      <c r="BF24" s="5">
        <f>Y24+BB24</f>
        <v>171.41922453902617</v>
      </c>
      <c r="BG24" s="5">
        <f t="shared" si="14"/>
        <v>0.29306003376032663</v>
      </c>
      <c r="BH24" s="5">
        <f t="shared" si="15"/>
        <v>0.3689475645515472</v>
      </c>
      <c r="BI24" s="5">
        <f t="shared" si="16"/>
        <v>0.56290568099424831</v>
      </c>
      <c r="BJ24" s="5">
        <f t="shared" si="17"/>
        <v>0.54924453902617643</v>
      </c>
    </row>
    <row r="25" spans="13:62" x14ac:dyDescent="0.35">
      <c r="M25" s="2">
        <v>23</v>
      </c>
      <c r="N25" s="3">
        <v>43810</v>
      </c>
      <c r="O25" s="1">
        <v>66.567886000000001</v>
      </c>
      <c r="P25" s="1">
        <v>172.804092</v>
      </c>
      <c r="R25" s="5">
        <f t="shared" si="8"/>
        <v>65.311874122489627</v>
      </c>
      <c r="S25" s="5">
        <f t="shared" si="9"/>
        <v>65.679876174269708</v>
      </c>
      <c r="T25" s="5">
        <f t="shared" si="10"/>
        <v>65.869030894750097</v>
      </c>
      <c r="U25" s="5">
        <f t="shared" si="11"/>
        <v>65.943638359205465</v>
      </c>
      <c r="V25" s="5"/>
      <c r="W25" s="5">
        <f>0.15*P24+(1-0.15)*W24</f>
        <v>172.40089497025937</v>
      </c>
      <c r="X25" s="5">
        <f>0.35*P24+(1-0.35)*X24</f>
        <v>171.28101203515956</v>
      </c>
      <c r="Y25" s="5">
        <f>0.55*P24+(1-0.55)*Y24</f>
        <v>171.1178883290124</v>
      </c>
      <c r="Z25" s="5">
        <f>0.75*P24+(1-0.75)*Z24</f>
        <v>171.01469697187849</v>
      </c>
      <c r="AB25" s="5">
        <f t="shared" si="0"/>
        <v>1.8868135267362622</v>
      </c>
      <c r="AC25" s="5">
        <f t="shared" si="1"/>
        <v>1.3339913268843979</v>
      </c>
      <c r="AD25" s="5">
        <f t="shared" si="2"/>
        <v>1.0498382136544109</v>
      </c>
      <c r="AE25" s="5">
        <f t="shared" si="3"/>
        <v>0.93776095097046663</v>
      </c>
      <c r="AG25" s="5">
        <f>ABS((P25-W25)/P25)*100</f>
        <v>0.23332608914181538</v>
      </c>
      <c r="AH25" s="5">
        <f>ABS((P25-X25)/P25)*100</f>
        <v>0.88139114485809422</v>
      </c>
      <c r="AI25" s="5">
        <f>ABS((P25-Y25)/P25)*100</f>
        <v>0.97578920236888556</v>
      </c>
      <c r="AJ25" s="5">
        <f>ABS((P25-Z25)/P25)*100</f>
        <v>1.0355050088290179</v>
      </c>
      <c r="AL25" s="5">
        <f>0.15*(T25-T24)+(1-0.15)*AL24</f>
        <v>0.11491358427872027</v>
      </c>
      <c r="AM25" s="5">
        <f>0.25*(T25-T24)+(1-0.25)*AM24</f>
        <v>0.1556724863336526</v>
      </c>
      <c r="AN25" s="5">
        <f>0.45*(T25-T24)+(1-0.45)*AN24</f>
        <v>0.19035316565182342</v>
      </c>
      <c r="AO25" s="5">
        <f>0.85*(T25-T24)+(1-0.85)*AO24</f>
        <v>0.14732737116113792</v>
      </c>
      <c r="AP25" s="5">
        <f>T25+AL25</f>
        <v>65.983944479028821</v>
      </c>
      <c r="AQ25" s="5">
        <f t="shared" si="4"/>
        <v>66.024703381083754</v>
      </c>
      <c r="AR25" s="5">
        <f t="shared" si="5"/>
        <v>66.059384060401925</v>
      </c>
      <c r="AS25" s="5">
        <f t="shared" si="6"/>
        <v>66.016358265911236</v>
      </c>
      <c r="AT25" s="5">
        <f t="shared" si="12"/>
        <v>0.58394152097118024</v>
      </c>
      <c r="AU25" s="5">
        <f t="shared" si="13"/>
        <v>106.77938861891624</v>
      </c>
      <c r="AV25" s="5">
        <f t="shared" si="18"/>
        <v>66.059384060401925</v>
      </c>
      <c r="AW25" s="5">
        <f t="shared" si="18"/>
        <v>0.70448414342160959</v>
      </c>
      <c r="AY25" s="5">
        <f>0.15*(Y25-Y24)+(1-0.15)*AY24</f>
        <v>-0.26462011975719701</v>
      </c>
      <c r="AZ25" s="5">
        <f>0.25*(Y25-Y24)+(1-0.25)*AZ24</f>
        <v>-0.21221964213857514</v>
      </c>
      <c r="BA25" s="5">
        <f>0.45*(Y25-Y24)+(1-0.45)*BA24</f>
        <v>-0.1297505252029125</v>
      </c>
      <c r="BB25" s="5">
        <f>0.85*(Y25-Y24)+(1-0.85)*BB24</f>
        <v>-0.2577986372908625</v>
      </c>
      <c r="BC25" s="5">
        <f>Y25+AY25</f>
        <v>170.85326820925519</v>
      </c>
      <c r="BD25" s="5">
        <f>Y25+AZ25</f>
        <v>170.90566868687384</v>
      </c>
      <c r="BE25" s="5">
        <f>Y25+BA25</f>
        <v>170.98813780380948</v>
      </c>
      <c r="BF25" s="5">
        <f>Y25+BB25</f>
        <v>170.86008969172153</v>
      </c>
      <c r="BG25" s="5">
        <f t="shared" si="14"/>
        <v>1.9508237907448063</v>
      </c>
      <c r="BH25" s="5">
        <f t="shared" si="15"/>
        <v>1.898423313126159</v>
      </c>
      <c r="BI25" s="5">
        <f t="shared" si="16"/>
        <v>1.8159541961905177</v>
      </c>
      <c r="BJ25" s="5">
        <f t="shared" si="17"/>
        <v>1.9440023082784705</v>
      </c>
    </row>
    <row r="26" spans="13:62" x14ac:dyDescent="0.35">
      <c r="M26" s="2">
        <v>24</v>
      </c>
      <c r="N26" s="3">
        <v>43811</v>
      </c>
      <c r="O26" s="1">
        <v>66.737517999999994</v>
      </c>
      <c r="P26" s="1">
        <v>174.15898100000001</v>
      </c>
      <c r="R26" s="5">
        <f t="shared" si="8"/>
        <v>65.50027590411618</v>
      </c>
      <c r="S26" s="5">
        <f t="shared" si="9"/>
        <v>65.990679613275304</v>
      </c>
      <c r="T26" s="5">
        <f t="shared" si="10"/>
        <v>66.253401202637548</v>
      </c>
      <c r="U26" s="5">
        <f t="shared" si="11"/>
        <v>66.411824089801371</v>
      </c>
      <c r="V26" s="5"/>
      <c r="W26" s="5">
        <f>0.15*P25+(1-0.15)*W25</f>
        <v>172.46137452472044</v>
      </c>
      <c r="X26" s="5">
        <f>0.35*P25+(1-0.35)*X25</f>
        <v>171.81409002285372</v>
      </c>
      <c r="Y26" s="5">
        <f>0.55*P25+(1-0.55)*Y25</f>
        <v>172.04530034805558</v>
      </c>
      <c r="Z26" s="5">
        <f>0.75*P25+(1-0.75)*Z25</f>
        <v>172.35674324296963</v>
      </c>
      <c r="AB26" s="5">
        <f t="shared" si="0"/>
        <v>1.8538928820874263</v>
      </c>
      <c r="AC26" s="5">
        <f t="shared" si="1"/>
        <v>1.1190682679039547</v>
      </c>
      <c r="AD26" s="5">
        <f t="shared" si="2"/>
        <v>0.72540425816022491</v>
      </c>
      <c r="AE26" s="5">
        <f t="shared" si="3"/>
        <v>0.48802220993388368</v>
      </c>
      <c r="AG26" s="5">
        <f>ABS((P26-W26)/P26)*100</f>
        <v>0.97474529624146722</v>
      </c>
      <c r="AH26" s="5">
        <f>ABS((P26-X26)/P26)*100</f>
        <v>1.3464083010145149</v>
      </c>
      <c r="AI26" s="5">
        <f>ABS((P26-Y26)/P26)*100</f>
        <v>1.2136501028014368</v>
      </c>
      <c r="AJ26" s="5">
        <f>ABS((P26-Z26)/P26)*100</f>
        <v>1.0348233244603005</v>
      </c>
      <c r="AL26" s="5">
        <f>0.15*(T26-T25)+(1-0.15)*AL25</f>
        <v>0.15533209282002991</v>
      </c>
      <c r="AM26" s="5">
        <f>0.25*(T26-T25)+(1-0.25)*AM25</f>
        <v>0.21284694172210225</v>
      </c>
      <c r="AN26" s="5">
        <f>0.45*(T26-T25)+(1-0.45)*AN25</f>
        <v>0.27766087965785591</v>
      </c>
      <c r="AO26" s="5">
        <f>0.85*(T26-T25)+(1-0.85)*AO25</f>
        <v>0.34881386737850417</v>
      </c>
      <c r="AP26" s="5">
        <f>T26+AL26</f>
        <v>66.40873329545758</v>
      </c>
      <c r="AQ26" s="5">
        <f t="shared" si="4"/>
        <v>66.466248144359653</v>
      </c>
      <c r="AR26" s="5">
        <f t="shared" si="5"/>
        <v>66.531062082295406</v>
      </c>
      <c r="AS26" s="5">
        <f t="shared" si="6"/>
        <v>66.602215070016058</v>
      </c>
      <c r="AT26" s="5">
        <f t="shared" si="12"/>
        <v>0.32878470454241437</v>
      </c>
      <c r="AU26" s="5">
        <f t="shared" si="13"/>
        <v>107.69273285564036</v>
      </c>
      <c r="AV26" s="5">
        <f t="shared" si="18"/>
        <v>66.531062082295406</v>
      </c>
      <c r="AW26" s="5">
        <f t="shared" si="18"/>
        <v>1.1019391658998785</v>
      </c>
      <c r="AY26" s="5">
        <f>0.15*(Y26-Y25)+(1-0.15)*AY25</f>
        <v>-8.5815298937141293E-2</v>
      </c>
      <c r="AZ26" s="5">
        <f>0.25*(Y26-Y25)+(1-0.25)*AZ25</f>
        <v>7.2688273156862271E-2</v>
      </c>
      <c r="BA26" s="5">
        <f>0.45*(Y26-Y25)+(1-0.45)*BA25</f>
        <v>0.34597261970782667</v>
      </c>
      <c r="BB26" s="5">
        <f>0.85*(Y26-Y25)+(1-0.85)*BB25</f>
        <v>0.74963042059306895</v>
      </c>
      <c r="BC26" s="5">
        <f>Y26+AY26</f>
        <v>171.95948504911843</v>
      </c>
      <c r="BD26" s="5">
        <f>Y26+AZ26</f>
        <v>172.11798862121245</v>
      </c>
      <c r="BE26" s="5">
        <f>Y26+BA26</f>
        <v>172.3912729677634</v>
      </c>
      <c r="BF26" s="5">
        <f>Y26+BB26</f>
        <v>172.79493076864864</v>
      </c>
      <c r="BG26" s="5">
        <f t="shared" si="14"/>
        <v>2.1994959508815839</v>
      </c>
      <c r="BH26" s="5">
        <f t="shared" si="15"/>
        <v>2.0409923787875641</v>
      </c>
      <c r="BI26" s="5">
        <f t="shared" si="16"/>
        <v>1.7677080322366123</v>
      </c>
      <c r="BJ26" s="5">
        <f t="shared" si="17"/>
        <v>1.3640502313513707</v>
      </c>
    </row>
    <row r="27" spans="13:62" x14ac:dyDescent="0.35">
      <c r="M27" s="2">
        <v>25</v>
      </c>
      <c r="N27" s="3">
        <v>43812</v>
      </c>
      <c r="O27" s="1">
        <v>67.644706999999997</v>
      </c>
      <c r="P27" s="1">
        <v>173.756439</v>
      </c>
      <c r="R27" s="5">
        <f t="shared" si="8"/>
        <v>65.685862218498741</v>
      </c>
      <c r="S27" s="5">
        <f t="shared" si="9"/>
        <v>66.252073048628944</v>
      </c>
      <c r="T27" s="5">
        <f t="shared" si="10"/>
        <v>66.519665441186902</v>
      </c>
      <c r="U27" s="5">
        <f t="shared" si="11"/>
        <v>66.656094522450331</v>
      </c>
      <c r="V27" s="5"/>
      <c r="W27" s="5">
        <f>0.15*P26+(1-0.15)*W26</f>
        <v>172.71601549601235</v>
      </c>
      <c r="X27" s="5">
        <f>0.35*P26+(1-0.35)*X26</f>
        <v>172.63480186485492</v>
      </c>
      <c r="Y27" s="5">
        <f>0.55*P26+(1-0.55)*Y26</f>
        <v>173.20782470662502</v>
      </c>
      <c r="Z27" s="5">
        <f>0.75*P26+(1-0.75)*Z26</f>
        <v>173.70842156074241</v>
      </c>
      <c r="AB27" s="5">
        <f t="shared" si="0"/>
        <v>2.8957842651329035</v>
      </c>
      <c r="AC27" s="5">
        <f t="shared" si="1"/>
        <v>2.0587478505466112</v>
      </c>
      <c r="AD27" s="5">
        <f t="shared" si="2"/>
        <v>1.6631627346883104</v>
      </c>
      <c r="AE27" s="5">
        <f t="shared" si="3"/>
        <v>1.4614779505951079</v>
      </c>
      <c r="AG27" s="5">
        <f>ABS((P27-W27)/P27)*100</f>
        <v>0.59878270409746015</v>
      </c>
      <c r="AH27" s="5">
        <f>ABS((P27-X27)/P27)*100</f>
        <v>0.6455226301829764</v>
      </c>
      <c r="AI27" s="5">
        <f>ABS((P27-Y27)/P27)*100</f>
        <v>0.31573753268215965</v>
      </c>
      <c r="AJ27" s="5">
        <f>ABS((P27-Z27)/P27)*100</f>
        <v>2.7634912141351969E-2</v>
      </c>
      <c r="AL27" s="5">
        <f>0.15*(T27-T26)+(1-0.15)*AL26</f>
        <v>0.17197191467942854</v>
      </c>
      <c r="AM27" s="5">
        <f>0.25*(T27-T26)+(1-0.25)*AM26</f>
        <v>0.22620126592891521</v>
      </c>
      <c r="AN27" s="5">
        <f>0.45*(T27-T26)+(1-0.45)*AN26</f>
        <v>0.27253239115903011</v>
      </c>
      <c r="AO27" s="5">
        <f>0.85*(T27-T26)+(1-0.85)*AO26</f>
        <v>0.27864668287372663</v>
      </c>
      <c r="AP27" s="5">
        <f>T27+AL27</f>
        <v>66.691637355866334</v>
      </c>
      <c r="AQ27" s="5">
        <f t="shared" si="4"/>
        <v>66.745866707115823</v>
      </c>
      <c r="AR27" s="5">
        <f t="shared" si="5"/>
        <v>66.792197832345934</v>
      </c>
      <c r="AS27" s="5">
        <f t="shared" si="6"/>
        <v>66.798312124060629</v>
      </c>
      <c r="AT27" s="5">
        <f t="shared" si="12"/>
        <v>0.95306964413366302</v>
      </c>
      <c r="AU27" s="5">
        <f t="shared" si="13"/>
        <v>107.01057229288418</v>
      </c>
      <c r="AV27" s="5">
        <f t="shared" si="18"/>
        <v>66.792197832345934</v>
      </c>
      <c r="AW27" s="5">
        <f t="shared" si="18"/>
        <v>1.1124499055618884</v>
      </c>
      <c r="AY27" s="5">
        <f>0.15*(Y27-Y26)+(1-0.15)*AY26</f>
        <v>0.10143564968884622</v>
      </c>
      <c r="AZ27" s="5">
        <f>0.25*(Y27-Y26)+(1-0.25)*AZ26</f>
        <v>0.3451472945100072</v>
      </c>
      <c r="BA27" s="5">
        <f>0.45*(Y27-Y26)+(1-0.45)*BA26</f>
        <v>0.71342090219555365</v>
      </c>
      <c r="BB27" s="5">
        <f>0.85*(Y27-Y26)+(1-0.85)*BB26</f>
        <v>1.1005902678729862</v>
      </c>
      <c r="BC27" s="5">
        <f>Y27+AY27</f>
        <v>173.30926035631387</v>
      </c>
      <c r="BD27" s="5">
        <f>Y27+AZ27</f>
        <v>173.55297200113503</v>
      </c>
      <c r="BE27" s="5">
        <f>Y27+BA27</f>
        <v>173.92124560882058</v>
      </c>
      <c r="BF27" s="5">
        <f>Y27+BB27</f>
        <v>174.30841497449799</v>
      </c>
      <c r="BG27" s="5">
        <f t="shared" si="14"/>
        <v>0.44717864368612936</v>
      </c>
      <c r="BH27" s="5">
        <f t="shared" si="15"/>
        <v>0.20346699886496822</v>
      </c>
      <c r="BI27" s="5">
        <f t="shared" si="16"/>
        <v>0.16480660882058373</v>
      </c>
      <c r="BJ27" s="5">
        <f t="shared" si="17"/>
        <v>0.55197597449799218</v>
      </c>
    </row>
    <row r="28" spans="13:62" x14ac:dyDescent="0.35">
      <c r="M28" s="2">
        <v>26</v>
      </c>
      <c r="N28" s="3">
        <v>43815</v>
      </c>
      <c r="O28" s="1">
        <v>68.802634999999995</v>
      </c>
      <c r="P28" s="1">
        <v>173.18699599999999</v>
      </c>
      <c r="R28" s="5">
        <f t="shared" si="8"/>
        <v>65.979688935723928</v>
      </c>
      <c r="S28" s="5">
        <f t="shared" si="9"/>
        <v>66.739494931608817</v>
      </c>
      <c r="T28" s="5">
        <f t="shared" si="10"/>
        <v>67.138438298534112</v>
      </c>
      <c r="U28" s="5">
        <f t="shared" si="11"/>
        <v>67.397553880612577</v>
      </c>
      <c r="V28" s="5"/>
      <c r="W28" s="5">
        <f>0.15*P27+(1-0.15)*W27</f>
        <v>172.87207902161049</v>
      </c>
      <c r="X28" s="5">
        <f>0.35*P27+(1-0.35)*X27</f>
        <v>173.02737486215568</v>
      </c>
      <c r="Y28" s="5">
        <f>0.55*P27+(1-0.55)*Y27</f>
        <v>173.50956256798128</v>
      </c>
      <c r="Z28" s="5">
        <f>0.75*P27+(1-0.75)*Z27</f>
        <v>173.7444346401856</v>
      </c>
      <c r="AB28" s="5">
        <f t="shared" si="0"/>
        <v>4.1029621384065704</v>
      </c>
      <c r="AC28" s="5">
        <f t="shared" si="1"/>
        <v>2.9986352534189686</v>
      </c>
      <c r="AD28" s="5">
        <f t="shared" si="2"/>
        <v>2.4187979159023243</v>
      </c>
      <c r="AE28" s="5">
        <f t="shared" si="3"/>
        <v>2.0421908541546676</v>
      </c>
      <c r="AG28" s="5">
        <f>ABS((P28-W28)/P28)*100</f>
        <v>0.1818363882179149</v>
      </c>
      <c r="AH28" s="5">
        <f>ABS((P28-X28)/P28)*100</f>
        <v>9.2166930272473538E-2</v>
      </c>
      <c r="AI28" s="5">
        <f>ABS((P28-Y28)/P28)*100</f>
        <v>0.18625334201263211</v>
      </c>
      <c r="AJ28" s="5">
        <f>ABS((P28-Z28)/P28)*100</f>
        <v>0.32187095628450585</v>
      </c>
      <c r="AL28" s="5">
        <f>0.15*(T28-T27)+(1-0.15)*AL27</f>
        <v>0.23899205607959578</v>
      </c>
      <c r="AM28" s="5">
        <f>0.25*(T28-T27)+(1-0.25)*AM27</f>
        <v>0.3243441637834889</v>
      </c>
      <c r="AN28" s="5">
        <f>0.45*(T28-T27)+(1-0.45)*AN27</f>
        <v>0.42834060094371107</v>
      </c>
      <c r="AO28" s="5">
        <f>0.85*(T28-T27)+(1-0.85)*AO27</f>
        <v>0.56775393117618744</v>
      </c>
      <c r="AP28" s="5">
        <f>T28+AL28</f>
        <v>67.377430354613708</v>
      </c>
      <c r="AQ28" s="5">
        <f t="shared" si="4"/>
        <v>67.462782462317605</v>
      </c>
      <c r="AR28" s="5">
        <f t="shared" si="5"/>
        <v>67.566778899477825</v>
      </c>
      <c r="AS28" s="5">
        <f t="shared" si="6"/>
        <v>67.706192229710297</v>
      </c>
      <c r="AT28" s="5">
        <f t="shared" si="12"/>
        <v>1.4252046453862874</v>
      </c>
      <c r="AU28" s="5">
        <f t="shared" si="13"/>
        <v>105.72421353768239</v>
      </c>
      <c r="AV28" s="5">
        <f t="shared" si="18"/>
        <v>67.566778899477825</v>
      </c>
      <c r="AW28" s="5">
        <f t="shared" si="18"/>
        <v>1.7265032939863687</v>
      </c>
      <c r="AY28" s="5">
        <f>0.15*(Y28-Y27)+(1-0.15)*AY27</f>
        <v>0.13148098143895806</v>
      </c>
      <c r="AZ28" s="5">
        <f>0.25*(Y28-Y27)+(1-0.25)*AZ27</f>
        <v>0.33429493622157003</v>
      </c>
      <c r="BA28" s="5">
        <f>0.45*(Y28-Y27)+(1-0.45)*BA27</f>
        <v>0.52816353381787084</v>
      </c>
      <c r="BB28" s="5">
        <f>0.85*(Y28-Y27)+(1-0.85)*BB27</f>
        <v>0.42156572233376766</v>
      </c>
      <c r="BC28" s="5">
        <f>Y28+AY28</f>
        <v>173.64104354942023</v>
      </c>
      <c r="BD28" s="5">
        <f>Y28+AZ28</f>
        <v>173.84385750420284</v>
      </c>
      <c r="BE28" s="5">
        <f>Y28+BA28</f>
        <v>174.03772610179914</v>
      </c>
      <c r="BF28" s="5">
        <f>Y28+BB28</f>
        <v>173.93112829031506</v>
      </c>
      <c r="BG28" s="5">
        <f t="shared" si="14"/>
        <v>0.45404754942023828</v>
      </c>
      <c r="BH28" s="5">
        <f t="shared" si="15"/>
        <v>0.65686150420285117</v>
      </c>
      <c r="BI28" s="5">
        <f t="shared" si="16"/>
        <v>0.85073010179914377</v>
      </c>
      <c r="BJ28" s="5">
        <f t="shared" si="17"/>
        <v>0.74413229031506489</v>
      </c>
    </row>
    <row r="29" spans="13:62" x14ac:dyDescent="0.35">
      <c r="M29" s="2">
        <v>27</v>
      </c>
      <c r="N29" s="3">
        <v>43816</v>
      </c>
      <c r="O29" s="1">
        <v>68.937850999999995</v>
      </c>
      <c r="P29" s="1">
        <v>173.481537</v>
      </c>
      <c r="R29" s="5">
        <f t="shared" si="8"/>
        <v>66.403130845365339</v>
      </c>
      <c r="S29" s="5">
        <f t="shared" si="9"/>
        <v>67.461593955545723</v>
      </c>
      <c r="T29" s="5">
        <f t="shared" si="10"/>
        <v>68.053746484340351</v>
      </c>
      <c r="U29" s="5">
        <f t="shared" si="11"/>
        <v>68.451364720153137</v>
      </c>
      <c r="V29" s="5"/>
      <c r="W29" s="5">
        <f>0.15*P28+(1-0.15)*W28</f>
        <v>172.91931656836891</v>
      </c>
      <c r="X29" s="5">
        <f>0.35*P28+(1-0.35)*X28</f>
        <v>173.08324226040119</v>
      </c>
      <c r="Y29" s="5">
        <f>0.55*P28+(1-0.55)*Y28</f>
        <v>173.33215095559154</v>
      </c>
      <c r="Z29" s="5">
        <f>0.75*P28+(1-0.75)*Z28</f>
        <v>173.32635566004637</v>
      </c>
      <c r="AB29" s="5">
        <f t="shared" si="0"/>
        <v>3.6768192188564965</v>
      </c>
      <c r="AC29" s="5">
        <f t="shared" si="1"/>
        <v>2.1414317722991858</v>
      </c>
      <c r="AD29" s="5">
        <f t="shared" si="2"/>
        <v>1.2824660224172693</v>
      </c>
      <c r="AE29" s="5">
        <f t="shared" si="3"/>
        <v>0.70568820000910371</v>
      </c>
      <c r="AG29" s="5">
        <f>ABS((P29-W29)/P29)*100</f>
        <v>0.32408084534730053</v>
      </c>
      <c r="AH29" s="5">
        <f>ABS((P29-X29)/P29)*100</f>
        <v>0.22958912313464835</v>
      </c>
      <c r="AI29" s="5">
        <f>ABS((P29-Y29)/P29)*100</f>
        <v>8.6110629979292225E-2</v>
      </c>
      <c r="AJ29" s="5">
        <f>ABS((P29-Z29)/P29)*100</f>
        <v>8.9451213447358721E-2</v>
      </c>
      <c r="AL29" s="5">
        <f>0.15*(T29-T28)+(1-0.15)*AL28</f>
        <v>0.34043947553859233</v>
      </c>
      <c r="AM29" s="5">
        <f>0.25*(T29-T28)+(1-0.25)*AM28</f>
        <v>0.47208516928917649</v>
      </c>
      <c r="AN29" s="5">
        <f>0.45*(T29-T28)+(1-0.45)*AN28</f>
        <v>0.64747601413184874</v>
      </c>
      <c r="AO29" s="5">
        <f>0.85*(T29-T28)+(1-0.85)*AO28</f>
        <v>0.86317504761173158</v>
      </c>
      <c r="AP29" s="5">
        <f>T29+AL29</f>
        <v>68.394185959878939</v>
      </c>
      <c r="AQ29" s="5">
        <f t="shared" si="4"/>
        <v>68.525831653629524</v>
      </c>
      <c r="AR29" s="5">
        <f t="shared" si="5"/>
        <v>68.701222498472205</v>
      </c>
      <c r="AS29" s="5">
        <f t="shared" si="6"/>
        <v>68.916921531952084</v>
      </c>
      <c r="AT29" s="5">
        <f t="shared" si="12"/>
        <v>0.54366504012105565</v>
      </c>
      <c r="AU29" s="5">
        <f t="shared" si="13"/>
        <v>104.95570534637048</v>
      </c>
      <c r="AV29" s="5">
        <f t="shared" si="18"/>
        <v>68.701222498472205</v>
      </c>
      <c r="AW29" s="5">
        <f t="shared" si="18"/>
        <v>2.513790686586745</v>
      </c>
      <c r="AY29" s="5">
        <f>0.15*(Y29-Y28)+(1-0.15)*AY28</f>
        <v>8.5147092364654411E-2</v>
      </c>
      <c r="AZ29" s="5">
        <f>0.25*(Y29-Y28)+(1-0.25)*AZ28</f>
        <v>0.20636829906874432</v>
      </c>
      <c r="BA29" s="5">
        <f>0.45*(Y29-Y28)+(1-0.45)*BA28</f>
        <v>0.21065471802444918</v>
      </c>
      <c r="BB29" s="5">
        <f>0.85*(Y29-Y28)+(1-0.85)*BB28</f>
        <v>-8.756501218120781E-2</v>
      </c>
      <c r="BC29" s="5">
        <f>Y29+AY29</f>
        <v>173.41729804795619</v>
      </c>
      <c r="BD29" s="5">
        <f>Y29+AZ29</f>
        <v>173.53851925466029</v>
      </c>
      <c r="BE29" s="5">
        <f>Y29+BA29</f>
        <v>173.54280567361599</v>
      </c>
      <c r="BF29" s="5">
        <f>Y29+BB29</f>
        <v>173.24458594341033</v>
      </c>
      <c r="BG29" s="5">
        <f t="shared" si="14"/>
        <v>6.4238952043808695E-2</v>
      </c>
      <c r="BH29" s="5">
        <f t="shared" si="15"/>
        <v>5.6982254660283616E-2</v>
      </c>
      <c r="BI29" s="5">
        <f t="shared" si="16"/>
        <v>6.1268673615984426E-2</v>
      </c>
      <c r="BJ29" s="5">
        <f t="shared" si="17"/>
        <v>0.23695105658967464</v>
      </c>
    </row>
    <row r="30" spans="13:62" x14ac:dyDescent="0.35">
      <c r="M30" s="2">
        <v>28</v>
      </c>
      <c r="N30" s="3">
        <v>43817</v>
      </c>
      <c r="O30" s="1">
        <v>68.773132000000004</v>
      </c>
      <c r="P30" s="1">
        <v>171.45906099999999</v>
      </c>
      <c r="R30" s="5">
        <f t="shared" si="8"/>
        <v>66.783338868560534</v>
      </c>
      <c r="S30" s="5">
        <f t="shared" si="9"/>
        <v>67.978283921104719</v>
      </c>
      <c r="T30" s="5">
        <f t="shared" si="10"/>
        <v>68.540003967953155</v>
      </c>
      <c r="U30" s="5">
        <f t="shared" si="11"/>
        <v>68.816229430038277</v>
      </c>
      <c r="V30" s="5"/>
      <c r="W30" s="5">
        <f>0.15*P29+(1-0.15)*W29</f>
        <v>173.00364963311355</v>
      </c>
      <c r="X30" s="5">
        <f>0.35*P29+(1-0.35)*X29</f>
        <v>173.22264541926077</v>
      </c>
      <c r="Y30" s="5">
        <f>0.55*P29+(1-0.55)*Y29</f>
        <v>173.41431328001619</v>
      </c>
      <c r="Z30" s="5">
        <f>0.75*P29+(1-0.75)*Z29</f>
        <v>173.4427416650116</v>
      </c>
      <c r="AB30" s="5">
        <f t="shared" si="0"/>
        <v>2.8932710690556735</v>
      </c>
      <c r="AC30" s="5">
        <f t="shared" si="1"/>
        <v>1.1557537889873692</v>
      </c>
      <c r="AD30" s="5">
        <f t="shared" si="2"/>
        <v>0.3389812638558462</v>
      </c>
      <c r="AE30" s="5">
        <f t="shared" si="3"/>
        <v>6.2666085991652867E-2</v>
      </c>
      <c r="AG30" s="5">
        <f>ABS((P30-W30)/P30)*100</f>
        <v>0.90084981458842983</v>
      </c>
      <c r="AH30" s="5">
        <f>ABS((P30-X30)/P30)*100</f>
        <v>1.0285746399023967</v>
      </c>
      <c r="AI30" s="5">
        <f>ABS((P30-Y30)/P30)*100</f>
        <v>1.1403610101516868</v>
      </c>
      <c r="AJ30" s="5">
        <f>ABS((P30-Z30)/P30)*100</f>
        <v>1.156941285833593</v>
      </c>
      <c r="AL30" s="5">
        <f>0.15*(T30-T29)+(1-0.15)*AL29</f>
        <v>0.36231217674972394</v>
      </c>
      <c r="AM30" s="5">
        <f>0.25*(T30-T29)+(1-0.25)*AM29</f>
        <v>0.47562824787008318</v>
      </c>
      <c r="AN30" s="5">
        <f>0.45*(T30-T29)+(1-0.45)*AN29</f>
        <v>0.57492767539827838</v>
      </c>
      <c r="AO30" s="5">
        <f>0.85*(T30-T29)+(1-0.85)*AO29</f>
        <v>0.54279511821264248</v>
      </c>
      <c r="AP30" s="5">
        <f>T30+AL30</f>
        <v>68.90231614470288</v>
      </c>
      <c r="AQ30" s="5">
        <f t="shared" si="4"/>
        <v>69.015632215823231</v>
      </c>
      <c r="AR30" s="5">
        <f t="shared" si="5"/>
        <v>69.11493164335144</v>
      </c>
      <c r="AS30" s="5">
        <f t="shared" si="6"/>
        <v>69.082799086165792</v>
      </c>
      <c r="AT30" s="5">
        <f t="shared" si="12"/>
        <v>0.12918414470287587</v>
      </c>
      <c r="AU30" s="5">
        <f t="shared" si="13"/>
        <v>102.44342878417676</v>
      </c>
      <c r="AV30" s="5">
        <f t="shared" si="18"/>
        <v>69.11493164335144</v>
      </c>
      <c r="AW30" s="5">
        <f t="shared" si="18"/>
        <v>2.2994602176052581</v>
      </c>
      <c r="AY30" s="5">
        <f>0.15*(Y30-Y29)+(1-0.15)*AY29</f>
        <v>8.4699377173652834E-2</v>
      </c>
      <c r="AZ30" s="5">
        <f>0.25*(Y30-Y29)+(1-0.25)*AZ29</f>
        <v>0.17531680540771921</v>
      </c>
      <c r="BA30" s="5">
        <f>0.45*(Y30-Y29)+(1-0.45)*BA29</f>
        <v>0.15283314090453681</v>
      </c>
      <c r="BB30" s="5">
        <f>0.85*(Y30-Y29)+(1-0.85)*BB29</f>
        <v>5.6703223933766131E-2</v>
      </c>
      <c r="BC30" s="5">
        <f>Y30+AY30</f>
        <v>173.49901265718984</v>
      </c>
      <c r="BD30" s="5">
        <f>Y30+AZ30</f>
        <v>173.58963008542392</v>
      </c>
      <c r="BE30" s="5">
        <f>Y30+BA30</f>
        <v>173.56714642092072</v>
      </c>
      <c r="BF30" s="5">
        <f>Y30+BB30</f>
        <v>173.47101650394995</v>
      </c>
      <c r="BG30" s="5">
        <f t="shared" si="14"/>
        <v>2.0399516571898459</v>
      </c>
      <c r="BH30" s="5">
        <f t="shared" si="15"/>
        <v>2.1305690854239288</v>
      </c>
      <c r="BI30" s="5">
        <f t="shared" si="16"/>
        <v>2.1080854209207303</v>
      </c>
      <c r="BJ30" s="5">
        <f t="shared" si="17"/>
        <v>2.011955503949963</v>
      </c>
    </row>
    <row r="31" spans="13:62" x14ac:dyDescent="0.35">
      <c r="M31" s="2">
        <v>29</v>
      </c>
      <c r="N31" s="3">
        <v>43818</v>
      </c>
      <c r="O31" s="1">
        <v>68.841965000000002</v>
      </c>
      <c r="P31" s="1">
        <v>173.28518700000001</v>
      </c>
      <c r="R31" s="5">
        <f t="shared" si="8"/>
        <v>67.081807838276447</v>
      </c>
      <c r="S31" s="5">
        <f t="shared" si="9"/>
        <v>68.256480748718076</v>
      </c>
      <c r="T31" s="5">
        <f t="shared" si="10"/>
        <v>68.668224385578924</v>
      </c>
      <c r="U31" s="5">
        <f t="shared" si="11"/>
        <v>68.783906357509579</v>
      </c>
      <c r="V31" s="5"/>
      <c r="W31" s="5">
        <f>0.15*P30+(1-0.15)*W30</f>
        <v>172.7719613381465</v>
      </c>
      <c r="X31" s="5">
        <f>0.35*P30+(1-0.35)*X30</f>
        <v>172.60539087251951</v>
      </c>
      <c r="Y31" s="5">
        <f>0.55*P30+(1-0.55)*Y30</f>
        <v>172.33892452600728</v>
      </c>
      <c r="Z31" s="5">
        <f>0.75*P30+(1-0.75)*Z30</f>
        <v>171.95498116625288</v>
      </c>
      <c r="AB31" s="5">
        <f t="shared" si="0"/>
        <v>2.5568084259703436</v>
      </c>
      <c r="AC31" s="5">
        <f t="shared" si="1"/>
        <v>0.85047579812971064</v>
      </c>
      <c r="AD31" s="5">
        <f t="shared" si="2"/>
        <v>0.25237602445118756</v>
      </c>
      <c r="AE31" s="5">
        <f t="shared" si="3"/>
        <v>8.4336120403336226E-2</v>
      </c>
      <c r="AG31" s="5">
        <f>ABS((P31-W31)/P31)*100</f>
        <v>0.29617399544573358</v>
      </c>
      <c r="AH31" s="5">
        <f>ABS((P31-X31)/P31)*100</f>
        <v>0.39229904139498112</v>
      </c>
      <c r="AI31" s="5">
        <f>ABS((P31-Y31)/P31)*100</f>
        <v>0.54607233911617159</v>
      </c>
      <c r="AJ31" s="5">
        <f>ABS((P31-Z31)/P31)*100</f>
        <v>0.76763966775020953</v>
      </c>
      <c r="AL31" s="5">
        <f>0.15*(T31-T30)+(1-0.15)*AL30</f>
        <v>0.32719841288113072</v>
      </c>
      <c r="AM31" s="5">
        <f>0.25*(T31-T30)+(1-0.25)*AM30</f>
        <v>0.38877629030900474</v>
      </c>
      <c r="AN31" s="5">
        <f>0.45*(T31-T30)+(1-0.45)*AN30</f>
        <v>0.37390940940064932</v>
      </c>
      <c r="AO31" s="5">
        <f>0.85*(T31-T30)+(1-0.85)*AO30</f>
        <v>0.19040662271380027</v>
      </c>
      <c r="AP31" s="5">
        <f>T31+AL31</f>
        <v>68.995422798460055</v>
      </c>
      <c r="AQ31" s="5">
        <f t="shared" si="4"/>
        <v>69.057000675887934</v>
      </c>
      <c r="AR31" s="5">
        <f t="shared" si="5"/>
        <v>69.042133794979577</v>
      </c>
      <c r="AS31" s="5">
        <f t="shared" si="6"/>
        <v>68.858631008292718</v>
      </c>
      <c r="AT31" s="5">
        <f t="shared" si="12"/>
        <v>0.15345779846005314</v>
      </c>
      <c r="AU31" s="5">
        <f t="shared" si="13"/>
        <v>104.22818632411207</v>
      </c>
      <c r="AV31" s="5">
        <f t="shared" si="18"/>
        <v>69.042133794979577</v>
      </c>
      <c r="AW31" s="5">
        <f t="shared" si="18"/>
        <v>1.7768231700162715</v>
      </c>
      <c r="AY31" s="5">
        <f>0.15*(Y31-Y30)+(1-0.15)*AY30</f>
        <v>-8.9313842503731963E-2</v>
      </c>
      <c r="AZ31" s="5">
        <f>0.25*(Y31-Y30)+(1-0.25)*AZ30</f>
        <v>-0.1373595844464387</v>
      </c>
      <c r="BA31" s="5">
        <f>0.45*(Y31-Y30)+(1-0.45)*BA30</f>
        <v>-0.39986671180651534</v>
      </c>
      <c r="BB31" s="5">
        <f>0.85*(Y31-Y30)+(1-0.85)*BB30</f>
        <v>-0.9055749573175107</v>
      </c>
      <c r="BC31" s="5">
        <f>Y31+AY31</f>
        <v>172.24961068350353</v>
      </c>
      <c r="BD31" s="5">
        <f>Y31+AZ31</f>
        <v>172.20156494156083</v>
      </c>
      <c r="BE31" s="5">
        <f>Y31+BA31</f>
        <v>171.93905781420077</v>
      </c>
      <c r="BF31" s="5">
        <f>Y31+BB31</f>
        <v>171.43334956868978</v>
      </c>
      <c r="BG31" s="5">
        <f t="shared" si="14"/>
        <v>1.0355763164964742</v>
      </c>
      <c r="BH31" s="5">
        <f t="shared" si="15"/>
        <v>1.0836220584391754</v>
      </c>
      <c r="BI31" s="5">
        <f t="shared" si="16"/>
        <v>1.3461291857992421</v>
      </c>
      <c r="BJ31" s="5">
        <f t="shared" si="17"/>
        <v>1.8518374313102299</v>
      </c>
    </row>
    <row r="32" spans="13:62" x14ac:dyDescent="0.35">
      <c r="M32" s="2">
        <v>30</v>
      </c>
      <c r="N32" s="3">
        <v>43819</v>
      </c>
      <c r="O32" s="1">
        <v>68.699387000000002</v>
      </c>
      <c r="P32" s="1">
        <v>173.19682299999999</v>
      </c>
      <c r="R32" s="5">
        <f t="shared" si="8"/>
        <v>67.345831412534977</v>
      </c>
      <c r="S32" s="5">
        <f t="shared" si="9"/>
        <v>68.461400236666748</v>
      </c>
      <c r="T32" s="5">
        <f t="shared" si="10"/>
        <v>68.763781723510519</v>
      </c>
      <c r="U32" s="5">
        <f t="shared" si="11"/>
        <v>68.827450339377393</v>
      </c>
      <c r="V32" s="5"/>
      <c r="W32" s="5">
        <f>0.15*P31+(1-0.15)*W31</f>
        <v>172.8489451874245</v>
      </c>
      <c r="X32" s="5">
        <f>0.35*P31+(1-0.35)*X31</f>
        <v>172.84331951713767</v>
      </c>
      <c r="Y32" s="5">
        <f>0.55*P31+(1-0.55)*Y31</f>
        <v>172.85936888670329</v>
      </c>
      <c r="Z32" s="5">
        <f>0.75*P31+(1-0.75)*Z31</f>
        <v>172.95263554156324</v>
      </c>
      <c r="AB32" s="5">
        <f t="shared" si="0"/>
        <v>1.9702586101168911</v>
      </c>
      <c r="AC32" s="5">
        <f t="shared" si="1"/>
        <v>0.34641759370175129</v>
      </c>
      <c r="AD32" s="5">
        <f t="shared" si="2"/>
        <v>9.3734058370153056E-2</v>
      </c>
      <c r="AE32" s="5">
        <f t="shared" si="3"/>
        <v>0.18641118206395513</v>
      </c>
      <c r="AG32" s="5">
        <f>ABS((P32-W32)/P32)*100</f>
        <v>0.20085692482678508</v>
      </c>
      <c r="AH32" s="5">
        <f>ABS((P32-X32)/P32)*100</f>
        <v>0.20410506194003483</v>
      </c>
      <c r="AI32" s="5">
        <f>ABS((P32-Y32)/P32)*100</f>
        <v>0.19483851230729624</v>
      </c>
      <c r="AJ32" s="5">
        <f>ABS((P32-Z32)/P32)*100</f>
        <v>0.14098841665054987</v>
      </c>
      <c r="AL32" s="5">
        <f>0.15*(T32-T31)+(1-0.15)*AL31</f>
        <v>0.29245225163870037</v>
      </c>
      <c r="AM32" s="5">
        <f>0.25*(T32-T31)+(1-0.25)*AM31</f>
        <v>0.31547155221465228</v>
      </c>
      <c r="AN32" s="5">
        <f>0.45*(T32-T31)+(1-0.45)*AN31</f>
        <v>0.24865097723957491</v>
      </c>
      <c r="AO32" s="5">
        <f>0.85*(T32-T31)+(1-0.85)*AO31</f>
        <v>0.10978473064892583</v>
      </c>
      <c r="AP32" s="5">
        <f>T32+AL32</f>
        <v>69.056233975149226</v>
      </c>
      <c r="AQ32" s="5">
        <f t="shared" si="4"/>
        <v>69.079253275725165</v>
      </c>
      <c r="AR32" s="5">
        <f t="shared" si="5"/>
        <v>69.012432700750097</v>
      </c>
      <c r="AS32" s="5">
        <f t="shared" si="6"/>
        <v>68.873566454159445</v>
      </c>
      <c r="AT32" s="5">
        <f t="shared" si="12"/>
        <v>0.35684697514922448</v>
      </c>
      <c r="AU32" s="5">
        <f t="shared" si="13"/>
        <v>104.11756972427483</v>
      </c>
      <c r="AV32" s="5">
        <f t="shared" si="18"/>
        <v>69.012432700750097</v>
      </c>
      <c r="AW32" s="5">
        <f t="shared" si="18"/>
        <v>1.5277350416244673</v>
      </c>
      <c r="AY32" s="5">
        <f>0.15*(Y32-Y31)+(1-0.15)*AY31</f>
        <v>2.1498879762305717E-3</v>
      </c>
      <c r="AZ32" s="5">
        <f>0.25*(Y32-Y31)+(1-0.25)*AZ31</f>
        <v>2.709140183917555E-2</v>
      </c>
      <c r="BA32" s="5">
        <f>0.45*(Y32-Y31)+(1-0.45)*BA31</f>
        <v>1.4273270819624789E-2</v>
      </c>
      <c r="BB32" s="5">
        <f>0.85*(Y32-Y31)+(1-0.85)*BB31</f>
        <v>0.30654146299398888</v>
      </c>
      <c r="BC32" s="5">
        <f>Y32+AY32</f>
        <v>172.86151877467952</v>
      </c>
      <c r="BD32" s="5">
        <f>Y32+AZ32</f>
        <v>172.88646028854248</v>
      </c>
      <c r="BE32" s="5">
        <f>Y32+BA32</f>
        <v>172.87364215752291</v>
      </c>
      <c r="BF32" s="5">
        <f>Y32+BB32</f>
        <v>173.16591034969727</v>
      </c>
      <c r="BG32" s="5">
        <f t="shared" si="14"/>
        <v>0.33530422532047055</v>
      </c>
      <c r="BH32" s="5">
        <f t="shared" si="15"/>
        <v>0.31036271145751471</v>
      </c>
      <c r="BI32" s="5">
        <f t="shared" si="16"/>
        <v>0.32318084247708612</v>
      </c>
      <c r="BJ32" s="5">
        <f t="shared" si="17"/>
        <v>3.0912650302724387E-2</v>
      </c>
    </row>
    <row r="33" spans="13:62" x14ac:dyDescent="0.35">
      <c r="M33" s="2">
        <v>31</v>
      </c>
      <c r="N33" s="3">
        <v>43822</v>
      </c>
      <c r="O33" s="1">
        <v>69.820442</v>
      </c>
      <c r="P33" s="1">
        <v>173.21646100000001</v>
      </c>
      <c r="R33" s="5">
        <f t="shared" si="8"/>
        <v>67.54886475065473</v>
      </c>
      <c r="S33" s="5">
        <f t="shared" si="9"/>
        <v>68.544695603833389</v>
      </c>
      <c r="T33" s="5">
        <f t="shared" si="10"/>
        <v>68.728364625579729</v>
      </c>
      <c r="U33" s="5">
        <f t="shared" si="11"/>
        <v>68.731402834844346</v>
      </c>
      <c r="V33" s="5"/>
      <c r="W33" s="5">
        <f>0.15*P32+(1-0.15)*W32</f>
        <v>172.90112685931081</v>
      </c>
      <c r="X33" s="5">
        <f>0.35*P32+(1-0.35)*X32</f>
        <v>172.96704573613948</v>
      </c>
      <c r="Y33" s="5">
        <f>0.55*P32+(1-0.55)*Y32</f>
        <v>173.04496864901648</v>
      </c>
      <c r="Z33" s="5">
        <f>0.75*P32+(1-0.75)*Z32</f>
        <v>173.13577613539081</v>
      </c>
      <c r="AB33" s="5">
        <f t="shared" si="0"/>
        <v>3.253455842266467</v>
      </c>
      <c r="AC33" s="5">
        <f t="shared" si="1"/>
        <v>1.8271817817575697</v>
      </c>
      <c r="AD33" s="5">
        <f t="shared" si="2"/>
        <v>1.5641226883385677</v>
      </c>
      <c r="AE33" s="5">
        <f t="shared" si="3"/>
        <v>1.5597712273944844</v>
      </c>
      <c r="AG33" s="5">
        <f>ABS((P33-W33)/P33)*100</f>
        <v>0.18204628986687499</v>
      </c>
      <c r="AH33" s="5">
        <f>ABS((P33-X33)/P33)*100</f>
        <v>0.14399050899702145</v>
      </c>
      <c r="AI33" s="5">
        <f>ABS((P33-Y33)/P33)*100</f>
        <v>9.9004650016217166E-2</v>
      </c>
      <c r="AJ33" s="5">
        <f>ABS((P33-Z33)/P33)*100</f>
        <v>4.6580367791486305E-2</v>
      </c>
      <c r="AL33" s="5">
        <f>0.15*(T33-T32)+(1-0.15)*AL32</f>
        <v>0.24327184920327688</v>
      </c>
      <c r="AM33" s="5">
        <f>0.25*(T33-T32)+(1-0.25)*AM32</f>
        <v>0.22774938967829184</v>
      </c>
      <c r="AN33" s="5">
        <f>0.45*(T33-T32)+(1-0.45)*AN32</f>
        <v>0.12082034341291092</v>
      </c>
      <c r="AO33" s="5">
        <f>0.85*(T33-T32)+(1-0.85)*AO32</f>
        <v>-1.3636823643832206E-2</v>
      </c>
      <c r="AP33" s="5">
        <f>T33+AL33</f>
        <v>68.971636474783011</v>
      </c>
      <c r="AQ33" s="5">
        <f t="shared" si="4"/>
        <v>68.956114015258024</v>
      </c>
      <c r="AR33" s="5">
        <f t="shared" si="5"/>
        <v>68.849184968992645</v>
      </c>
      <c r="AS33" s="5">
        <f t="shared" si="6"/>
        <v>68.714727801935894</v>
      </c>
      <c r="AT33" s="5">
        <f t="shared" si="12"/>
        <v>0.8488055252169886</v>
      </c>
      <c r="AU33" s="5">
        <f t="shared" si="13"/>
        <v>104.26034698474199</v>
      </c>
      <c r="AV33" s="5">
        <f t="shared" si="18"/>
        <v>68.849184968992645</v>
      </c>
      <c r="AW33" s="5">
        <f t="shared" si="18"/>
        <v>1.1658630512811641</v>
      </c>
      <c r="AY33" s="5">
        <f>0.15*(Y33-Y32)+(1-0.15)*AY32</f>
        <v>2.966736912677425E-2</v>
      </c>
      <c r="AZ33" s="5">
        <f>0.25*(Y33-Y32)+(1-0.25)*AZ32</f>
        <v>6.6718491957678761E-2</v>
      </c>
      <c r="BA33" s="5">
        <f>0.45*(Y33-Y32)+(1-0.45)*BA32</f>
        <v>9.1370191991728425E-2</v>
      </c>
      <c r="BB33" s="5">
        <f>0.85*(Y33-Y32)+(1-0.85)*BB32</f>
        <v>0.20374101741530848</v>
      </c>
      <c r="BC33" s="5">
        <f>Y33+AY33</f>
        <v>173.07463601814325</v>
      </c>
      <c r="BD33" s="5">
        <f>Y33+AZ33</f>
        <v>173.11168714097417</v>
      </c>
      <c r="BE33" s="5">
        <f>Y33+BA33</f>
        <v>173.13633884100821</v>
      </c>
      <c r="BF33" s="5">
        <f>Y33+BB33</f>
        <v>173.24870966643178</v>
      </c>
      <c r="BG33" s="5">
        <f t="shared" si="14"/>
        <v>0.1418249818567574</v>
      </c>
      <c r="BH33" s="5">
        <f t="shared" si="15"/>
        <v>0.10477385902584047</v>
      </c>
      <c r="BI33" s="5">
        <f t="shared" si="16"/>
        <v>8.0122158991798642E-2</v>
      </c>
      <c r="BJ33" s="5">
        <f t="shared" si="17"/>
        <v>3.2248666431769379E-2</v>
      </c>
    </row>
    <row r="34" spans="13:62" x14ac:dyDescent="0.35">
      <c r="M34" s="2">
        <v>32</v>
      </c>
      <c r="N34" s="3">
        <v>43823</v>
      </c>
      <c r="O34" s="1">
        <v>69.886818000000005</v>
      </c>
      <c r="P34" s="1">
        <v>173.098648</v>
      </c>
      <c r="R34" s="5">
        <f t="shared" si="8"/>
        <v>67.889601338056508</v>
      </c>
      <c r="S34" s="5">
        <f t="shared" si="9"/>
        <v>68.991206842491707</v>
      </c>
      <c r="T34" s="5">
        <f t="shared" si="10"/>
        <v>69.329007181510875</v>
      </c>
      <c r="U34" s="5">
        <f t="shared" si="11"/>
        <v>69.548182208711083</v>
      </c>
      <c r="V34" s="5"/>
      <c r="W34" s="5">
        <f>0.15*P33+(1-0.15)*W33</f>
        <v>172.94842698041418</v>
      </c>
      <c r="X34" s="5">
        <f>0.35*P33+(1-0.35)*X33</f>
        <v>173.05434107849067</v>
      </c>
      <c r="Y34" s="5">
        <f>0.55*P33+(1-0.55)*Y33</f>
        <v>173.13928944205742</v>
      </c>
      <c r="Z34" s="5">
        <f>0.75*P33+(1-0.75)*Z33</f>
        <v>173.1962897838477</v>
      </c>
      <c r="AB34" s="5">
        <f t="shared" si="0"/>
        <v>2.8577873755011955</v>
      </c>
      <c r="AC34" s="5">
        <f t="shared" si="1"/>
        <v>1.2815165765714194</v>
      </c>
      <c r="AD34" s="5">
        <f t="shared" si="2"/>
        <v>0.79816313641455328</v>
      </c>
      <c r="AE34" s="5">
        <f t="shared" si="3"/>
        <v>0.48454887628296711</v>
      </c>
      <c r="AG34" s="5">
        <f>ABS((P34-W34)/P34)*100</f>
        <v>8.6783473655908633E-2</v>
      </c>
      <c r="AH34" s="5">
        <f>ABS((P34-X34)/P34)*100</f>
        <v>2.5596341751514828E-2</v>
      </c>
      <c r="AI34" s="5">
        <f>ABS((P34-Y34)/P34)*100</f>
        <v>2.3478774980045376E-2</v>
      </c>
      <c r="AJ34" s="5">
        <f>ABS((P34-Z34)/P34)*100</f>
        <v>5.6408172435700461E-2</v>
      </c>
      <c r="AL34" s="5">
        <f>0.15*(T34-T33)+(1-0.15)*AL33</f>
        <v>0.29687745521245712</v>
      </c>
      <c r="AM34" s="5">
        <f>0.25*(T34-T33)+(1-0.25)*AM33</f>
        <v>0.32097268124150519</v>
      </c>
      <c r="AN34" s="5">
        <f>0.45*(T34-T33)+(1-0.45)*AN33</f>
        <v>0.33674033904611639</v>
      </c>
      <c r="AO34" s="5">
        <f>0.85*(T34-T33)+(1-0.85)*AO33</f>
        <v>0.50850064899489855</v>
      </c>
      <c r="AP34" s="5">
        <f>T34+AL34</f>
        <v>69.625884636723328</v>
      </c>
      <c r="AQ34" s="5">
        <f t="shared" si="4"/>
        <v>69.649979862752375</v>
      </c>
      <c r="AR34" s="5">
        <f t="shared" si="5"/>
        <v>69.665747520556991</v>
      </c>
      <c r="AS34" s="5">
        <f t="shared" si="6"/>
        <v>69.837507830505771</v>
      </c>
      <c r="AT34" s="5">
        <f t="shared" si="12"/>
        <v>0.26093336327667771</v>
      </c>
      <c r="AU34" s="5">
        <f t="shared" si="13"/>
        <v>103.44866813724762</v>
      </c>
      <c r="AV34" s="5">
        <f t="shared" si="18"/>
        <v>69.665747520556991</v>
      </c>
      <c r="AW34" s="5">
        <f t="shared" si="18"/>
        <v>1.9479064924492633</v>
      </c>
      <c r="AY34" s="5">
        <f>0.15*(Y34-Y33)+(1-0.15)*AY33</f>
        <v>3.9365382713898479E-2</v>
      </c>
      <c r="AZ34" s="5">
        <f>0.25*(Y34-Y33)+(1-0.25)*AZ33</f>
        <v>7.3619067228493013E-2</v>
      </c>
      <c r="BA34" s="5">
        <f>0.45*(Y34-Y33)+(1-0.45)*BA33</f>
        <v>9.2697962463871741E-2</v>
      </c>
      <c r="BB34" s="5">
        <f>0.85*(Y34-Y33)+(1-0.85)*BB33</f>
        <v>0.11073382669709168</v>
      </c>
      <c r="BC34" s="5">
        <f>Y34+AY34</f>
        <v>173.17865482477131</v>
      </c>
      <c r="BD34" s="5">
        <f>Y34+AZ34</f>
        <v>173.21290850928591</v>
      </c>
      <c r="BE34" s="5">
        <f>Y34+BA34</f>
        <v>173.23198740452128</v>
      </c>
      <c r="BF34" s="5">
        <f>Y34+BB34</f>
        <v>173.25002326875452</v>
      </c>
      <c r="BG34" s="5">
        <f t="shared" si="14"/>
        <v>8.0006824771317042E-2</v>
      </c>
      <c r="BH34" s="5">
        <f t="shared" si="15"/>
        <v>0.1142605092859128</v>
      </c>
      <c r="BI34" s="5">
        <f t="shared" si="16"/>
        <v>0.1333394045212799</v>
      </c>
      <c r="BJ34" s="5">
        <f t="shared" si="17"/>
        <v>0.15137526875452068</v>
      </c>
    </row>
    <row r="35" spans="13:62" x14ac:dyDescent="0.35">
      <c r="M35" s="2">
        <v>33</v>
      </c>
      <c r="N35" s="3">
        <v>43825</v>
      </c>
      <c r="O35" s="1">
        <v>71.273392000000001</v>
      </c>
      <c r="P35" s="1">
        <v>173.658264</v>
      </c>
      <c r="R35" s="5">
        <f t="shared" si="8"/>
        <v>68.18918383734804</v>
      </c>
      <c r="S35" s="5">
        <f t="shared" si="9"/>
        <v>69.30467074761961</v>
      </c>
      <c r="T35" s="5">
        <f t="shared" si="10"/>
        <v>69.635803131679893</v>
      </c>
      <c r="U35" s="5">
        <f t="shared" si="11"/>
        <v>69.802159052177771</v>
      </c>
      <c r="V35" s="5"/>
      <c r="W35" s="5">
        <f>0.15*P34+(1-0.15)*W34</f>
        <v>172.97096013335204</v>
      </c>
      <c r="X35" s="5">
        <f>0.35*P34+(1-0.35)*X34</f>
        <v>173.06984850101892</v>
      </c>
      <c r="Y35" s="5">
        <f>0.55*P34+(1-0.55)*Y34</f>
        <v>173.11693664892584</v>
      </c>
      <c r="Z35" s="5">
        <f>0.75*P34+(1-0.75)*Z34</f>
        <v>173.12305844596193</v>
      </c>
      <c r="AB35" s="5">
        <f t="shared" si="0"/>
        <v>4.3272925226457044</v>
      </c>
      <c r="AC35" s="5">
        <f t="shared" si="1"/>
        <v>2.7622106892013649</v>
      </c>
      <c r="AD35" s="5">
        <f t="shared" si="2"/>
        <v>2.2976160140099804</v>
      </c>
      <c r="AE35" s="5">
        <f t="shared" si="3"/>
        <v>2.0642106493573791</v>
      </c>
      <c r="AG35" s="5">
        <f>ABS((P35-W35)/P35)*100</f>
        <v>0.39577953321470832</v>
      </c>
      <c r="AH35" s="5">
        <f>ABS((P35-X35)/P35)*100</f>
        <v>0.33883529952889435</v>
      </c>
      <c r="AI35" s="5">
        <f>ABS((P35-Y35)/P35)*100</f>
        <v>0.31171989089684726</v>
      </c>
      <c r="AJ35" s="5">
        <f>ABS((P35-Z35)/P35)*100</f>
        <v>0.30819469324999804</v>
      </c>
      <c r="AL35" s="5">
        <f>0.15*(T35-T34)+(1-0.15)*AL34</f>
        <v>0.29836522945594129</v>
      </c>
      <c r="AM35" s="5">
        <f>0.25*(T35-T34)+(1-0.25)*AM34</f>
        <v>0.31742849847338345</v>
      </c>
      <c r="AN35" s="5">
        <f>0.45*(T35-T34)+(1-0.45)*AN34</f>
        <v>0.32326536405142225</v>
      </c>
      <c r="AO35" s="5">
        <f>0.85*(T35-T34)+(1-0.85)*AO34</f>
        <v>0.33705165499290035</v>
      </c>
      <c r="AP35" s="5">
        <f>T35+AL35</f>
        <v>69.934168361135832</v>
      </c>
      <c r="AQ35" s="5">
        <f t="shared" si="4"/>
        <v>69.953231630153283</v>
      </c>
      <c r="AR35" s="5">
        <f t="shared" si="5"/>
        <v>69.959068495731316</v>
      </c>
      <c r="AS35" s="5">
        <f t="shared" si="6"/>
        <v>69.972854786672798</v>
      </c>
      <c r="AT35" s="5">
        <f t="shared" si="12"/>
        <v>1.3392236388641692</v>
      </c>
      <c r="AU35" s="5">
        <f t="shared" si="13"/>
        <v>103.70503236984672</v>
      </c>
      <c r="AV35" s="5">
        <f t="shared" si="18"/>
        <v>69.959068495731316</v>
      </c>
      <c r="AW35" s="5">
        <f t="shared" si="18"/>
        <v>1.7836709493247582</v>
      </c>
      <c r="AY35" s="5">
        <f>0.15*(Y35-Y34)+(1-0.15)*AY34</f>
        <v>3.0107656337077553E-2</v>
      </c>
      <c r="AZ35" s="5">
        <f>0.25*(Y35-Y34)+(1-0.25)*AZ34</f>
        <v>4.9626102138476173E-2</v>
      </c>
      <c r="BA35" s="5">
        <f>0.45*(Y35-Y34)+(1-0.45)*BA34</f>
        <v>4.092512244592101E-2</v>
      </c>
      <c r="BB35" s="5">
        <f>0.85*(Y35-Y34)+(1-0.85)*BB34</f>
        <v>-2.3898001572744375E-3</v>
      </c>
      <c r="BC35" s="5">
        <f>Y35+AY35</f>
        <v>173.14704430526291</v>
      </c>
      <c r="BD35" s="5">
        <f>Y35+AZ35</f>
        <v>173.16656275106433</v>
      </c>
      <c r="BE35" s="5">
        <f>Y35+BA35</f>
        <v>173.15786177137176</v>
      </c>
      <c r="BF35" s="5">
        <f>Y35+BB35</f>
        <v>173.11454684876858</v>
      </c>
      <c r="BG35" s="5">
        <f t="shared" si="14"/>
        <v>0.51121969473709328</v>
      </c>
      <c r="BH35" s="5">
        <f t="shared" si="15"/>
        <v>0.49170124893566935</v>
      </c>
      <c r="BI35" s="5">
        <f t="shared" si="16"/>
        <v>0.50040222862824635</v>
      </c>
      <c r="BJ35" s="5">
        <f t="shared" si="17"/>
        <v>0.54371715123141939</v>
      </c>
    </row>
    <row r="36" spans="13:62" x14ac:dyDescent="0.35">
      <c r="M36" s="2">
        <v>34</v>
      </c>
      <c r="N36" s="3">
        <v>43826</v>
      </c>
      <c r="O36" s="1">
        <v>71.246352999999999</v>
      </c>
      <c r="P36" s="1">
        <v>173.26556400000001</v>
      </c>
      <c r="R36" s="5">
        <f t="shared" si="8"/>
        <v>68.651815061745836</v>
      </c>
      <c r="S36" s="5">
        <f t="shared" si="9"/>
        <v>69.993723185952746</v>
      </c>
      <c r="T36" s="5">
        <f t="shared" si="10"/>
        <v>70.536477009255947</v>
      </c>
      <c r="U36" s="5">
        <f t="shared" si="11"/>
        <v>70.905583763044447</v>
      </c>
      <c r="V36" s="5"/>
      <c r="W36" s="5">
        <f>0.15*P35+(1-0.15)*W35</f>
        <v>173.07405571334922</v>
      </c>
      <c r="X36" s="5">
        <f>0.35*P35+(1-0.35)*X35</f>
        <v>173.2757939256623</v>
      </c>
      <c r="Y36" s="5">
        <f>0.55*P35+(1-0.55)*Y35</f>
        <v>173.41466669201662</v>
      </c>
      <c r="Z36" s="5">
        <f>0.75*P35+(1-0.75)*Z35</f>
        <v>173.52446261149049</v>
      </c>
      <c r="AB36" s="5">
        <f t="shared" si="0"/>
        <v>3.6416431564632692</v>
      </c>
      <c r="AC36" s="5">
        <f t="shared" si="1"/>
        <v>1.7581669254667021</v>
      </c>
      <c r="AD36" s="5">
        <f t="shared" si="2"/>
        <v>0.9963681800583567</v>
      </c>
      <c r="AE36" s="5">
        <f t="shared" si="3"/>
        <v>0.47829709536929127</v>
      </c>
      <c r="AG36" s="5">
        <f>ABS((P36-W36)/P36)*100</f>
        <v>0.11052876418697216</v>
      </c>
      <c r="AH36" s="5">
        <f>ABS((P36-X36)/P36)*100</f>
        <v>5.9041885912696924E-3</v>
      </c>
      <c r="AI36" s="5">
        <f>ABS((P36-Y36)/P36)*100</f>
        <v>8.6054429151664585E-2</v>
      </c>
      <c r="AJ36" s="5">
        <f>ABS((P36-Z36)/P36)*100</f>
        <v>0.14942300449873575</v>
      </c>
      <c r="AL36" s="5">
        <f>0.15*(T36-T35)+(1-0.15)*AL35</f>
        <v>0.38871152667395814</v>
      </c>
      <c r="AM36" s="5">
        <f>0.25*(T36-T35)+(1-0.25)*AM35</f>
        <v>0.46323984324905104</v>
      </c>
      <c r="AN36" s="5">
        <f>0.45*(T36-T35)+(1-0.45)*AN35</f>
        <v>0.58309919513750652</v>
      </c>
      <c r="AO36" s="5">
        <f>0.85*(T36-T35)+(1-0.85)*AO35</f>
        <v>0.81613054418858089</v>
      </c>
      <c r="AP36" s="5">
        <f>T36+AL36</f>
        <v>70.925188535929905</v>
      </c>
      <c r="AQ36" s="5">
        <f t="shared" si="4"/>
        <v>70.999716852505003</v>
      </c>
      <c r="AR36" s="5">
        <f t="shared" si="5"/>
        <v>71.119576204393454</v>
      </c>
      <c r="AS36" s="5">
        <f t="shared" si="6"/>
        <v>71.352607553444528</v>
      </c>
      <c r="AT36" s="5">
        <f t="shared" si="12"/>
        <v>0.32116446407009391</v>
      </c>
      <c r="AU36" s="5">
        <f t="shared" si="13"/>
        <v>102.26584714749501</v>
      </c>
      <c r="AV36" s="5">
        <f t="shared" si="18"/>
        <v>71.119576204393454</v>
      </c>
      <c r="AW36" s="5">
        <f t="shared" si="18"/>
        <v>2.7007924916986923</v>
      </c>
      <c r="AY36" s="5">
        <f>0.15*(Y36-Y35)+(1-0.15)*AY35</f>
        <v>7.0251014350132965E-2</v>
      </c>
      <c r="AZ36" s="5">
        <f>0.25*(Y36-Y35)+(1-0.25)*AZ35</f>
        <v>0.11165208737655222</v>
      </c>
      <c r="BA36" s="5">
        <f>0.45*(Y36-Y35)+(1-0.45)*BA35</f>
        <v>0.15648733673610771</v>
      </c>
      <c r="BB36" s="5">
        <f>0.85*(Y36-Y35)+(1-0.85)*BB35</f>
        <v>0.25271206660357209</v>
      </c>
      <c r="BC36" s="5">
        <f>Y36+AY36</f>
        <v>173.48491770636676</v>
      </c>
      <c r="BD36" s="5">
        <f>Y36+AZ36</f>
        <v>173.52631877939316</v>
      </c>
      <c r="BE36" s="5">
        <f>Y36+BA36</f>
        <v>173.57115402875274</v>
      </c>
      <c r="BF36" s="5">
        <f>Y36+BB36</f>
        <v>173.6673787586202</v>
      </c>
      <c r="BG36" s="5">
        <f t="shared" si="14"/>
        <v>0.21935370636674634</v>
      </c>
      <c r="BH36" s="5">
        <f t="shared" si="15"/>
        <v>0.26075477939315306</v>
      </c>
      <c r="BI36" s="5">
        <f t="shared" si="16"/>
        <v>0.30559002875273222</v>
      </c>
      <c r="BJ36" s="5">
        <f t="shared" si="17"/>
        <v>0.40181475862019056</v>
      </c>
    </row>
    <row r="37" spans="13:62" x14ac:dyDescent="0.35">
      <c r="M37" s="2">
        <v>35</v>
      </c>
      <c r="N37" s="3">
        <v>43829</v>
      </c>
      <c r="O37" s="1">
        <v>71.669212000000002</v>
      </c>
      <c r="P37" s="1">
        <v>173.20661899999999</v>
      </c>
      <c r="R37" s="5">
        <f t="shared" si="8"/>
        <v>69.040995752483965</v>
      </c>
      <c r="S37" s="5">
        <f t="shared" si="9"/>
        <v>70.432143620869283</v>
      </c>
      <c r="T37" s="5">
        <f t="shared" si="10"/>
        <v>70.92690880416518</v>
      </c>
      <c r="U37" s="5">
        <f t="shared" si="11"/>
        <v>71.161160690761108</v>
      </c>
      <c r="V37" s="5"/>
      <c r="W37" s="5">
        <f>0.15*P36+(1-0.15)*W36</f>
        <v>173.10278195634683</v>
      </c>
      <c r="X37" s="5">
        <f>0.35*P36+(1-0.35)*X36</f>
        <v>173.2722134516805</v>
      </c>
      <c r="Y37" s="5">
        <f>0.55*P36+(1-0.55)*Y36</f>
        <v>173.33266021140747</v>
      </c>
      <c r="Z37" s="5">
        <f>0.75*P36+(1-0.75)*Z36</f>
        <v>173.33028865287264</v>
      </c>
      <c r="AB37" s="5">
        <f t="shared" si="0"/>
        <v>3.6671482414457635</v>
      </c>
      <c r="AC37" s="5">
        <f t="shared" si="1"/>
        <v>1.7260806204074335</v>
      </c>
      <c r="AD37" s="5">
        <f t="shared" si="2"/>
        <v>1.0357351157074559</v>
      </c>
      <c r="AE37" s="5">
        <f t="shared" si="3"/>
        <v>0.70888362668044125</v>
      </c>
      <c r="AG37" s="5">
        <f>ABS((P37-W37)/P37)*100</f>
        <v>5.9949812687676761E-2</v>
      </c>
      <c r="AH37" s="5">
        <f>ABS((P37-X37)/P37)*100</f>
        <v>3.7870638004030725E-2</v>
      </c>
      <c r="AI37" s="5">
        <f>ABS((P37-Y37)/P37)*100</f>
        <v>7.2769281067418382E-2</v>
      </c>
      <c r="AJ37" s="5">
        <f>ABS((P37-Z37)/P37)*100</f>
        <v>7.14000732689377E-2</v>
      </c>
      <c r="AL37" s="5">
        <f>0.15*(T37-T36)+(1-0.15)*AL36</f>
        <v>0.38896956690924933</v>
      </c>
      <c r="AM37" s="5">
        <f>0.25*(T37-T36)+(1-0.25)*AM36</f>
        <v>0.44503783116409656</v>
      </c>
      <c r="AN37" s="5">
        <f>0.45*(T37-T36)+(1-0.45)*AN36</f>
        <v>0.49639886503478353</v>
      </c>
      <c r="AO37" s="5">
        <f>0.85*(T37-T36)+(1-0.85)*AO36</f>
        <v>0.45428660730113524</v>
      </c>
      <c r="AP37" s="5">
        <f>T37+AL37</f>
        <v>71.315878371074433</v>
      </c>
      <c r="AQ37" s="5">
        <f t="shared" si="4"/>
        <v>71.37194663532928</v>
      </c>
      <c r="AR37" s="5">
        <f t="shared" si="5"/>
        <v>71.423307669199957</v>
      </c>
      <c r="AS37" s="5">
        <f t="shared" si="6"/>
        <v>71.381195411466308</v>
      </c>
      <c r="AT37" s="5">
        <f t="shared" si="12"/>
        <v>0.35333362892556863</v>
      </c>
      <c r="AU37" s="5">
        <f t="shared" si="13"/>
        <v>101.83467236467071</v>
      </c>
      <c r="AV37" s="5">
        <f t="shared" si="18"/>
        <v>71.423307669199957</v>
      </c>
      <c r="AW37" s="5">
        <f t="shared" si="18"/>
        <v>2.3401996589823426</v>
      </c>
      <c r="AY37" s="5">
        <f>0.15*(Y37-Y36)+(1-0.15)*AY36</f>
        <v>4.7412390106240175E-2</v>
      </c>
      <c r="AZ37" s="5">
        <f>0.25*(Y37-Y36)+(1-0.25)*AZ36</f>
        <v>6.3237445380126101E-2</v>
      </c>
      <c r="BA37" s="5">
        <f>0.45*(Y37-Y36)+(1-0.45)*BA36</f>
        <v>4.9165118930740714E-2</v>
      </c>
      <c r="BB37" s="5">
        <f>0.85*(Y37-Y36)+(1-0.85)*BB36</f>
        <v>-3.179869852724361E-2</v>
      </c>
      <c r="BC37" s="5">
        <f>Y37+AY37</f>
        <v>173.38007260151372</v>
      </c>
      <c r="BD37" s="5">
        <f>Y37+AZ37</f>
        <v>173.39589765678761</v>
      </c>
      <c r="BE37" s="5">
        <f>Y37+BA37</f>
        <v>173.38182533033822</v>
      </c>
      <c r="BF37" s="5">
        <f>Y37+BB37</f>
        <v>173.30086151288023</v>
      </c>
      <c r="BG37" s="5">
        <f t="shared" si="14"/>
        <v>0.17345360151372802</v>
      </c>
      <c r="BH37" s="5">
        <f t="shared" si="15"/>
        <v>0.18927865678762146</v>
      </c>
      <c r="BI37" s="5">
        <f t="shared" si="16"/>
        <v>0.17520633033822719</v>
      </c>
      <c r="BJ37" s="5">
        <f t="shared" si="17"/>
        <v>9.4242512880242657E-2</v>
      </c>
    </row>
    <row r="38" spans="13:62" x14ac:dyDescent="0.35">
      <c r="M38" s="2">
        <v>36</v>
      </c>
      <c r="N38" s="3">
        <v>43830</v>
      </c>
      <c r="O38" s="1">
        <v>72.192863000000003</v>
      </c>
      <c r="P38" s="1">
        <v>173.776062</v>
      </c>
      <c r="R38" s="5">
        <f t="shared" si="8"/>
        <v>69.435228189611365</v>
      </c>
      <c r="S38" s="5">
        <f t="shared" si="9"/>
        <v>70.865117553565028</v>
      </c>
      <c r="T38" s="5">
        <f t="shared" si="10"/>
        <v>71.335175561874337</v>
      </c>
      <c r="U38" s="5">
        <f t="shared" si="11"/>
        <v>71.542199172690275</v>
      </c>
      <c r="V38" s="5"/>
      <c r="W38" s="5">
        <f>0.15*P37+(1-0.15)*W37</f>
        <v>173.11835751289482</v>
      </c>
      <c r="X38" s="5">
        <f>0.35*P37+(1-0.35)*X37</f>
        <v>173.24925539359234</v>
      </c>
      <c r="Y38" s="5">
        <f>0.55*P37+(1-0.55)*Y37</f>
        <v>173.26333754513337</v>
      </c>
      <c r="Z38" s="5">
        <f>0.75*P37+(1-0.75)*Z37</f>
        <v>173.23753641321815</v>
      </c>
      <c r="AB38" s="5">
        <f t="shared" si="0"/>
        <v>3.8198163859890659</v>
      </c>
      <c r="AC38" s="5">
        <f t="shared" si="1"/>
        <v>1.8391644149574375</v>
      </c>
      <c r="AD38" s="5">
        <f t="shared" si="2"/>
        <v>1.1880501790400886</v>
      </c>
      <c r="AE38" s="5">
        <f t="shared" si="3"/>
        <v>0.90128552916612825</v>
      </c>
      <c r="AG38" s="5">
        <f>ABS((P38-W38)/P38)*100</f>
        <v>0.37847818596854743</v>
      </c>
      <c r="AH38" s="5">
        <f>ABS((P38-X38)/P38)*100</f>
        <v>0.30315257483948543</v>
      </c>
      <c r="AI38" s="5">
        <f>ABS((P38-Y38)/P38)*100</f>
        <v>0.29504895493985145</v>
      </c>
      <c r="AJ38" s="5">
        <f>ABS((P38-Z38)/P38)*100</f>
        <v>0.30989630020609188</v>
      </c>
      <c r="AL38" s="5">
        <f>0.15*(T38-T37)+(1-0.15)*AL37</f>
        <v>0.39186414552923549</v>
      </c>
      <c r="AM38" s="5">
        <f>0.25*(T38-T37)+(1-0.25)*AM37</f>
        <v>0.43584506280036167</v>
      </c>
      <c r="AN38" s="5">
        <f>0.45*(T38-T37)+(1-0.45)*AN37</f>
        <v>0.45673941673825164</v>
      </c>
      <c r="AO38" s="5">
        <f>0.85*(T38-T37)+(1-0.85)*AO37</f>
        <v>0.41516973514795374</v>
      </c>
      <c r="AP38" s="5">
        <f>T38+AL38</f>
        <v>71.727039707403577</v>
      </c>
      <c r="AQ38" s="5">
        <f t="shared" si="4"/>
        <v>71.771020624674705</v>
      </c>
      <c r="AR38" s="5">
        <f t="shared" si="5"/>
        <v>71.791914978612581</v>
      </c>
      <c r="AS38" s="5">
        <f t="shared" si="6"/>
        <v>71.750345297022292</v>
      </c>
      <c r="AT38" s="5">
        <f t="shared" si="12"/>
        <v>0.46582329259642563</v>
      </c>
      <c r="AU38" s="5">
        <f t="shared" si="13"/>
        <v>102.00504137532529</v>
      </c>
      <c r="AV38" s="5">
        <f t="shared" si="18"/>
        <v>71.791914978612581</v>
      </c>
      <c r="AW38" s="5">
        <f t="shared" si="18"/>
        <v>2.3151171074109271</v>
      </c>
      <c r="AY38" s="5">
        <f>0.15*(Y38-Y37)+(1-0.15)*AY37</f>
        <v>2.9902131649188549E-2</v>
      </c>
      <c r="AZ38" s="5">
        <f>0.25*(Y38-Y37)+(1-0.25)*AZ37</f>
        <v>3.0097417466568577E-2</v>
      </c>
      <c r="BA38" s="5">
        <f>0.45*(Y38-Y37)+(1-0.45)*BA37</f>
        <v>-4.1543844114394005E-3</v>
      </c>
      <c r="BB38" s="5">
        <f>0.85*(Y38-Y37)+(1-0.85)*BB37</f>
        <v>-6.3694071112074938E-2</v>
      </c>
      <c r="BC38" s="5">
        <f>Y38+AY38</f>
        <v>173.29323967678255</v>
      </c>
      <c r="BD38" s="5">
        <f>Y38+AZ38</f>
        <v>173.29343496259995</v>
      </c>
      <c r="BE38" s="5">
        <f>Y38+BA38</f>
        <v>173.25918316072193</v>
      </c>
      <c r="BF38" s="5">
        <f>Y38+BB38</f>
        <v>173.19964347402129</v>
      </c>
      <c r="BG38" s="5">
        <f t="shared" si="14"/>
        <v>0.482822323217448</v>
      </c>
      <c r="BH38" s="5">
        <f t="shared" si="15"/>
        <v>0.48262703740005009</v>
      </c>
      <c r="BI38" s="5">
        <f t="shared" si="16"/>
        <v>0.51687883927806411</v>
      </c>
      <c r="BJ38" s="5">
        <f t="shared" si="17"/>
        <v>0.57641852597870979</v>
      </c>
    </row>
    <row r="39" spans="13:62" x14ac:dyDescent="0.35">
      <c r="M39" s="2">
        <v>37</v>
      </c>
      <c r="N39" s="3">
        <v>43832</v>
      </c>
      <c r="O39" s="1">
        <v>73.840041999999997</v>
      </c>
      <c r="P39" s="1">
        <v>177.49704</v>
      </c>
      <c r="R39" s="5">
        <f t="shared" si="8"/>
        <v>69.848873411169663</v>
      </c>
      <c r="S39" s="5">
        <f t="shared" si="9"/>
        <v>71.329828459817264</v>
      </c>
      <c r="T39" s="5">
        <f t="shared" si="10"/>
        <v>71.806903652843459</v>
      </c>
      <c r="U39" s="5">
        <f t="shared" si="11"/>
        <v>72.030197043172578</v>
      </c>
      <c r="V39" s="5"/>
      <c r="W39" s="5">
        <f>0.15*P38+(1-0.15)*W38</f>
        <v>173.21701318596058</v>
      </c>
      <c r="X39" s="5">
        <f>0.35*P38+(1-0.35)*X38</f>
        <v>173.433637705835</v>
      </c>
      <c r="Y39" s="5">
        <f>0.55*P38+(1-0.55)*Y38</f>
        <v>173.54533599531001</v>
      </c>
      <c r="Z39" s="5">
        <f>0.75*P38+(1-0.75)*Z38</f>
        <v>173.64143060330451</v>
      </c>
      <c r="AB39" s="5">
        <f t="shared" si="0"/>
        <v>5.4051548194275592</v>
      </c>
      <c r="AC39" s="5">
        <f t="shared" si="1"/>
        <v>3.3995288629206533</v>
      </c>
      <c r="AD39" s="5">
        <f t="shared" si="2"/>
        <v>2.7534360654298351</v>
      </c>
      <c r="AE39" s="5">
        <f t="shared" si="3"/>
        <v>2.4510345712254864</v>
      </c>
      <c r="AG39" s="5">
        <f>ABS((P39-W39)/P39)*100</f>
        <v>2.4113229234918041</v>
      </c>
      <c r="AH39" s="5">
        <f>ABS((P39-X39)/P39)*100</f>
        <v>2.2892789052510407</v>
      </c>
      <c r="AI39" s="5">
        <f>ABS((P39-Y39)/P39)*100</f>
        <v>2.2263492420436908</v>
      </c>
      <c r="AJ39" s="5">
        <f>ABS((P39-Z39)/P39)*100</f>
        <v>2.1722105319026643</v>
      </c>
      <c r="AL39" s="5">
        <f>0.15*(T39-T38)+(1-0.15)*AL38</f>
        <v>0.4038437373452185</v>
      </c>
      <c r="AM39" s="5">
        <f>0.25*(T39-T38)+(1-0.25)*AM38</f>
        <v>0.44481581984255192</v>
      </c>
      <c r="AN39" s="5">
        <f>0.45*(T39-T38)+(1-0.45)*AN38</f>
        <v>0.46348432014214358</v>
      </c>
      <c r="AO39" s="5">
        <f>0.85*(T39-T38)+(1-0.85)*AO38</f>
        <v>0.46324433759594724</v>
      </c>
      <c r="AP39" s="5">
        <f>T39+AL39</f>
        <v>72.210747390188672</v>
      </c>
      <c r="AQ39" s="5">
        <f t="shared" si="4"/>
        <v>72.251719472686005</v>
      </c>
      <c r="AR39" s="5">
        <f t="shared" si="5"/>
        <v>72.270387972985603</v>
      </c>
      <c r="AS39" s="5">
        <f t="shared" si="6"/>
        <v>72.270147990439412</v>
      </c>
      <c r="AT39" s="5">
        <f t="shared" si="12"/>
        <v>1.6292946098113248</v>
      </c>
      <c r="AU39" s="5">
        <f t="shared" si="13"/>
        <v>105.24532052731399</v>
      </c>
      <c r="AV39" s="5">
        <f t="shared" si="18"/>
        <v>72.270387972985603</v>
      </c>
      <c r="AW39" s="5">
        <f t="shared" si="18"/>
        <v>2.421274579269749</v>
      </c>
      <c r="AY39" s="5">
        <f>0.15*(Y39-Y38)+(1-0.15)*AY38</f>
        <v>6.7716579428306889E-2</v>
      </c>
      <c r="AZ39" s="5">
        <f>0.25*(Y39-Y38)+(1-0.25)*AZ38</f>
        <v>9.3072675644087471E-2</v>
      </c>
      <c r="BA39" s="5">
        <f>0.45*(Y39-Y38)+(1-0.45)*BA38</f>
        <v>0.1246143911531982</v>
      </c>
      <c r="BB39" s="5">
        <f>0.85*(Y39-Y38)+(1-0.85)*BB38</f>
        <v>0.23014457198333627</v>
      </c>
      <c r="BC39" s="5">
        <f>Y39+AY39</f>
        <v>173.6130525747383</v>
      </c>
      <c r="BD39" s="5">
        <f>Y39+AZ39</f>
        <v>173.63840867095411</v>
      </c>
      <c r="BE39" s="5">
        <f>Y39+BA39</f>
        <v>173.6699503864632</v>
      </c>
      <c r="BF39" s="5">
        <f>Y39+BB39</f>
        <v>173.77548056729336</v>
      </c>
      <c r="BG39" s="5">
        <f t="shared" si="14"/>
        <v>3.8839874252616937</v>
      </c>
      <c r="BH39" s="5">
        <f t="shared" si="15"/>
        <v>3.8586313290458918</v>
      </c>
      <c r="BI39" s="5">
        <f t="shared" si="16"/>
        <v>3.8270896135367991</v>
      </c>
      <c r="BJ39" s="5">
        <f t="shared" si="17"/>
        <v>3.7215594327066412</v>
      </c>
    </row>
    <row r="40" spans="13:62" x14ac:dyDescent="0.35">
      <c r="M40" s="2">
        <v>38</v>
      </c>
      <c r="N40" s="3">
        <v>43833</v>
      </c>
      <c r="O40" s="1">
        <v>73.122153999999995</v>
      </c>
      <c r="P40" s="1">
        <v>175.602203</v>
      </c>
      <c r="R40" s="5">
        <f t="shared" si="8"/>
        <v>70.447548699494206</v>
      </c>
      <c r="S40" s="5">
        <f t="shared" si="9"/>
        <v>72.208403198881228</v>
      </c>
      <c r="T40" s="5">
        <f t="shared" si="10"/>
        <v>72.925129743779564</v>
      </c>
      <c r="U40" s="5">
        <f t="shared" si="11"/>
        <v>73.387580760793142</v>
      </c>
      <c r="V40" s="5"/>
      <c r="W40" s="5">
        <f>0.15*P39+(1-0.15)*W39</f>
        <v>173.85901720806646</v>
      </c>
      <c r="X40" s="5">
        <f>0.35*P39+(1-0.35)*X39</f>
        <v>174.85582850879274</v>
      </c>
      <c r="Y40" s="5">
        <f>0.55*P39+(1-0.55)*Y39</f>
        <v>175.7187731978895</v>
      </c>
      <c r="Z40" s="5">
        <f>0.75*P39+(1-0.75)*Z39</f>
        <v>176.53313765082612</v>
      </c>
      <c r="AB40" s="5">
        <f t="shared" si="0"/>
        <v>3.6577222554272524</v>
      </c>
      <c r="AC40" s="5">
        <f t="shared" si="1"/>
        <v>1.2496223799954886</v>
      </c>
      <c r="AD40" s="5">
        <f t="shared" si="2"/>
        <v>0.26944536702300992</v>
      </c>
      <c r="AE40" s="5">
        <f t="shared" si="3"/>
        <v>0.36299089437812149</v>
      </c>
      <c r="AG40" s="5">
        <f>ABS((P40-W40)/P40)*100</f>
        <v>0.99269016114424335</v>
      </c>
      <c r="AH40" s="5">
        <f>ABS((P40-X40)/P40)*100</f>
        <v>0.42503708863337136</v>
      </c>
      <c r="AI40" s="5">
        <f>ABS((P40-Y40)/P40)*100</f>
        <v>6.6383106759487248E-2</v>
      </c>
      <c r="AJ40" s="5">
        <f>ABS((P40-Z40)/P40)*100</f>
        <v>0.53013836667306335</v>
      </c>
      <c r="AL40" s="5">
        <f>0.15*(T40-T39)+(1-0.15)*AL39</f>
        <v>0.51100109038385144</v>
      </c>
      <c r="AM40" s="5">
        <f>0.25*(T40-T39)+(1-0.25)*AM39</f>
        <v>0.61316838761594017</v>
      </c>
      <c r="AN40" s="5">
        <f>0.45*(T40-T39)+(1-0.45)*AN39</f>
        <v>0.75811811699942611</v>
      </c>
      <c r="AO40" s="5">
        <f>0.85*(T40-T39)+(1-0.85)*AO39</f>
        <v>1.0199788279350812</v>
      </c>
      <c r="AP40" s="5">
        <f>T40+AL40</f>
        <v>73.436130834163421</v>
      </c>
      <c r="AQ40" s="5">
        <f t="shared" si="4"/>
        <v>73.538298131395507</v>
      </c>
      <c r="AR40" s="5">
        <f t="shared" si="5"/>
        <v>73.683247860778991</v>
      </c>
      <c r="AS40" s="5">
        <f t="shared" si="6"/>
        <v>73.945108571714641</v>
      </c>
      <c r="AT40" s="5">
        <f t="shared" si="12"/>
        <v>0.31397683416342659</v>
      </c>
      <c r="AU40" s="5">
        <f t="shared" si="13"/>
        <v>102.0639048686045</v>
      </c>
      <c r="AV40" s="5">
        <f t="shared" si="18"/>
        <v>73.683247860778991</v>
      </c>
      <c r="AW40" s="5">
        <f t="shared" si="18"/>
        <v>3.4975598722204353</v>
      </c>
      <c r="AY40" s="5">
        <f>0.15*(Y40-Y39)+(1-0.15)*AY39</f>
        <v>0.38357467290098468</v>
      </c>
      <c r="AZ40" s="5">
        <f>0.25*(Y40-Y39)+(1-0.25)*AZ39</f>
        <v>0.61316380737793874</v>
      </c>
      <c r="BA40" s="5">
        <f>0.45*(Y40-Y39)+(1-0.45)*BA39</f>
        <v>1.0465846562950307</v>
      </c>
      <c r="BB40" s="5">
        <f>0.85*(Y40-Y39)+(1-0.85)*BB39</f>
        <v>1.8819433079900689</v>
      </c>
      <c r="BC40" s="5">
        <f>Y40+AY40</f>
        <v>176.10234787079048</v>
      </c>
      <c r="BD40" s="5">
        <f>Y40+AZ40</f>
        <v>176.33193700526743</v>
      </c>
      <c r="BE40" s="5">
        <f>Y40+BA40</f>
        <v>176.76535785418454</v>
      </c>
      <c r="BF40" s="5">
        <f>Y40+BB40</f>
        <v>177.60071650587957</v>
      </c>
      <c r="BG40" s="5">
        <f t="shared" si="14"/>
        <v>0.50014487079047854</v>
      </c>
      <c r="BH40" s="5">
        <f t="shared" si="15"/>
        <v>0.72973400526743148</v>
      </c>
      <c r="BI40" s="5">
        <f t="shared" si="16"/>
        <v>1.1631548541845405</v>
      </c>
      <c r="BJ40" s="5">
        <f t="shared" si="17"/>
        <v>1.998513505879572</v>
      </c>
    </row>
    <row r="41" spans="13:62" x14ac:dyDescent="0.35">
      <c r="M41" s="2">
        <v>39</v>
      </c>
      <c r="N41" s="3">
        <v>43836</v>
      </c>
      <c r="O41" s="1">
        <v>73.704819000000001</v>
      </c>
      <c r="P41" s="1">
        <v>174.276794</v>
      </c>
      <c r="R41" s="5">
        <f t="shared" si="8"/>
        <v>70.848739494570083</v>
      </c>
      <c r="S41" s="5">
        <f t="shared" si="9"/>
        <v>72.528215979272801</v>
      </c>
      <c r="T41" s="5">
        <f t="shared" si="10"/>
        <v>73.033493084700808</v>
      </c>
      <c r="U41" s="5">
        <f t="shared" si="11"/>
        <v>73.188510690198285</v>
      </c>
      <c r="V41" s="5"/>
      <c r="W41" s="5">
        <f>0.15*P40+(1-0.15)*W40</f>
        <v>174.12049507685649</v>
      </c>
      <c r="X41" s="5">
        <f>0.35*P40+(1-0.35)*X40</f>
        <v>175.11705958071528</v>
      </c>
      <c r="Y41" s="5">
        <f>0.55*P40+(1-0.55)*Y40</f>
        <v>175.65465958905028</v>
      </c>
      <c r="Z41" s="5">
        <f>0.75*P40+(1-0.75)*Z40</f>
        <v>175.83493666270653</v>
      </c>
      <c r="AB41" s="5">
        <f t="shared" si="0"/>
        <v>3.8750241085727617</v>
      </c>
      <c r="AC41" s="5">
        <f t="shared" si="1"/>
        <v>1.596371901716765</v>
      </c>
      <c r="AD41" s="5">
        <f t="shared" si="2"/>
        <v>0.91083042385490753</v>
      </c>
      <c r="AE41" s="5">
        <f t="shared" si="3"/>
        <v>0.70050821209087477</v>
      </c>
      <c r="AG41" s="5">
        <f>ABS((P41-W41)/P41)*100</f>
        <v>8.9684300219287763E-2</v>
      </c>
      <c r="AH41" s="5">
        <f>ABS((P41-X41)/P41)*100</f>
        <v>0.48214427258472664</v>
      </c>
      <c r="AI41" s="5">
        <f>ABS((P41-Y41)/P41)*100</f>
        <v>0.79061908210813625</v>
      </c>
      <c r="AJ41" s="5">
        <f>ABS((P41-Z41)/P41)*100</f>
        <v>0.89406204173490234</v>
      </c>
      <c r="AL41" s="5">
        <f>0.15*(T41-T40)+(1-0.15)*AL40</f>
        <v>0.45060542796446029</v>
      </c>
      <c r="AM41" s="5">
        <f>0.25*(T41-T40)+(1-0.25)*AM40</f>
        <v>0.4869671259422661</v>
      </c>
      <c r="AN41" s="5">
        <f>0.45*(T41-T40)+(1-0.45)*AN40</f>
        <v>0.46572846776424415</v>
      </c>
      <c r="AO41" s="5">
        <f>0.85*(T41-T40)+(1-0.85)*AO40</f>
        <v>0.24510566397331951</v>
      </c>
      <c r="AP41" s="5">
        <f>T41+AL41</f>
        <v>73.48409851266527</v>
      </c>
      <c r="AQ41" s="5">
        <f t="shared" si="4"/>
        <v>73.52046021064308</v>
      </c>
      <c r="AR41" s="5">
        <f t="shared" si="5"/>
        <v>73.499221552465059</v>
      </c>
      <c r="AS41" s="5">
        <f t="shared" si="6"/>
        <v>73.278598748674128</v>
      </c>
      <c r="AT41" s="5">
        <f t="shared" si="12"/>
        <v>0.22072048733473082</v>
      </c>
      <c r="AU41" s="5">
        <f t="shared" si="13"/>
        <v>100.75633378935692</v>
      </c>
      <c r="AV41" s="5">
        <f t="shared" si="18"/>
        <v>73.499221552465059</v>
      </c>
      <c r="AW41" s="5">
        <f t="shared" si="18"/>
        <v>2.4298592541040449</v>
      </c>
      <c r="AY41" s="5">
        <f>0.15*(Y41-Y40)+(1-0.15)*AY40</f>
        <v>0.3164214306399537</v>
      </c>
      <c r="AZ41" s="5">
        <f>0.25*(Y41-Y40)+(1-0.25)*AZ40</f>
        <v>0.44384445332364864</v>
      </c>
      <c r="BA41" s="5">
        <f>0.45*(Y41-Y40)+(1-0.45)*BA40</f>
        <v>0.54677043698461725</v>
      </c>
      <c r="BB41" s="5">
        <f>0.85*(Y41-Y40)+(1-0.85)*BB40</f>
        <v>0.22779492868517207</v>
      </c>
      <c r="BC41" s="5">
        <f>Y41+AY41</f>
        <v>175.97108101969025</v>
      </c>
      <c r="BD41" s="5">
        <f>Y41+AZ41</f>
        <v>176.09850404237392</v>
      </c>
      <c r="BE41" s="5">
        <f>Y41+BA41</f>
        <v>176.2014300260349</v>
      </c>
      <c r="BF41" s="5">
        <f>Y41+BB41</f>
        <v>175.88245451773545</v>
      </c>
      <c r="BG41" s="5">
        <f t="shared" si="14"/>
        <v>1.6942870196902504</v>
      </c>
      <c r="BH41" s="5">
        <f t="shared" si="15"/>
        <v>1.8217100423739225</v>
      </c>
      <c r="BI41" s="5">
        <f t="shared" si="16"/>
        <v>1.9246360260349036</v>
      </c>
      <c r="BJ41" s="5">
        <f t="shared" si="17"/>
        <v>1.6056605177354584</v>
      </c>
    </row>
    <row r="42" spans="13:62" x14ac:dyDescent="0.35">
      <c r="M42" s="2">
        <v>40</v>
      </c>
      <c r="N42" s="3">
        <v>43837</v>
      </c>
      <c r="O42" s="1">
        <v>73.358185000000006</v>
      </c>
      <c r="P42" s="1">
        <v>174.37496899999999</v>
      </c>
      <c r="R42" s="5">
        <f t="shared" si="8"/>
        <v>71.27715142038457</v>
      </c>
      <c r="S42" s="5">
        <f t="shared" si="9"/>
        <v>72.940027036527312</v>
      </c>
      <c r="T42" s="5">
        <f t="shared" si="10"/>
        <v>73.402722338115353</v>
      </c>
      <c r="U42" s="5">
        <f t="shared" si="11"/>
        <v>73.575741922549582</v>
      </c>
      <c r="V42" s="5"/>
      <c r="W42" s="5">
        <f>0.15*P41+(1-0.15)*W41</f>
        <v>174.14393991532802</v>
      </c>
      <c r="X42" s="5">
        <f>0.35*P41+(1-0.35)*X41</f>
        <v>174.82296662746492</v>
      </c>
      <c r="Y42" s="5">
        <f>0.55*P41+(1-0.55)*Y41</f>
        <v>174.89683351507261</v>
      </c>
      <c r="Z42" s="5">
        <f>0.75*P41+(1-0.75)*Z41</f>
        <v>174.66632966567664</v>
      </c>
      <c r="AB42" s="5">
        <f t="shared" si="0"/>
        <v>2.8368117063084863</v>
      </c>
      <c r="AC42" s="5">
        <f t="shared" si="1"/>
        <v>0.57002223197410673</v>
      </c>
      <c r="AD42" s="5">
        <f t="shared" si="2"/>
        <v>6.071215927077165E-2</v>
      </c>
      <c r="AE42" s="5">
        <f t="shared" si="3"/>
        <v>0.2965680278888802</v>
      </c>
      <c r="AG42" s="5">
        <f>ABS((P42-W42)/P42)*100</f>
        <v>0.13248982121509298</v>
      </c>
      <c r="AH42" s="5">
        <f>ABS((P42-X42)/P42)*100</f>
        <v>0.25691624780442479</v>
      </c>
      <c r="AI42" s="5">
        <f>ABS((P42-Y42)/P42)*100</f>
        <v>0.29927719446511947</v>
      </c>
      <c r="AJ42" s="5">
        <f>ABS((P42-Z42)/P42)*100</f>
        <v>0.16708858349769742</v>
      </c>
      <c r="AL42" s="5">
        <f>0.15*(T42-T41)+(1-0.15)*AL41</f>
        <v>0.438399001781973</v>
      </c>
      <c r="AM42" s="5">
        <f>0.25*(T42-T41)+(1-0.25)*AM41</f>
        <v>0.45753265781033586</v>
      </c>
      <c r="AN42" s="5">
        <f>0.45*(T42-T41)+(1-0.45)*AN41</f>
        <v>0.4223038213068796</v>
      </c>
      <c r="AO42" s="5">
        <f>0.85*(T42-T41)+(1-0.85)*AO41</f>
        <v>0.35061071499836133</v>
      </c>
      <c r="AP42" s="5">
        <f>T42+AL42</f>
        <v>73.841121339897327</v>
      </c>
      <c r="AQ42" s="5">
        <f t="shared" si="4"/>
        <v>73.860254995925686</v>
      </c>
      <c r="AR42" s="5">
        <f t="shared" si="5"/>
        <v>73.825026159422237</v>
      </c>
      <c r="AS42" s="5">
        <f t="shared" si="6"/>
        <v>73.753333053113721</v>
      </c>
      <c r="AT42" s="5">
        <f t="shared" si="12"/>
        <v>0.48293633989732143</v>
      </c>
      <c r="AU42" s="5">
        <f t="shared" si="13"/>
        <v>100.51471400407431</v>
      </c>
      <c r="AV42" s="5">
        <f t="shared" si="18"/>
        <v>73.825026159422237</v>
      </c>
      <c r="AW42" s="5">
        <f t="shared" si="18"/>
        <v>2.4761816327291513</v>
      </c>
      <c r="AY42" s="5">
        <f>0.15*(Y42-Y41)+(1-0.15)*AY41</f>
        <v>0.15528430494731044</v>
      </c>
      <c r="AZ42" s="5">
        <f>0.25*(Y42-Y41)+(1-0.25)*AZ41</f>
        <v>0.14342682149831942</v>
      </c>
      <c r="BA42" s="5">
        <f>0.45*(Y42-Y41)+(1-0.45)*BA41</f>
        <v>-4.0297992948411132E-2</v>
      </c>
      <c r="BB42" s="5">
        <f>0.85*(Y42-Y41)+(1-0.85)*BB41</f>
        <v>-0.60998292357824202</v>
      </c>
      <c r="BC42" s="5">
        <f>Y42+AY42</f>
        <v>175.05211782001993</v>
      </c>
      <c r="BD42" s="5">
        <f>Y42+AZ42</f>
        <v>175.04026033657092</v>
      </c>
      <c r="BE42" s="5">
        <f>Y42+BA42</f>
        <v>174.8565355221242</v>
      </c>
      <c r="BF42" s="5">
        <f>Y42+BB42</f>
        <v>174.28685059149439</v>
      </c>
      <c r="BG42" s="5">
        <f t="shared" si="14"/>
        <v>0.67714882001993715</v>
      </c>
      <c r="BH42" s="5">
        <f t="shared" si="15"/>
        <v>0.66529133657093098</v>
      </c>
      <c r="BI42" s="5">
        <f t="shared" si="16"/>
        <v>0.48156652212421136</v>
      </c>
      <c r="BJ42" s="5">
        <f t="shared" si="17"/>
        <v>8.8118408505607704E-2</v>
      </c>
    </row>
    <row r="43" spans="13:62" x14ac:dyDescent="0.35">
      <c r="M43" s="2">
        <v>41</v>
      </c>
      <c r="N43" s="3">
        <v>43838</v>
      </c>
      <c r="O43" s="1">
        <v>74.538239000000004</v>
      </c>
      <c r="P43" s="1">
        <v>174.522232</v>
      </c>
      <c r="R43" s="5">
        <f t="shared" si="8"/>
        <v>71.589306457326884</v>
      </c>
      <c r="S43" s="5">
        <f t="shared" si="9"/>
        <v>73.086382323742754</v>
      </c>
      <c r="T43" s="5">
        <f t="shared" si="10"/>
        <v>73.378226802151914</v>
      </c>
      <c r="U43" s="5">
        <f t="shared" si="11"/>
        <v>73.412574230637404</v>
      </c>
      <c r="V43" s="5"/>
      <c r="W43" s="5">
        <f>0.15*P42+(1-0.15)*W42</f>
        <v>174.17859427802881</v>
      </c>
      <c r="X43" s="5">
        <f>0.35*P42+(1-0.35)*X42</f>
        <v>174.6661674578522</v>
      </c>
      <c r="Y43" s="5">
        <f>0.55*P42+(1-0.55)*Y42</f>
        <v>174.60980803178268</v>
      </c>
      <c r="Z43" s="5">
        <f>0.75*P42+(1-0.75)*Z42</f>
        <v>174.44780916641918</v>
      </c>
      <c r="AB43" s="5">
        <f t="shared" si="0"/>
        <v>3.9562680608447427</v>
      </c>
      <c r="AC43" s="5">
        <f t="shared" si="1"/>
        <v>1.9478011497658945</v>
      </c>
      <c r="AD43" s="5">
        <f t="shared" si="2"/>
        <v>1.5562645608626329</v>
      </c>
      <c r="AE43" s="5">
        <f t="shared" si="3"/>
        <v>1.5101842818725575</v>
      </c>
      <c r="AG43" s="5">
        <f>ABS((P43-W43)/P43)*100</f>
        <v>0.19690197520003724</v>
      </c>
      <c r="AH43" s="5">
        <f>ABS((P43-X43)/P43)*100</f>
        <v>8.2473995549285833E-2</v>
      </c>
      <c r="AI43" s="5">
        <f>ABS((P43-Y43)/P43)*100</f>
        <v>5.0180444507880576E-2</v>
      </c>
      <c r="AJ43" s="5">
        <f>ABS((P43-Z43)/P43)*100</f>
        <v>4.2643755312976921E-2</v>
      </c>
      <c r="AL43" s="5">
        <f>0.15*(T43-T42)+(1-0.15)*AL42</f>
        <v>0.36896482112016121</v>
      </c>
      <c r="AM43" s="5">
        <f>0.25*(T43-T42)+(1-0.25)*AM42</f>
        <v>0.33702560936689219</v>
      </c>
      <c r="AN43" s="5">
        <f>0.45*(T43-T42)+(1-0.45)*AN42</f>
        <v>0.22124411053523629</v>
      </c>
      <c r="AO43" s="5">
        <f>0.85*(T43-T42)+(1-0.85)*AO42</f>
        <v>3.1770401680831145E-2</v>
      </c>
      <c r="AP43" s="5">
        <f>T43+AL43</f>
        <v>73.747191623272073</v>
      </c>
      <c r="AQ43" s="5">
        <f t="shared" si="4"/>
        <v>73.715252411518804</v>
      </c>
      <c r="AR43" s="5">
        <f t="shared" si="5"/>
        <v>73.599470912687153</v>
      </c>
      <c r="AS43" s="5">
        <f t="shared" si="6"/>
        <v>73.409997203832745</v>
      </c>
      <c r="AT43" s="5">
        <f t="shared" si="12"/>
        <v>0.79104737672793135</v>
      </c>
      <c r="AU43" s="5">
        <f t="shared" si="13"/>
        <v>100.8069795884812</v>
      </c>
      <c r="AV43" s="5">
        <f t="shared" si="18"/>
        <v>73.599470912687153</v>
      </c>
      <c r="AW43" s="5">
        <f t="shared" si="18"/>
        <v>1.8206907465058606</v>
      </c>
      <c r="AY43" s="5">
        <f>0.15*(Y43-Y42)+(1-0.15)*AY42</f>
        <v>8.89378367117232E-2</v>
      </c>
      <c r="AZ43" s="5">
        <f>0.25*(Y43-Y42)+(1-0.25)*AZ42</f>
        <v>3.581374530125514E-2</v>
      </c>
      <c r="BA43" s="5">
        <f>0.45*(Y43-Y42)+(1-0.45)*BA42</f>
        <v>-0.15132536360209808</v>
      </c>
      <c r="BB43" s="5">
        <f>0.85*(Y43-Y42)+(1-0.85)*BB42</f>
        <v>-0.33546909933318336</v>
      </c>
      <c r="BC43" s="5">
        <f>Y43+AY43</f>
        <v>174.6987458684944</v>
      </c>
      <c r="BD43" s="5">
        <f>Y43+AZ43</f>
        <v>174.64562177708393</v>
      </c>
      <c r="BE43" s="5">
        <f>Y43+BA43</f>
        <v>174.45848266818058</v>
      </c>
      <c r="BF43" s="5">
        <f>Y43+BB43</f>
        <v>174.2743389324495</v>
      </c>
      <c r="BG43" s="5">
        <f t="shared" si="14"/>
        <v>0.17651386849439632</v>
      </c>
      <c r="BH43" s="5">
        <f t="shared" si="15"/>
        <v>0.12338977708392918</v>
      </c>
      <c r="BI43" s="5">
        <f t="shared" si="16"/>
        <v>6.3749331819423105E-2</v>
      </c>
      <c r="BJ43" s="5">
        <f t="shared" si="17"/>
        <v>0.24789306755050688</v>
      </c>
    </row>
    <row r="44" spans="13:62" x14ac:dyDescent="0.35">
      <c r="M44" s="2">
        <v>42</v>
      </c>
      <c r="N44" s="3">
        <v>43839</v>
      </c>
      <c r="O44" s="1">
        <v>76.121498000000003</v>
      </c>
      <c r="P44" s="1">
        <v>175.80838</v>
      </c>
      <c r="R44" s="5">
        <f t="shared" si="8"/>
        <v>72.031646338727853</v>
      </c>
      <c r="S44" s="5">
        <f t="shared" si="9"/>
        <v>73.594532160432792</v>
      </c>
      <c r="T44" s="5">
        <f t="shared" si="10"/>
        <v>74.016233510968362</v>
      </c>
      <c r="U44" s="5">
        <f t="shared" si="11"/>
        <v>74.256822807659347</v>
      </c>
      <c r="V44" s="5"/>
      <c r="W44" s="5">
        <f>0.15*P43+(1-0.15)*W43</f>
        <v>174.23013993632446</v>
      </c>
      <c r="X44" s="5">
        <f>0.35*P43+(1-0.35)*X43</f>
        <v>174.61579004760392</v>
      </c>
      <c r="Y44" s="5">
        <f>0.55*P43+(1-0.55)*Y43</f>
        <v>174.5616412143022</v>
      </c>
      <c r="Z44" s="5">
        <f>0.75*P43+(1-0.75)*Z43</f>
        <v>174.5036262916048</v>
      </c>
      <c r="AB44" s="5">
        <f t="shared" si="0"/>
        <v>5.3727945044803889</v>
      </c>
      <c r="AC44" s="5">
        <f t="shared" si="1"/>
        <v>3.3196480704665201</v>
      </c>
      <c r="AD44" s="5">
        <f t="shared" si="2"/>
        <v>2.7656635041938351</v>
      </c>
      <c r="AE44" s="5">
        <f t="shared" si="3"/>
        <v>2.4496039112901529</v>
      </c>
      <c r="AG44" s="5">
        <f>ABS((P44-W44)/P44)*100</f>
        <v>0.89770468488222055</v>
      </c>
      <c r="AH44" s="5">
        <f>ABS((P44-X44)/P44)*100</f>
        <v>0.67834647722484931</v>
      </c>
      <c r="AI44" s="5">
        <f>ABS((P44-Y44)/P44)*100</f>
        <v>0.70914639319115547</v>
      </c>
      <c r="AJ44" s="5">
        <f>ABS((P44-Z44)/P44)*100</f>
        <v>0.7421453450598865</v>
      </c>
      <c r="AL44" s="5">
        <f>0.15*(T44-T43)+(1-0.15)*AL43</f>
        <v>0.40932110427460422</v>
      </c>
      <c r="AM44" s="5">
        <f>0.25*(T44-T43)+(1-0.25)*AM43</f>
        <v>0.41227088422928115</v>
      </c>
      <c r="AN44" s="5">
        <f>0.45*(T44-T43)+(1-0.45)*AN43</f>
        <v>0.40878727976178164</v>
      </c>
      <c r="AO44" s="5">
        <f>0.85*(T44-T43)+(1-0.85)*AO43</f>
        <v>0.54707126274610551</v>
      </c>
      <c r="AP44" s="5">
        <f>T44+AL44</f>
        <v>74.425554615242973</v>
      </c>
      <c r="AQ44" s="5">
        <f t="shared" si="4"/>
        <v>74.428504395197649</v>
      </c>
      <c r="AR44" s="5">
        <f t="shared" si="5"/>
        <v>74.425020790730144</v>
      </c>
      <c r="AS44" s="5">
        <f t="shared" si="6"/>
        <v>74.563304773714464</v>
      </c>
      <c r="AT44" s="5">
        <f t="shared" si="12"/>
        <v>1.6959433847570295</v>
      </c>
      <c r="AU44" s="5">
        <f t="shared" si="13"/>
        <v>101.37987560480235</v>
      </c>
      <c r="AV44" s="5">
        <f t="shared" si="18"/>
        <v>74.425020790730144</v>
      </c>
      <c r="AW44" s="5">
        <f t="shared" si="18"/>
        <v>2.5316584349866105</v>
      </c>
      <c r="AY44" s="5">
        <f>0.15*(Y44-Y43)+(1-0.15)*AY43</f>
        <v>6.8372138582892997E-2</v>
      </c>
      <c r="AZ44" s="5">
        <f>0.25*(Y44-Y43)+(1-0.25)*AZ43</f>
        <v>1.4818604605821822E-2</v>
      </c>
      <c r="BA44" s="5">
        <f>0.45*(Y44-Y43)+(1-0.45)*BA43</f>
        <v>-0.10490401784736911</v>
      </c>
      <c r="BB44" s="5">
        <f>0.85*(Y44-Y43)+(1-0.85)*BB43</f>
        <v>-9.1262159758383921E-2</v>
      </c>
      <c r="BC44" s="5">
        <f>Y44+AY44</f>
        <v>174.6300133528851</v>
      </c>
      <c r="BD44" s="5">
        <f>Y44+AZ44</f>
        <v>174.57645981890803</v>
      </c>
      <c r="BE44" s="5">
        <f>Y44+BA44</f>
        <v>174.45673719645484</v>
      </c>
      <c r="BF44" s="5">
        <f>Y44+BB44</f>
        <v>174.47037905454383</v>
      </c>
      <c r="BG44" s="5">
        <f t="shared" si="14"/>
        <v>1.178366647114899</v>
      </c>
      <c r="BH44" s="5">
        <f t="shared" si="15"/>
        <v>1.2319201810919651</v>
      </c>
      <c r="BI44" s="5">
        <f t="shared" si="16"/>
        <v>1.3516428035451611</v>
      </c>
      <c r="BJ44" s="5">
        <f t="shared" si="17"/>
        <v>1.338000945456173</v>
      </c>
    </row>
    <row r="45" spans="13:62" x14ac:dyDescent="0.35">
      <c r="M45" s="2">
        <v>43</v>
      </c>
      <c r="N45" s="3">
        <v>43840</v>
      </c>
      <c r="O45" s="1">
        <v>76.293578999999994</v>
      </c>
      <c r="P45" s="1">
        <v>175.42546100000001</v>
      </c>
      <c r="R45" s="5">
        <f t="shared" si="8"/>
        <v>72.645124087918674</v>
      </c>
      <c r="S45" s="5">
        <f t="shared" si="9"/>
        <v>74.478970204281325</v>
      </c>
      <c r="T45" s="5">
        <f t="shared" si="10"/>
        <v>75.174128979935773</v>
      </c>
      <c r="U45" s="5">
        <f t="shared" si="11"/>
        <v>75.655329201914839</v>
      </c>
      <c r="V45" s="5"/>
      <c r="W45" s="5">
        <f>0.15*P44+(1-0.15)*W44</f>
        <v>174.46687594587581</v>
      </c>
      <c r="X45" s="5">
        <f>0.35*P44+(1-0.35)*X44</f>
        <v>175.03319653094255</v>
      </c>
      <c r="Y45" s="5">
        <f>0.55*P44+(1-0.55)*Y44</f>
        <v>175.247347546436</v>
      </c>
      <c r="Z45" s="5">
        <f>0.75*P44+(1-0.75)*Z44</f>
        <v>175.48219157290123</v>
      </c>
      <c r="AB45" s="5">
        <f t="shared" si="0"/>
        <v>4.782125782932952</v>
      </c>
      <c r="AC45" s="5">
        <f t="shared" si="1"/>
        <v>2.3784554604767845</v>
      </c>
      <c r="AD45" s="5">
        <f t="shared" si="2"/>
        <v>1.4672925752561969</v>
      </c>
      <c r="AE45" s="5">
        <f t="shared" si="3"/>
        <v>0.83657079199961959</v>
      </c>
      <c r="AG45" s="5">
        <f>ABS((P45-W45)/P45)*100</f>
        <v>0.5464343936506455</v>
      </c>
      <c r="AH45" s="5">
        <f>ABS((P45-X45)/P45)*100</f>
        <v>0.22360748936978178</v>
      </c>
      <c r="AI45" s="5">
        <f>ABS((P45-Y45)/P45)*100</f>
        <v>0.10153227048610076</v>
      </c>
      <c r="AJ45" s="5">
        <f>ABS((P45-Z45)/P45)*100</f>
        <v>3.233884783761018E-2</v>
      </c>
      <c r="AL45" s="5">
        <f>0.15*(T45-T44)+(1-0.15)*AL44</f>
        <v>0.52160725897852511</v>
      </c>
      <c r="AM45" s="5">
        <f>0.25*(T45-T44)+(1-0.25)*AM44</f>
        <v>0.59867703041381348</v>
      </c>
      <c r="AN45" s="5">
        <f>0.45*(T45-T44)+(1-0.45)*AN44</f>
        <v>0.7458859649043148</v>
      </c>
      <c r="AO45" s="5">
        <f>0.85*(T45-T44)+(1-0.85)*AO44</f>
        <v>1.0662718380342149</v>
      </c>
      <c r="AP45" s="5">
        <f>T45+AL45</f>
        <v>75.695736238914293</v>
      </c>
      <c r="AQ45" s="5">
        <f t="shared" si="4"/>
        <v>75.772806010349584</v>
      </c>
      <c r="AR45" s="5">
        <f t="shared" si="5"/>
        <v>75.920014944840091</v>
      </c>
      <c r="AS45" s="5">
        <f t="shared" si="6"/>
        <v>76.240400817969984</v>
      </c>
      <c r="AT45" s="5">
        <f t="shared" si="12"/>
        <v>0.59784276108570111</v>
      </c>
      <c r="AU45" s="5">
        <f t="shared" si="13"/>
        <v>99.652654989650429</v>
      </c>
      <c r="AV45" s="5">
        <f t="shared" si="18"/>
        <v>75.920014944840091</v>
      </c>
      <c r="AW45" s="5">
        <f t="shared" si="18"/>
        <v>3.5952767300513102</v>
      </c>
      <c r="AY45" s="5">
        <f>0.15*(Y45-Y44)+(1-0.15)*AY44</f>
        <v>0.16097226761552974</v>
      </c>
      <c r="AZ45" s="5">
        <f>0.25*(Y45-Y44)+(1-0.25)*AZ44</f>
        <v>0.18254053648781751</v>
      </c>
      <c r="BA45" s="5">
        <f>0.45*(Y45-Y44)+(1-0.45)*BA44</f>
        <v>0.25087063964415907</v>
      </c>
      <c r="BB45" s="5">
        <f>0.85*(Y45-Y44)+(1-0.85)*BB44</f>
        <v>0.56916105834997632</v>
      </c>
      <c r="BC45" s="5">
        <f>Y45+AY45</f>
        <v>175.40831981405154</v>
      </c>
      <c r="BD45" s="5">
        <f>Y45+AZ45</f>
        <v>175.42988808292381</v>
      </c>
      <c r="BE45" s="5">
        <f>Y45+BA45</f>
        <v>175.49821818608015</v>
      </c>
      <c r="BF45" s="5">
        <f>Y45+BB45</f>
        <v>175.81650860478598</v>
      </c>
      <c r="BG45" s="5">
        <f t="shared" si="14"/>
        <v>1.7141185948474913E-2</v>
      </c>
      <c r="BH45" s="5">
        <f t="shared" si="15"/>
        <v>4.427082923797343E-3</v>
      </c>
      <c r="BI45" s="5">
        <f t="shared" si="16"/>
        <v>7.2757186080139036E-2</v>
      </c>
      <c r="BJ45" s="5">
        <f t="shared" si="17"/>
        <v>0.39104760478596745</v>
      </c>
    </row>
    <row r="46" spans="13:62" x14ac:dyDescent="0.35">
      <c r="M46" s="2">
        <v>44</v>
      </c>
      <c r="N46" s="3">
        <v>43843</v>
      </c>
      <c r="O46" s="1">
        <v>77.923537999999994</v>
      </c>
      <c r="P46" s="1">
        <v>177.96829199999999</v>
      </c>
      <c r="R46" s="5">
        <f t="shared" si="8"/>
        <v>73.192392324730875</v>
      </c>
      <c r="S46" s="5">
        <f t="shared" si="9"/>
        <v>75.114083282782858</v>
      </c>
      <c r="T46" s="5">
        <f t="shared" si="10"/>
        <v>75.789826490971095</v>
      </c>
      <c r="U46" s="5">
        <f t="shared" si="11"/>
        <v>76.134016550478705</v>
      </c>
      <c r="V46" s="5"/>
      <c r="W46" s="5">
        <f>0.15*P45+(1-0.15)*W45</f>
        <v>174.61066370399445</v>
      </c>
      <c r="X46" s="5">
        <f>0.35*P45+(1-0.35)*X45</f>
        <v>175.17048909511266</v>
      </c>
      <c r="Y46" s="5">
        <f>0.55*P45+(1-0.55)*Y45</f>
        <v>175.34530994589619</v>
      </c>
      <c r="Z46" s="5">
        <f>0.75*P45+(1-0.75)*Z45</f>
        <v>175.43964364322531</v>
      </c>
      <c r="AB46" s="5">
        <f t="shared" si="0"/>
        <v>6.0715231837511263</v>
      </c>
      <c r="AC46" s="5">
        <f t="shared" si="1"/>
        <v>3.6053993303244729</v>
      </c>
      <c r="AD46" s="5">
        <f t="shared" si="2"/>
        <v>2.7382117955538661</v>
      </c>
      <c r="AE46" s="5">
        <f t="shared" si="3"/>
        <v>2.2965094956562271</v>
      </c>
      <c r="AG46" s="5">
        <f>ABS((P46-W46)/P46)*100</f>
        <v>1.8866441084940817</v>
      </c>
      <c r="AH46" s="5">
        <f>ABS((P46-X46)/P46)*100</f>
        <v>1.5720794268719136</v>
      </c>
      <c r="AI46" s="5">
        <f>ABS((P46-Y46)/P46)*100</f>
        <v>1.4738479673130769</v>
      </c>
      <c r="AJ46" s="5">
        <f>ABS((P46-Z46)/P46)*100</f>
        <v>1.4208420659421068</v>
      </c>
      <c r="AL46" s="5">
        <f>0.15*(T46-T45)+(1-0.15)*AL45</f>
        <v>0.53572079678704454</v>
      </c>
      <c r="AM46" s="5">
        <f>0.25*(T46-T45)+(1-0.25)*AM45</f>
        <v>0.60293215056919047</v>
      </c>
      <c r="AN46" s="5">
        <f>0.45*(T46-T45)+(1-0.45)*AN45</f>
        <v>0.68730116066326796</v>
      </c>
      <c r="AO46" s="5">
        <f>0.85*(T46-T45)+(1-0.85)*AO45</f>
        <v>0.68328366008515551</v>
      </c>
      <c r="AP46" s="5">
        <f>T46+AL46</f>
        <v>76.325547287758141</v>
      </c>
      <c r="AQ46" s="5">
        <f t="shared" si="4"/>
        <v>76.392758641540283</v>
      </c>
      <c r="AR46" s="5">
        <f t="shared" si="5"/>
        <v>76.477127651634362</v>
      </c>
      <c r="AS46" s="5">
        <f t="shared" si="6"/>
        <v>76.473110151056247</v>
      </c>
      <c r="AT46" s="5">
        <f t="shared" si="12"/>
        <v>1.5979907122418524</v>
      </c>
      <c r="AU46" s="5">
        <f t="shared" si="13"/>
        <v>101.57553335845971</v>
      </c>
      <c r="AV46" s="5">
        <f t="shared" si="18"/>
        <v>76.477127651634362</v>
      </c>
      <c r="AW46" s="5">
        <f t="shared" si="18"/>
        <v>3.2807178263253718</v>
      </c>
      <c r="AY46" s="5">
        <f>0.15*(Y46-Y45)+(1-0.15)*AY45</f>
        <v>0.15152078739222827</v>
      </c>
      <c r="AZ46" s="5">
        <f>0.25*(Y46-Y45)+(1-0.25)*AZ45</f>
        <v>0.16139600223090977</v>
      </c>
      <c r="BA46" s="5">
        <f>0.45*(Y46-Y45)+(1-0.45)*BA45</f>
        <v>0.18206193156137149</v>
      </c>
      <c r="BB46" s="5">
        <f>0.85*(Y46-Y45)+(1-0.85)*BB45</f>
        <v>0.16864219829365507</v>
      </c>
      <c r="BC46" s="5">
        <f>Y46+AY46</f>
        <v>175.49683073328842</v>
      </c>
      <c r="BD46" s="5">
        <f>Y46+AZ46</f>
        <v>175.50670594812709</v>
      </c>
      <c r="BE46" s="5">
        <f>Y46+BA46</f>
        <v>175.52737187745757</v>
      </c>
      <c r="BF46" s="5">
        <f>Y46+BB46</f>
        <v>175.51395214418986</v>
      </c>
      <c r="BG46" s="5">
        <f t="shared" si="14"/>
        <v>2.4714612667115716</v>
      </c>
      <c r="BH46" s="5">
        <f t="shared" si="15"/>
        <v>2.4615860518728994</v>
      </c>
      <c r="BI46" s="5">
        <f t="shared" si="16"/>
        <v>2.4409201225424226</v>
      </c>
      <c r="BJ46" s="5">
        <f t="shared" si="17"/>
        <v>2.454339855810133</v>
      </c>
    </row>
    <row r="47" spans="13:62" x14ac:dyDescent="0.35">
      <c r="M47" s="2">
        <v>45</v>
      </c>
      <c r="N47" s="3">
        <v>43844</v>
      </c>
      <c r="O47" s="1">
        <v>76.871323000000004</v>
      </c>
      <c r="P47" s="1">
        <v>177.16322299999999</v>
      </c>
      <c r="R47" s="5">
        <f t="shared" si="8"/>
        <v>73.902064176021241</v>
      </c>
      <c r="S47" s="5">
        <f t="shared" si="9"/>
        <v>76.097392433808864</v>
      </c>
      <c r="T47" s="5">
        <f t="shared" si="10"/>
        <v>76.96336782093698</v>
      </c>
      <c r="U47" s="5">
        <f t="shared" si="11"/>
        <v>77.476157637619664</v>
      </c>
      <c r="V47" s="5"/>
      <c r="W47" s="5">
        <f>0.15*P46+(1-0.15)*W46</f>
        <v>175.11430794839526</v>
      </c>
      <c r="X47" s="5">
        <f>0.35*P46+(1-0.35)*X46</f>
        <v>176.14972011182323</v>
      </c>
      <c r="Y47" s="5">
        <f>0.55*P46+(1-0.55)*Y46</f>
        <v>176.78795007565327</v>
      </c>
      <c r="Z47" s="5">
        <f>0.75*P46+(1-0.75)*Z46</f>
        <v>177.33612991080631</v>
      </c>
      <c r="AB47" s="5">
        <f t="shared" si="0"/>
        <v>3.8626352560352872</v>
      </c>
      <c r="AC47" s="5">
        <f t="shared" si="1"/>
        <v>1.0067871034184492</v>
      </c>
      <c r="AD47" s="5">
        <f t="shared" si="2"/>
        <v>0.11973882762103187</v>
      </c>
      <c r="AE47" s="5">
        <f t="shared" si="3"/>
        <v>0.78681439841962963</v>
      </c>
      <c r="AG47" s="5">
        <f>ABS((P47-W47)/P47)*100</f>
        <v>1.1565126310694422</v>
      </c>
      <c r="AH47" s="5">
        <f>ABS((P47-X47)/P47)*100</f>
        <v>0.57207295679914316</v>
      </c>
      <c r="AI47" s="5">
        <f>ABS((P47-Y47)/P47)*100</f>
        <v>0.21182326556946712</v>
      </c>
      <c r="AJ47" s="5">
        <f>ABS((P47-Z47)/P47)*100</f>
        <v>9.7597519326185767E-2</v>
      </c>
      <c r="AL47" s="5">
        <f>0.15*(T47-T46)+(1-0.15)*AL46</f>
        <v>0.63139387676387071</v>
      </c>
      <c r="AM47" s="5">
        <f>0.25*(T47-T46)+(1-0.25)*AM46</f>
        <v>0.74558444541836433</v>
      </c>
      <c r="AN47" s="5">
        <f>0.45*(T47-T46)+(1-0.45)*AN46</f>
        <v>0.90610923684944611</v>
      </c>
      <c r="AO47" s="5">
        <f>0.85*(T47-T46)+(1-0.85)*AO46</f>
        <v>1.1000026794837763</v>
      </c>
      <c r="AP47" s="5">
        <f>T47+AL47</f>
        <v>77.594761697700847</v>
      </c>
      <c r="AQ47" s="5">
        <f t="shared" si="4"/>
        <v>77.70895226635534</v>
      </c>
      <c r="AR47" s="5">
        <f t="shared" si="5"/>
        <v>77.869477057786426</v>
      </c>
      <c r="AS47" s="5">
        <f t="shared" si="6"/>
        <v>78.06337050042076</v>
      </c>
      <c r="AT47" s="5">
        <f t="shared" si="12"/>
        <v>0.72343869770084268</v>
      </c>
      <c r="AU47" s="5">
        <f t="shared" si="13"/>
        <v>99.454270733644648</v>
      </c>
      <c r="AV47" s="5">
        <f t="shared" si="18"/>
        <v>77.869477057786426</v>
      </c>
      <c r="AW47" s="5">
        <f t="shared" si="18"/>
        <v>4.1613063243995185</v>
      </c>
      <c r="AY47" s="5">
        <f>0.15*(Y47-Y46)+(1-0.15)*AY46</f>
        <v>0.34518868874695607</v>
      </c>
      <c r="AZ47" s="5">
        <f>0.25*(Y47-Y46)+(1-0.25)*AZ46</f>
        <v>0.48170703411245247</v>
      </c>
      <c r="BA47" s="5">
        <f>0.45*(Y47-Y46)+(1-0.45)*BA46</f>
        <v>0.7493221207494406</v>
      </c>
      <c r="BB47" s="5">
        <f>0.85*(Y47-Y46)+(1-0.85)*BB46</f>
        <v>1.2515404400375667</v>
      </c>
      <c r="BC47" s="5">
        <f>Y47+AY47</f>
        <v>177.13313876440023</v>
      </c>
      <c r="BD47" s="5">
        <f>Y47+AZ47</f>
        <v>177.26965710976572</v>
      </c>
      <c r="BE47" s="5">
        <f>Y47+BA47</f>
        <v>177.53727219640271</v>
      </c>
      <c r="BF47" s="5">
        <f>Y47+BB47</f>
        <v>178.03949051569083</v>
      </c>
      <c r="BG47" s="5">
        <f t="shared" si="14"/>
        <v>3.0084235599758813E-2</v>
      </c>
      <c r="BH47" s="5">
        <f t="shared" si="15"/>
        <v>0.10643410976572909</v>
      </c>
      <c r="BI47" s="5">
        <f t="shared" si="16"/>
        <v>0.37404919640272283</v>
      </c>
      <c r="BJ47" s="5">
        <f t="shared" si="17"/>
        <v>0.87626751569084149</v>
      </c>
    </row>
    <row r="48" spans="13:62" x14ac:dyDescent="0.35">
      <c r="M48" s="2">
        <v>46</v>
      </c>
      <c r="N48" s="3">
        <v>43845</v>
      </c>
      <c r="O48" s="1">
        <v>76.541884999999994</v>
      </c>
      <c r="P48" s="1">
        <v>177.43812600000001</v>
      </c>
      <c r="R48" s="5">
        <f t="shared" si="8"/>
        <v>74.347452999618056</v>
      </c>
      <c r="S48" s="5">
        <f t="shared" si="9"/>
        <v>76.368268131975753</v>
      </c>
      <c r="T48" s="5">
        <f t="shared" si="10"/>
        <v>76.912743169421645</v>
      </c>
      <c r="U48" s="5">
        <f t="shared" si="11"/>
        <v>77.022531659404919</v>
      </c>
      <c r="V48" s="5"/>
      <c r="W48" s="5">
        <f>0.15*P47+(1-0.15)*W47</f>
        <v>175.42164520613596</v>
      </c>
      <c r="X48" s="5">
        <f>0.35*P47+(1-0.35)*X47</f>
        <v>176.5044461226851</v>
      </c>
      <c r="Y48" s="5">
        <f>0.55*P47+(1-0.55)*Y47</f>
        <v>176.99435018404395</v>
      </c>
      <c r="Z48" s="5">
        <f>0.75*P47+(1-0.75)*Z47</f>
        <v>177.20644972770157</v>
      </c>
      <c r="AB48" s="5">
        <f t="shared" si="0"/>
        <v>2.8669688502993327</v>
      </c>
      <c r="AC48" s="5">
        <f t="shared" si="1"/>
        <v>0.22682596335880681</v>
      </c>
      <c r="AD48" s="5">
        <f t="shared" si="2"/>
        <v>0.48451664003525913</v>
      </c>
      <c r="AE48" s="5">
        <f t="shared" si="3"/>
        <v>0.62795247256443387</v>
      </c>
      <c r="AG48" s="5">
        <f>ABS((P48-W48)/P48)*100</f>
        <v>1.1364416652281639</v>
      </c>
      <c r="AH48" s="5">
        <f>ABS((P48-X48)/P48)*100</f>
        <v>0.52620025828886152</v>
      </c>
      <c r="AI48" s="5">
        <f>ABS((P48-Y48)/P48)*100</f>
        <v>0.25010172613976922</v>
      </c>
      <c r="AJ48" s="5">
        <f>ABS((P48-Z48)/P48)*100</f>
        <v>0.13056735749026313</v>
      </c>
      <c r="AL48" s="5">
        <f>0.15*(T48-T47)+(1-0.15)*AL47</f>
        <v>0.52909109752198991</v>
      </c>
      <c r="AM48" s="5">
        <f>0.25*(T48-T47)+(1-0.25)*AM47</f>
        <v>0.54653217118493946</v>
      </c>
      <c r="AN48" s="5">
        <f>0.45*(T48-T47)+(1-0.45)*AN47</f>
        <v>0.47557898708529467</v>
      </c>
      <c r="AO48" s="5">
        <f>0.85*(T48-T47)+(1-0.85)*AO47</f>
        <v>0.1219694481345317</v>
      </c>
      <c r="AP48" s="5">
        <f>T48+AL48</f>
        <v>77.44183426694363</v>
      </c>
      <c r="AQ48" s="5">
        <f t="shared" si="4"/>
        <v>77.459275340606581</v>
      </c>
      <c r="AR48" s="5">
        <f t="shared" si="5"/>
        <v>77.388322156506945</v>
      </c>
      <c r="AS48" s="5">
        <f t="shared" si="6"/>
        <v>77.034712617556181</v>
      </c>
      <c r="AT48" s="5">
        <f t="shared" si="12"/>
        <v>0.89994926694363642</v>
      </c>
      <c r="AU48" s="5">
        <f t="shared" si="13"/>
        <v>99.97885065939343</v>
      </c>
      <c r="AV48" s="5">
        <f t="shared" si="18"/>
        <v>77.388322156506945</v>
      </c>
      <c r="AW48" s="5">
        <f t="shared" si="18"/>
        <v>2.6872596179381247</v>
      </c>
      <c r="AY48" s="5">
        <f>0.15*(Y48-Y47)+(1-0.15)*AY47</f>
        <v>0.32437040169351489</v>
      </c>
      <c r="AZ48" s="5">
        <f>0.25*(Y48-Y47)+(1-0.25)*AZ47</f>
        <v>0.41288030268200976</v>
      </c>
      <c r="BA48" s="5">
        <f>0.45*(Y48-Y47)+(1-0.45)*BA47</f>
        <v>0.50500721518799918</v>
      </c>
      <c r="BB48" s="5">
        <f>0.85*(Y48-Y47)+(1-0.85)*BB47</f>
        <v>0.36317115813771444</v>
      </c>
      <c r="BC48" s="5">
        <f>Y48+AY48</f>
        <v>177.31872058573748</v>
      </c>
      <c r="BD48" s="5">
        <f>Y48+AZ48</f>
        <v>177.40723048672595</v>
      </c>
      <c r="BE48" s="5">
        <f>Y48+BA48</f>
        <v>177.49935739923194</v>
      </c>
      <c r="BF48" s="5">
        <f>Y48+BB48</f>
        <v>177.35752134218166</v>
      </c>
      <c r="BG48" s="5">
        <f t="shared" si="14"/>
        <v>0.11940541426253048</v>
      </c>
      <c r="BH48" s="5">
        <f t="shared" si="15"/>
        <v>3.0895513274060704E-2</v>
      </c>
      <c r="BI48" s="5">
        <f t="shared" si="16"/>
        <v>6.1231399231928663E-2</v>
      </c>
      <c r="BJ48" s="5">
        <f t="shared" si="17"/>
        <v>8.0604657818355463E-2</v>
      </c>
    </row>
    <row r="49" spans="13:62" x14ac:dyDescent="0.35">
      <c r="M49" s="2">
        <v>47</v>
      </c>
      <c r="N49" s="3">
        <v>43846</v>
      </c>
      <c r="O49" s="1">
        <v>77.500693999999996</v>
      </c>
      <c r="P49" s="1">
        <v>178.94026199999999</v>
      </c>
      <c r="R49" s="5">
        <f t="shared" si="8"/>
        <v>74.676617799675341</v>
      </c>
      <c r="S49" s="5">
        <f t="shared" si="9"/>
        <v>76.429034035784241</v>
      </c>
      <c r="T49" s="5">
        <f t="shared" si="10"/>
        <v>76.708771176239736</v>
      </c>
      <c r="U49" s="5">
        <f t="shared" si="11"/>
        <v>76.662046664851232</v>
      </c>
      <c r="V49" s="5"/>
      <c r="W49" s="5">
        <f>0.15*P48+(1-0.15)*W48</f>
        <v>175.72411732521556</v>
      </c>
      <c r="X49" s="5">
        <f>0.35*P48+(1-0.35)*X48</f>
        <v>176.83123407974531</v>
      </c>
      <c r="Y49" s="5">
        <f>0.55*P48+(1-0.55)*Y48</f>
        <v>177.23842688281979</v>
      </c>
      <c r="Z49" s="5">
        <f>0.75*P48+(1-0.75)*Z48</f>
        <v>177.38020693192539</v>
      </c>
      <c r="AB49" s="5">
        <f t="shared" si="0"/>
        <v>3.6439366598764322</v>
      </c>
      <c r="AC49" s="5">
        <f t="shared" si="1"/>
        <v>1.3827746680768493</v>
      </c>
      <c r="AD49" s="5">
        <f t="shared" si="2"/>
        <v>1.021826751332394</v>
      </c>
      <c r="AE49" s="5">
        <f t="shared" si="3"/>
        <v>1.0821159035669587</v>
      </c>
      <c r="AG49" s="5">
        <f>ABS((P49-W49)/P49)*100</f>
        <v>1.797328694413352</v>
      </c>
      <c r="AH49" s="5">
        <f>ABS((P49-X49)/P49)*100</f>
        <v>1.1786212318470146</v>
      </c>
      <c r="AI49" s="5">
        <f>ABS((P49-Y49)/P49)*100</f>
        <v>0.95106327561999182</v>
      </c>
      <c r="AJ49" s="5">
        <f>ABS((P49-Z49)/P49)*100</f>
        <v>0.87183010164286223</v>
      </c>
      <c r="AL49" s="5">
        <f>0.15*(T49-T48)+(1-0.15)*AL48</f>
        <v>0.41913163391640501</v>
      </c>
      <c r="AM49" s="5">
        <f>0.25*(T49-T48)+(1-0.25)*AM48</f>
        <v>0.35890613009322725</v>
      </c>
      <c r="AN49" s="5">
        <f>0.45*(T49-T48)+(1-0.45)*AN48</f>
        <v>0.16978104596505295</v>
      </c>
      <c r="AO49" s="5">
        <f>0.85*(T49-T48)+(1-0.85)*AO48</f>
        <v>-0.15508077698444311</v>
      </c>
      <c r="AP49" s="5">
        <f>T49+AL49</f>
        <v>77.127902810156144</v>
      </c>
      <c r="AQ49" s="5">
        <f t="shared" si="4"/>
        <v>77.067677306332968</v>
      </c>
      <c r="AR49" s="5">
        <f t="shared" si="5"/>
        <v>76.878552222204789</v>
      </c>
      <c r="AS49" s="5">
        <f t="shared" si="6"/>
        <v>76.553690399255288</v>
      </c>
      <c r="AT49" s="5">
        <f t="shared" si="12"/>
        <v>0.37279118984385207</v>
      </c>
      <c r="AU49" s="5">
        <f t="shared" si="13"/>
        <v>101.87258469366702</v>
      </c>
      <c r="AV49" s="5">
        <f t="shared" si="18"/>
        <v>76.878552222204789</v>
      </c>
      <c r="AW49" s="5">
        <f t="shared" si="18"/>
        <v>1.8770725995799467</v>
      </c>
      <c r="AY49" s="5">
        <f>0.15*(Y49-Y48)+(1-0.15)*AY48</f>
        <v>0.31232634625586397</v>
      </c>
      <c r="AZ49" s="5">
        <f>0.25*(Y49-Y48)+(1-0.25)*AZ48</f>
        <v>0.37067940170546787</v>
      </c>
      <c r="BA49" s="5">
        <f>0.45*(Y49-Y48)+(1-0.45)*BA48</f>
        <v>0.38758848280252856</v>
      </c>
      <c r="BB49" s="5">
        <f>0.85*(Y49-Y48)+(1-0.85)*BB48</f>
        <v>0.26194086768012309</v>
      </c>
      <c r="BC49" s="5">
        <f>Y49+AY49</f>
        <v>177.55075322907567</v>
      </c>
      <c r="BD49" s="5">
        <f>Y49+AZ49</f>
        <v>177.60910628452527</v>
      </c>
      <c r="BE49" s="5">
        <f>Y49+BA49</f>
        <v>177.62601536562232</v>
      </c>
      <c r="BF49" s="5">
        <f>Y49+BB49</f>
        <v>177.50036775049992</v>
      </c>
      <c r="BG49" s="5">
        <f t="shared" si="14"/>
        <v>1.3895087709243228</v>
      </c>
      <c r="BH49" s="5">
        <f t="shared" si="15"/>
        <v>1.331155715474722</v>
      </c>
      <c r="BI49" s="5">
        <f t="shared" si="16"/>
        <v>1.3142466343776675</v>
      </c>
      <c r="BJ49" s="5">
        <f t="shared" si="17"/>
        <v>1.4398942495000711</v>
      </c>
    </row>
    <row r="50" spans="13:62" x14ac:dyDescent="0.35">
      <c r="M50" s="2">
        <v>48</v>
      </c>
      <c r="N50" s="3">
        <v>43847</v>
      </c>
      <c r="O50" s="1">
        <v>78.358695999999995</v>
      </c>
      <c r="P50" s="1">
        <v>179.89259300000001</v>
      </c>
      <c r="R50" s="5">
        <f t="shared" si="8"/>
        <v>75.100229229724036</v>
      </c>
      <c r="S50" s="5">
        <f t="shared" si="9"/>
        <v>76.804115023259754</v>
      </c>
      <c r="T50" s="5">
        <f t="shared" si="10"/>
        <v>77.144328729307887</v>
      </c>
      <c r="U50" s="5">
        <f t="shared" si="11"/>
        <v>77.291032166212801</v>
      </c>
      <c r="V50" s="5"/>
      <c r="W50" s="5">
        <f>0.15*P49+(1-0.15)*W49</f>
        <v>176.20653902643323</v>
      </c>
      <c r="X50" s="5">
        <f>0.35*P49+(1-0.35)*X49</f>
        <v>177.56939385183443</v>
      </c>
      <c r="Y50" s="5">
        <f>0.55*P49+(1-0.55)*Y49</f>
        <v>178.1744361972689</v>
      </c>
      <c r="Z50" s="5">
        <f>0.75*P49+(1-0.75)*Z49</f>
        <v>178.55024823298135</v>
      </c>
      <c r="AB50" s="5">
        <f t="shared" si="0"/>
        <v>4.1583984121889408</v>
      </c>
      <c r="AC50" s="5">
        <f t="shared" si="1"/>
        <v>1.9839291056352448</v>
      </c>
      <c r="AD50" s="5">
        <f t="shared" si="2"/>
        <v>1.5497543127722648</v>
      </c>
      <c r="AE50" s="5">
        <f t="shared" si="3"/>
        <v>1.3625339474602711</v>
      </c>
      <c r="AG50" s="5">
        <f>ABS((P50-W50)/P50)*100</f>
        <v>2.0490304309342915</v>
      </c>
      <c r="AH50" s="5">
        <f>ABS((P50-X50)/P50)*100</f>
        <v>1.2914368009390866</v>
      </c>
      <c r="AI50" s="5">
        <f>ABS((P50-Y50)/P50)*100</f>
        <v>0.9551014714269539</v>
      </c>
      <c r="AJ50" s="5">
        <f>ABS((P50-Z50)/P50)*100</f>
        <v>0.74619234990884753</v>
      </c>
      <c r="AL50" s="5">
        <f>0.15*(T50-T49)+(1-0.15)*AL49</f>
        <v>0.42159552178916687</v>
      </c>
      <c r="AM50" s="5">
        <f>0.25*(T50-T49)+(1-0.25)*AM49</f>
        <v>0.37806898583695808</v>
      </c>
      <c r="AN50" s="5">
        <f>0.45*(T50-T49)+(1-0.45)*AN49</f>
        <v>0.28938047416144691</v>
      </c>
      <c r="AO50" s="5">
        <f>0.85*(T50-T49)+(1-0.85)*AO49</f>
        <v>0.34696180356026152</v>
      </c>
      <c r="AP50" s="5">
        <f>T50+AL50</f>
        <v>77.565924251097059</v>
      </c>
      <c r="AQ50" s="5">
        <f t="shared" si="4"/>
        <v>77.522397715144848</v>
      </c>
      <c r="AR50" s="5">
        <f t="shared" si="5"/>
        <v>77.433709203469334</v>
      </c>
      <c r="AS50" s="5">
        <f t="shared" si="6"/>
        <v>77.491290532868149</v>
      </c>
      <c r="AT50" s="5">
        <f t="shared" si="12"/>
        <v>0.79277174890293622</v>
      </c>
      <c r="AU50" s="5">
        <f t="shared" si="13"/>
        <v>102.37019528485516</v>
      </c>
      <c r="AV50" s="5">
        <f t="shared" si="18"/>
        <v>77.433709203469334</v>
      </c>
      <c r="AW50" s="5">
        <f t="shared" si="18"/>
        <v>2.391061303144113</v>
      </c>
      <c r="AY50" s="5">
        <f>0.15*(Y50-Y49)+(1-0.15)*AY49</f>
        <v>0.40587879148485068</v>
      </c>
      <c r="AZ50" s="5">
        <f>0.25*(Y50-Y49)+(1-0.25)*AZ49</f>
        <v>0.51201187989137809</v>
      </c>
      <c r="BA50" s="5">
        <f>0.45*(Y50-Y49)+(1-0.45)*BA49</f>
        <v>0.6343778570434897</v>
      </c>
      <c r="BB50" s="5">
        <f>0.85*(Y50-Y49)+(1-0.85)*BB49</f>
        <v>0.83489904743376098</v>
      </c>
      <c r="BC50" s="5">
        <f>Y50+AY50</f>
        <v>178.58031498875374</v>
      </c>
      <c r="BD50" s="5">
        <f>Y50+AZ50</f>
        <v>178.68644807716029</v>
      </c>
      <c r="BE50" s="5">
        <f>Y50+BA50</f>
        <v>178.80881405431239</v>
      </c>
      <c r="BF50" s="5">
        <f>Y50+BB50</f>
        <v>179.00933524470267</v>
      </c>
      <c r="BG50" s="5">
        <f t="shared" si="14"/>
        <v>1.3122780112462635</v>
      </c>
      <c r="BH50" s="5">
        <f t="shared" si="15"/>
        <v>1.2061449228397123</v>
      </c>
      <c r="BI50" s="5">
        <f t="shared" si="16"/>
        <v>1.0837789456876123</v>
      </c>
      <c r="BJ50" s="5">
        <f t="shared" si="17"/>
        <v>0.88325775529733619</v>
      </c>
    </row>
    <row r="51" spans="13:62" x14ac:dyDescent="0.35">
      <c r="M51" s="2">
        <v>49</v>
      </c>
      <c r="N51" s="3">
        <v>43851</v>
      </c>
      <c r="O51" s="1">
        <v>77.827667000000005</v>
      </c>
      <c r="P51" s="1">
        <v>177.634491</v>
      </c>
      <c r="R51" s="5">
        <f t="shared" si="8"/>
        <v>75.588999245265427</v>
      </c>
      <c r="S51" s="5">
        <f t="shared" si="9"/>
        <v>77.348218365118839</v>
      </c>
      <c r="T51" s="5">
        <f t="shared" si="10"/>
        <v>77.812230728188553</v>
      </c>
      <c r="U51" s="5">
        <f t="shared" si="11"/>
        <v>78.091780041553193</v>
      </c>
      <c r="V51" s="5"/>
      <c r="W51" s="5">
        <f>0.15*P50+(1-0.15)*W50</f>
        <v>176.75944712246823</v>
      </c>
      <c r="X51" s="5">
        <f>0.35*P50+(1-0.35)*X50</f>
        <v>178.38251355369238</v>
      </c>
      <c r="Y51" s="5">
        <f>0.55*P50+(1-0.55)*Y50</f>
        <v>179.11942243877101</v>
      </c>
      <c r="Z51" s="5">
        <f>0.75*P50+(1-0.75)*Z50</f>
        <v>179.55700680824532</v>
      </c>
      <c r="AB51" s="5">
        <f t="shared" si="0"/>
        <v>2.8764420687755914</v>
      </c>
      <c r="AC51" s="5">
        <f t="shared" si="1"/>
        <v>0.61603881159789353</v>
      </c>
      <c r="AD51" s="5">
        <f t="shared" si="2"/>
        <v>1.9833913062629365E-2</v>
      </c>
      <c r="AE51" s="5">
        <f t="shared" si="3"/>
        <v>0.33935623632812684</v>
      </c>
      <c r="AG51" s="5">
        <f>ABS((P51-W51)/P51)*100</f>
        <v>0.49260921829182724</v>
      </c>
      <c r="AH51" s="5">
        <f>ABS((P51-X51)/P51)*100</f>
        <v>0.42110208973570329</v>
      </c>
      <c r="AI51" s="5">
        <f>ABS((P51-Y51)/P51)*100</f>
        <v>0.83594769822658699</v>
      </c>
      <c r="AJ51" s="5">
        <f>ABS((P51-Z51)/P51)*100</f>
        <v>1.0822874529729263</v>
      </c>
      <c r="AL51" s="5">
        <f>0.15*(T51-T50)+(1-0.15)*AL50</f>
        <v>0.45854149335289174</v>
      </c>
      <c r="AM51" s="5">
        <f>0.25*(T51-T50)+(1-0.25)*AM50</f>
        <v>0.450527239097885</v>
      </c>
      <c r="AN51" s="5">
        <f>0.45*(T51-T50)+(1-0.45)*AN50</f>
        <v>0.4597151602850954</v>
      </c>
      <c r="AO51" s="5">
        <f>0.85*(T51-T50)+(1-0.85)*AO50</f>
        <v>0.61976096958260518</v>
      </c>
      <c r="AP51" s="5">
        <f>T51+AL51</f>
        <v>78.270772221541449</v>
      </c>
      <c r="AQ51" s="5">
        <f t="shared" si="4"/>
        <v>78.262757967286433</v>
      </c>
      <c r="AR51" s="5">
        <f t="shared" si="5"/>
        <v>78.271945888473653</v>
      </c>
      <c r="AS51" s="5">
        <f t="shared" si="6"/>
        <v>78.431991697771153</v>
      </c>
      <c r="AT51" s="5">
        <f t="shared" si="12"/>
        <v>0.44310522154144394</v>
      </c>
      <c r="AU51" s="5">
        <f t="shared" si="13"/>
        <v>99.371733032713564</v>
      </c>
      <c r="AV51" s="5">
        <f t="shared" si="18"/>
        <v>78.271945888473653</v>
      </c>
      <c r="AW51" s="5">
        <f t="shared" si="18"/>
        <v>2.842992452505726</v>
      </c>
      <c r="AY51" s="5">
        <f>0.15*(Y51-Y50)+(1-0.15)*AY50</f>
        <v>0.48674490898743916</v>
      </c>
      <c r="AZ51" s="5">
        <f>0.25*(Y51-Y50)+(1-0.25)*AZ50</f>
        <v>0.62025547029406036</v>
      </c>
      <c r="BA51" s="5">
        <f>0.45*(Y51-Y50)+(1-0.45)*BA50</f>
        <v>0.77415163004986765</v>
      </c>
      <c r="BB51" s="5">
        <f>0.85*(Y51-Y50)+(1-0.85)*BB50</f>
        <v>0.9284731623918554</v>
      </c>
      <c r="BC51" s="5">
        <f>Y51+AY51</f>
        <v>179.60616734775846</v>
      </c>
      <c r="BD51" s="5">
        <f>Y51+AZ51</f>
        <v>179.73967790906508</v>
      </c>
      <c r="BE51" s="5">
        <f>Y51+BA51</f>
        <v>179.89357406882087</v>
      </c>
      <c r="BF51" s="5">
        <f>Y51+BB51</f>
        <v>180.04789560116288</v>
      </c>
      <c r="BG51" s="5">
        <f t="shared" si="14"/>
        <v>1.9716763477584607</v>
      </c>
      <c r="BH51" s="5">
        <f t="shared" si="15"/>
        <v>2.1051869090650825</v>
      </c>
      <c r="BI51" s="5">
        <f t="shared" si="16"/>
        <v>2.2590830688208712</v>
      </c>
      <c r="BJ51" s="5">
        <f t="shared" si="17"/>
        <v>2.4134046011628811</v>
      </c>
    </row>
    <row r="52" spans="13:62" x14ac:dyDescent="0.35">
      <c r="M52" s="2">
        <v>50</v>
      </c>
      <c r="N52" s="3">
        <v>43852</v>
      </c>
      <c r="O52" s="1">
        <v>78.105475999999996</v>
      </c>
      <c r="P52" s="1">
        <v>176.770523</v>
      </c>
      <c r="R52" s="5">
        <f t="shared" si="8"/>
        <v>75.924799408475607</v>
      </c>
      <c r="S52" s="5">
        <f t="shared" si="9"/>
        <v>77.516025387327247</v>
      </c>
      <c r="T52" s="5">
        <f t="shared" si="10"/>
        <v>77.820720677684847</v>
      </c>
      <c r="U52" s="5">
        <f t="shared" si="11"/>
        <v>77.893695260388299</v>
      </c>
      <c r="V52" s="5"/>
      <c r="W52" s="5">
        <f>0.15*P51+(1-0.15)*W51</f>
        <v>176.890703704098</v>
      </c>
      <c r="X52" s="5">
        <f>0.35*P51+(1-0.35)*X51</f>
        <v>178.12070565990004</v>
      </c>
      <c r="Y52" s="5">
        <f>0.55*P51+(1-0.55)*Y51</f>
        <v>178.30271014744693</v>
      </c>
      <c r="Z52" s="5">
        <f>0.75*P51+(1-0.75)*Z51</f>
        <v>178.11511995206132</v>
      </c>
      <c r="AB52" s="5">
        <f t="shared" si="0"/>
        <v>2.7919637689992296</v>
      </c>
      <c r="AC52" s="5">
        <f t="shared" si="1"/>
        <v>0.75468538553269848</v>
      </c>
      <c r="AD52" s="5">
        <f t="shared" si="2"/>
        <v>0.36457792321136273</v>
      </c>
      <c r="AE52" s="5">
        <f t="shared" si="3"/>
        <v>0.2711471083176003</v>
      </c>
      <c r="AG52" s="5">
        <f>ABS((P52-W52)/P52)*100</f>
        <v>6.7986846482320076E-2</v>
      </c>
      <c r="AH52" s="5">
        <f>ABS((P52-X52)/P52)*100</f>
        <v>0.76380532058506301</v>
      </c>
      <c r="AI52" s="5">
        <f>ABS((P52-Y52)/P52)*100</f>
        <v>0.8667662014254115</v>
      </c>
      <c r="AJ52" s="5">
        <f>ABS((P52-Z52)/P52)*100</f>
        <v>0.76064545674355633</v>
      </c>
      <c r="AL52" s="5">
        <f>0.15*(T52-T51)+(1-0.15)*AL51</f>
        <v>0.39103376177440202</v>
      </c>
      <c r="AM52" s="5">
        <f>0.25*(T52-T51)+(1-0.25)*AM51</f>
        <v>0.34001791669748727</v>
      </c>
      <c r="AN52" s="5">
        <f>0.45*(T52-T51)+(1-0.45)*AN51</f>
        <v>0.25666381543013478</v>
      </c>
      <c r="AO52" s="5">
        <f>0.85*(T52-T51)+(1-0.85)*AO51</f>
        <v>0.10018060250924068</v>
      </c>
      <c r="AP52" s="5">
        <f>T52+AL52</f>
        <v>78.211754439459256</v>
      </c>
      <c r="AQ52" s="5">
        <f t="shared" si="4"/>
        <v>78.160738594382337</v>
      </c>
      <c r="AR52" s="5">
        <f t="shared" si="5"/>
        <v>78.077384493114977</v>
      </c>
      <c r="AS52" s="5">
        <f t="shared" si="6"/>
        <v>77.920901280194087</v>
      </c>
      <c r="AT52" s="5">
        <f t="shared" si="12"/>
        <v>0.10627843945925974</v>
      </c>
      <c r="AU52" s="5">
        <f t="shared" si="13"/>
        <v>98.60978440561766</v>
      </c>
      <c r="AV52" s="5">
        <f t="shared" si="18"/>
        <v>78.077384493114977</v>
      </c>
      <c r="AW52" s="5">
        <f t="shared" si="18"/>
        <v>1.99610187171848</v>
      </c>
      <c r="AY52" s="5">
        <f>0.15*(Y52-Y51)+(1-0.15)*AY51</f>
        <v>0.29122632894071127</v>
      </c>
      <c r="AZ52" s="5">
        <f>0.25*(Y52-Y51)+(1-0.25)*AZ51</f>
        <v>0.2610135298895252</v>
      </c>
      <c r="BA52" s="5">
        <f>0.45*(Y52-Y51)+(1-0.45)*BA51</f>
        <v>5.8262865431591093E-2</v>
      </c>
      <c r="BB52" s="5">
        <f>0.85*(Y52-Y51)+(1-0.85)*BB51</f>
        <v>-0.55493447326668988</v>
      </c>
      <c r="BC52" s="5">
        <f>Y52+AY52</f>
        <v>178.59393647638765</v>
      </c>
      <c r="BD52" s="5">
        <f>Y52+AZ52</f>
        <v>178.56372367733647</v>
      </c>
      <c r="BE52" s="5">
        <f>Y52+BA52</f>
        <v>178.36097301287853</v>
      </c>
      <c r="BF52" s="5">
        <f>Y52+BB52</f>
        <v>177.74777567418025</v>
      </c>
      <c r="BG52" s="5">
        <f t="shared" si="14"/>
        <v>1.8234134763876568</v>
      </c>
      <c r="BH52" s="5">
        <f t="shared" si="15"/>
        <v>1.7932006773364719</v>
      </c>
      <c r="BI52" s="5">
        <f t="shared" si="16"/>
        <v>1.5904500128785344</v>
      </c>
      <c r="BJ52" s="5">
        <f t="shared" si="17"/>
        <v>0.97725267418024941</v>
      </c>
    </row>
    <row r="53" spans="13:62" x14ac:dyDescent="0.35">
      <c r="M53" s="2">
        <v>51</v>
      </c>
      <c r="N53" s="3">
        <v>43853</v>
      </c>
      <c r="O53" s="1">
        <v>78.481621000000004</v>
      </c>
      <c r="P53" s="1">
        <v>176.30909700000001</v>
      </c>
      <c r="R53" s="5">
        <f t="shared" si="8"/>
        <v>76.251900897204266</v>
      </c>
      <c r="S53" s="5">
        <f t="shared" si="9"/>
        <v>77.722333101762715</v>
      </c>
      <c r="T53" s="5">
        <f t="shared" si="10"/>
        <v>77.977336104958169</v>
      </c>
      <c r="U53" s="5">
        <f t="shared" si="11"/>
        <v>78.052530815097072</v>
      </c>
      <c r="V53" s="5"/>
      <c r="W53" s="5">
        <f>0.15*P52+(1-0.15)*W52</f>
        <v>176.87267659848328</v>
      </c>
      <c r="X53" s="5">
        <f>0.35*P52+(1-0.35)*X52</f>
        <v>177.648141728935</v>
      </c>
      <c r="Y53" s="5">
        <f>0.55*P52+(1-0.55)*Y52</f>
        <v>177.46000721635113</v>
      </c>
      <c r="Z53" s="5">
        <f>0.75*P52+(1-0.75)*Z52</f>
        <v>177.10667223801534</v>
      </c>
      <c r="AB53" s="5">
        <f t="shared" si="0"/>
        <v>2.841072947251865</v>
      </c>
      <c r="AC53" s="5">
        <f t="shared" si="1"/>
        <v>0.96747224198808213</v>
      </c>
      <c r="AD53" s="5">
        <f t="shared" si="2"/>
        <v>0.6425515791038956</v>
      </c>
      <c r="AE53" s="5">
        <f t="shared" si="3"/>
        <v>0.54673970725315735</v>
      </c>
      <c r="AG53" s="5">
        <f>ABS((P53-W53)/P53)*100</f>
        <v>0.31965429355200686</v>
      </c>
      <c r="AH53" s="5">
        <f>ABS((P53-X53)/P53)*100</f>
        <v>0.75948703255793626</v>
      </c>
      <c r="AI53" s="5">
        <f>ABS((P53-Y53)/P53)*100</f>
        <v>0.65277982584819294</v>
      </c>
      <c r="AJ53" s="5">
        <f>ABS((P53-Z53)/P53)*100</f>
        <v>0.45237327601724753</v>
      </c>
      <c r="AL53" s="5">
        <f>0.15*(T53-T52)+(1-0.15)*AL52</f>
        <v>0.35587101159924017</v>
      </c>
      <c r="AM53" s="5">
        <f>0.25*(T53-T52)+(1-0.25)*AM52</f>
        <v>0.29416729434144617</v>
      </c>
      <c r="AN53" s="5">
        <f>0.45*(T53-T52)+(1-0.45)*AN52</f>
        <v>0.21164204075956944</v>
      </c>
      <c r="AO53" s="5">
        <f>0.85*(T53-T52)+(1-0.85)*AO52</f>
        <v>0.14815020355871056</v>
      </c>
      <c r="AP53" s="5">
        <f>T53+AL53</f>
        <v>78.333207116557404</v>
      </c>
      <c r="AQ53" s="5">
        <f t="shared" si="4"/>
        <v>78.271503399299618</v>
      </c>
      <c r="AR53" s="5">
        <f t="shared" si="5"/>
        <v>78.188978145717741</v>
      </c>
      <c r="AS53" s="5">
        <f t="shared" si="6"/>
        <v>78.125486308516884</v>
      </c>
      <c r="AT53" s="5">
        <f t="shared" si="12"/>
        <v>0.14841388344260054</v>
      </c>
      <c r="AU53" s="5">
        <f t="shared" si="13"/>
        <v>98.03759360070039</v>
      </c>
      <c r="AV53" s="5">
        <f t="shared" si="18"/>
        <v>78.188978145717741</v>
      </c>
      <c r="AW53" s="5">
        <f t="shared" si="18"/>
        <v>1.873585411312618</v>
      </c>
      <c r="AY53" s="5">
        <f>0.15*(Y53-Y52)+(1-0.15)*AY52</f>
        <v>0.1211369399352345</v>
      </c>
      <c r="AZ53" s="5">
        <f>0.25*(Y53-Y52)+(1-0.25)*AZ52</f>
        <v>-1.4915585356806232E-2</v>
      </c>
      <c r="BA53" s="5">
        <f>0.45*(Y53-Y52)+(1-0.45)*BA52</f>
        <v>-0.34717174300573517</v>
      </c>
      <c r="BB53" s="5">
        <f>0.85*(Y53-Y52)+(1-0.85)*BB52</f>
        <v>-0.79953766242143387</v>
      </c>
      <c r="BC53" s="5">
        <f>Y53+AY53</f>
        <v>177.58114415628637</v>
      </c>
      <c r="BD53" s="5">
        <f>Y53+AZ53</f>
        <v>177.44509163099431</v>
      </c>
      <c r="BE53" s="5">
        <f>Y53+BA53</f>
        <v>177.1128354733454</v>
      </c>
      <c r="BF53" s="5">
        <f>Y53+BB53</f>
        <v>176.66046955392969</v>
      </c>
      <c r="BG53" s="5">
        <f t="shared" si="14"/>
        <v>1.2720471562863622</v>
      </c>
      <c r="BH53" s="5">
        <f t="shared" si="15"/>
        <v>1.1359946309943041</v>
      </c>
      <c r="BI53" s="5">
        <f t="shared" si="16"/>
        <v>0.8037384733453905</v>
      </c>
      <c r="BJ53" s="5">
        <f t="shared" si="17"/>
        <v>0.35137255392967859</v>
      </c>
    </row>
    <row r="54" spans="13:62" x14ac:dyDescent="0.35">
      <c r="M54" s="2">
        <v>52</v>
      </c>
      <c r="N54" s="3">
        <v>43854</v>
      </c>
      <c r="O54" s="1">
        <v>78.255439999999993</v>
      </c>
      <c r="P54" s="1">
        <v>173.903717</v>
      </c>
      <c r="R54" s="5">
        <f t="shared" si="8"/>
        <v>76.586358912623623</v>
      </c>
      <c r="S54" s="5">
        <f t="shared" si="9"/>
        <v>77.988083866145757</v>
      </c>
      <c r="T54" s="5">
        <f t="shared" si="10"/>
        <v>78.254692797231172</v>
      </c>
      <c r="U54" s="5">
        <f t="shared" si="11"/>
        <v>78.374348453774275</v>
      </c>
      <c r="V54" s="5"/>
      <c r="W54" s="5">
        <f>0.15*P53+(1-0.15)*W53</f>
        <v>176.78813965871078</v>
      </c>
      <c r="X54" s="5">
        <f>0.35*P53+(1-0.35)*X53</f>
        <v>177.17947607380776</v>
      </c>
      <c r="Y54" s="5">
        <f>0.55*P53+(1-0.55)*Y53</f>
        <v>176.82700659735801</v>
      </c>
      <c r="Z54" s="5">
        <f>0.75*P53+(1-0.75)*Z53</f>
        <v>176.50849080950383</v>
      </c>
      <c r="AB54" s="5">
        <f t="shared" si="0"/>
        <v>2.1328626960328503</v>
      </c>
      <c r="AC54" s="5">
        <f t="shared" si="1"/>
        <v>0.3416454291921886</v>
      </c>
      <c r="AD54" s="5">
        <f t="shared" si="2"/>
        <v>9.5482533715342765E-4</v>
      </c>
      <c r="AE54" s="5">
        <f t="shared" si="3"/>
        <v>0.15194912171509292</v>
      </c>
      <c r="AG54" s="5">
        <f>ABS((P54-W54)/P54)*100</f>
        <v>1.6586319766303648</v>
      </c>
      <c r="AH54" s="5">
        <f>ABS((P54-X54)/P54)*100</f>
        <v>1.883662483078359</v>
      </c>
      <c r="AI54" s="5">
        <f>ABS((P54-Y54)/P54)*100</f>
        <v>1.6809816649048435</v>
      </c>
      <c r="AJ54" s="5">
        <f>ABS((P54-Z54)/P54)*100</f>
        <v>1.4978252647146268</v>
      </c>
      <c r="AL54" s="5">
        <f>0.15*(T54-T53)+(1-0.15)*AL53</f>
        <v>0.34409386370030454</v>
      </c>
      <c r="AM54" s="5">
        <f>0.25*(T54-T53)+(1-0.25)*AM53</f>
        <v>0.28996464382433529</v>
      </c>
      <c r="AN54" s="5">
        <f>0.45*(T54-T53)+(1-0.45)*AN53</f>
        <v>0.2412136339406144</v>
      </c>
      <c r="AO54" s="5">
        <f>0.85*(T54-T53)+(1-0.85)*AO53</f>
        <v>0.2579757189658588</v>
      </c>
      <c r="AP54" s="5">
        <f>T54+AL54</f>
        <v>78.598786660931481</v>
      </c>
      <c r="AQ54" s="5">
        <f t="shared" si="4"/>
        <v>78.544657441055506</v>
      </c>
      <c r="AR54" s="5">
        <f t="shared" si="5"/>
        <v>78.49590643117179</v>
      </c>
      <c r="AS54" s="5">
        <f t="shared" si="6"/>
        <v>78.512668516197024</v>
      </c>
      <c r="AT54" s="5">
        <f t="shared" si="12"/>
        <v>0.34334666093148769</v>
      </c>
      <c r="AU54" s="5">
        <f t="shared" si="13"/>
        <v>95.359059558944494</v>
      </c>
      <c r="AV54" s="5">
        <f t="shared" si="18"/>
        <v>78.49590643117179</v>
      </c>
      <c r="AW54" s="5">
        <f t="shared" si="18"/>
        <v>1.9263096035734009</v>
      </c>
      <c r="AY54" s="5">
        <f>0.15*(Y54-Y53)+(1-0.15)*AY53</f>
        <v>8.0163060959809462E-3</v>
      </c>
      <c r="AZ54" s="5">
        <f>0.25*(Y54-Y53)+(1-0.25)*AZ53</f>
        <v>-0.1694368437658853</v>
      </c>
      <c r="BA54" s="5">
        <f>0.45*(Y54-Y53)+(1-0.45)*BA53</f>
        <v>-0.47579473720005949</v>
      </c>
      <c r="BB54" s="5">
        <f>0.85*(Y54-Y53)+(1-0.85)*BB53</f>
        <v>-0.65798117550736923</v>
      </c>
      <c r="BC54" s="5">
        <f>Y54+AY54</f>
        <v>176.83502290345399</v>
      </c>
      <c r="BD54" s="5">
        <f>Y54+AZ54</f>
        <v>176.65756975359213</v>
      </c>
      <c r="BE54" s="5">
        <f>Y54+BA54</f>
        <v>176.35121186015795</v>
      </c>
      <c r="BF54" s="5">
        <f>Y54+BB54</f>
        <v>176.16902542185065</v>
      </c>
      <c r="BG54" s="5">
        <f t="shared" si="14"/>
        <v>2.931305903453989</v>
      </c>
      <c r="BH54" s="5">
        <f t="shared" si="15"/>
        <v>2.7538527535921276</v>
      </c>
      <c r="BI54" s="5">
        <f t="shared" si="16"/>
        <v>2.4474948601579456</v>
      </c>
      <c r="BJ54" s="5">
        <f t="shared" si="17"/>
        <v>2.2653084218506478</v>
      </c>
    </row>
    <row r="55" spans="13:62" x14ac:dyDescent="0.35">
      <c r="M55" s="2">
        <v>53</v>
      </c>
      <c r="N55" s="3">
        <v>43857</v>
      </c>
      <c r="O55" s="1">
        <v>75.954314999999994</v>
      </c>
      <c r="P55" s="1">
        <v>170.37908899999999</v>
      </c>
      <c r="R55" s="5">
        <f t="shared" si="8"/>
        <v>76.836721075730082</v>
      </c>
      <c r="S55" s="5">
        <f t="shared" si="9"/>
        <v>78.081658512994736</v>
      </c>
      <c r="T55" s="5">
        <f t="shared" si="10"/>
        <v>78.255103758754018</v>
      </c>
      <c r="U55" s="5">
        <f t="shared" si="11"/>
        <v>78.285167113443563</v>
      </c>
      <c r="V55" s="5"/>
      <c r="W55" s="5">
        <f>0.15*P54+(1-0.15)*W54</f>
        <v>176.35547625990415</v>
      </c>
      <c r="X55" s="5">
        <f>0.35*P54+(1-0.35)*X54</f>
        <v>176.03296039797505</v>
      </c>
      <c r="Y55" s="5">
        <f>0.55*P54+(1-0.55)*Y54</f>
        <v>175.2191973188111</v>
      </c>
      <c r="Z55" s="5">
        <f>0.75*P54+(1-0.75)*Z54</f>
        <v>174.55491045237596</v>
      </c>
      <c r="AB55" s="5">
        <f t="shared" si="0"/>
        <v>1.1617589806847557</v>
      </c>
      <c r="AC55" s="5">
        <f t="shared" si="1"/>
        <v>2.8008198257001484</v>
      </c>
      <c r="AD55" s="5">
        <f t="shared" si="2"/>
        <v>3.0291745225455911</v>
      </c>
      <c r="AE55" s="5">
        <f t="shared" si="3"/>
        <v>3.0687553609608216</v>
      </c>
      <c r="AG55" s="5">
        <f>ABS((P55-W55)/P55)*100</f>
        <v>3.5076999736183341</v>
      </c>
      <c r="AH55" s="5">
        <f>ABS((P55-X55)/P55)*100</f>
        <v>3.3184068720868987</v>
      </c>
      <c r="AI55" s="5">
        <f>ABS((P55-Y55)/P55)*100</f>
        <v>2.8407877675711157</v>
      </c>
      <c r="AJ55" s="5">
        <f>ABS((P55-Z55)/P55)*100</f>
        <v>2.4509002113375375</v>
      </c>
      <c r="AL55" s="5">
        <f>0.15*(T55-T54)+(1-0.15)*AL54</f>
        <v>0.29254142837368569</v>
      </c>
      <c r="AM55" s="5">
        <f>0.25*(T55-T54)+(1-0.25)*AM54</f>
        <v>0.21757622324896292</v>
      </c>
      <c r="AN55" s="5">
        <f>0.45*(T55-T54)+(1-0.45)*AN54</f>
        <v>0.13285243135261854</v>
      </c>
      <c r="AO55" s="5">
        <f>0.85*(T55-T54)+(1-0.85)*AO54</f>
        <v>3.9045675139297763E-2</v>
      </c>
      <c r="AP55" s="5">
        <f>T55+AL55</f>
        <v>78.547645187127699</v>
      </c>
      <c r="AQ55" s="5">
        <f t="shared" si="4"/>
        <v>78.472679982002987</v>
      </c>
      <c r="AR55" s="5">
        <f t="shared" si="5"/>
        <v>78.387956190106635</v>
      </c>
      <c r="AS55" s="5">
        <f t="shared" si="6"/>
        <v>78.29414943389331</v>
      </c>
      <c r="AT55" s="5">
        <f t="shared" si="12"/>
        <v>2.5933301871277052</v>
      </c>
      <c r="AU55" s="5">
        <f t="shared" si="13"/>
        <v>91.906409017997007</v>
      </c>
      <c r="AV55" s="5">
        <f t="shared" si="18"/>
        <v>78.387956190106635</v>
      </c>
      <c r="AW55" s="5">
        <f t="shared" si="18"/>
        <v>1.4574283581632272</v>
      </c>
      <c r="AY55" s="5">
        <f>0.15*(Y55-Y54)+(1-0.15)*AY54</f>
        <v>-0.23435753160045261</v>
      </c>
      <c r="AZ55" s="5">
        <f>0.25*(Y55-Y54)+(1-0.25)*AZ54</f>
        <v>-0.52902995246114137</v>
      </c>
      <c r="BA55" s="5">
        <f>0.45*(Y55-Y54)+(1-0.45)*BA54</f>
        <v>-0.98520128080614211</v>
      </c>
      <c r="BB55" s="5">
        <f>0.85*(Y55-Y54)+(1-0.85)*BB54</f>
        <v>-1.4653350630909785</v>
      </c>
      <c r="BC55" s="5">
        <f>Y55+AY55</f>
        <v>174.98483978721063</v>
      </c>
      <c r="BD55" s="5">
        <f>Y55+AZ55</f>
        <v>174.69016736634995</v>
      </c>
      <c r="BE55" s="5">
        <f>Y55+BA55</f>
        <v>174.23399603800496</v>
      </c>
      <c r="BF55" s="5">
        <f>Y55+BB55</f>
        <v>173.75386225572012</v>
      </c>
      <c r="BG55" s="5">
        <f t="shared" si="14"/>
        <v>4.6057507872106385</v>
      </c>
      <c r="BH55" s="5">
        <f t="shared" si="15"/>
        <v>4.3110783663499603</v>
      </c>
      <c r="BI55" s="5">
        <f t="shared" si="16"/>
        <v>3.854907038004967</v>
      </c>
      <c r="BJ55" s="5">
        <f t="shared" si="17"/>
        <v>3.3747732557201289</v>
      </c>
    </row>
    <row r="56" spans="13:62" x14ac:dyDescent="0.35">
      <c r="M56" s="2">
        <v>54</v>
      </c>
      <c r="N56" s="3">
        <v>43858</v>
      </c>
      <c r="O56" s="1">
        <v>78.103012000000007</v>
      </c>
      <c r="P56" s="1">
        <v>172.26414500000001</v>
      </c>
      <c r="R56" s="5">
        <f t="shared" si="8"/>
        <v>76.70436016437057</v>
      </c>
      <c r="S56" s="5">
        <f t="shared" si="9"/>
        <v>77.337088283446576</v>
      </c>
      <c r="T56" s="5">
        <f t="shared" si="10"/>
        <v>76.989669941439303</v>
      </c>
      <c r="U56" s="5">
        <f t="shared" si="11"/>
        <v>76.537028028360879</v>
      </c>
      <c r="V56" s="5"/>
      <c r="W56" s="5">
        <f>0.15*P55+(1-0.15)*W55</f>
        <v>175.45901817091851</v>
      </c>
      <c r="X56" s="5">
        <f>0.35*P55+(1-0.35)*X55</f>
        <v>174.05410540868377</v>
      </c>
      <c r="Y56" s="5">
        <f>0.55*P55+(1-0.55)*Y55</f>
        <v>172.55713774346498</v>
      </c>
      <c r="Z56" s="5">
        <f>0.75*P55+(1-0.75)*Z55</f>
        <v>171.42304436309399</v>
      </c>
      <c r="AB56" s="5">
        <f t="shared" si="0"/>
        <v>1.7907783577276595</v>
      </c>
      <c r="AC56" s="5">
        <f t="shared" si="1"/>
        <v>0.98065835995342998</v>
      </c>
      <c r="AD56" s="5">
        <f t="shared" si="2"/>
        <v>1.4254790308992233</v>
      </c>
      <c r="AE56" s="5">
        <f t="shared" si="3"/>
        <v>2.0050237904258128</v>
      </c>
      <c r="AG56" s="5">
        <f>ABS((P56-W56)/P56)*100</f>
        <v>1.8546361873032244</v>
      </c>
      <c r="AH56" s="5">
        <f>ABS((P56-X56)/P56)*100</f>
        <v>1.0390789149325033</v>
      </c>
      <c r="AI56" s="5">
        <f>ABS((P56-Y56)/P56)*100</f>
        <v>0.17008341664190429</v>
      </c>
      <c r="AJ56" s="5">
        <f>ABS((P56-Z56)/P56)*100</f>
        <v>0.48826216094244124</v>
      </c>
      <c r="AL56" s="5">
        <f>0.15*(T56-T55)+(1-0.15)*AL55</f>
        <v>5.8845141520425553E-2</v>
      </c>
      <c r="AM56" s="5">
        <f>0.25*(T56-T55)+(1-0.25)*AM55</f>
        <v>-0.15317628689195661</v>
      </c>
      <c r="AN56" s="5">
        <f>0.45*(T56-T55)+(1-0.45)*AN55</f>
        <v>-0.49637638054768174</v>
      </c>
      <c r="AO56" s="5">
        <f>0.85*(T56-T55)+(1-0.85)*AO55</f>
        <v>-1.0697618934466131</v>
      </c>
      <c r="AP56" s="5">
        <f>T56+AL56</f>
        <v>77.048515082959725</v>
      </c>
      <c r="AQ56" s="5">
        <f t="shared" si="4"/>
        <v>76.83649365454734</v>
      </c>
      <c r="AR56" s="5">
        <f t="shared" si="5"/>
        <v>76.493293560891615</v>
      </c>
      <c r="AS56" s="5">
        <f t="shared" si="6"/>
        <v>75.919908047992692</v>
      </c>
      <c r="AT56" s="5">
        <f t="shared" si="12"/>
        <v>1.0544969170402823</v>
      </c>
      <c r="AU56" s="5">
        <f t="shared" si="13"/>
        <v>95.427651345452674</v>
      </c>
      <c r="AV56" s="5">
        <f t="shared" si="18"/>
        <v>76.493293560891615</v>
      </c>
      <c r="AW56" s="5">
        <f t="shared" si="18"/>
        <v>0.78445211637787793</v>
      </c>
      <c r="AY56" s="5">
        <f>0.15*(Y56-Y55)+(1-0.15)*AY55</f>
        <v>-0.59851283816230283</v>
      </c>
      <c r="AZ56" s="5">
        <f>0.25*(Y56-Y55)+(1-0.25)*AZ55</f>
        <v>-1.062287358182386</v>
      </c>
      <c r="BA56" s="5">
        <f>0.45*(Y56-Y55)+(1-0.45)*BA55</f>
        <v>-1.7397875133491323</v>
      </c>
      <c r="BB56" s="5">
        <f>0.85*(Y56-Y55)+(1-0.85)*BB55</f>
        <v>-2.4825508985078488</v>
      </c>
      <c r="BC56" s="5">
        <f>Y56+AY56</f>
        <v>171.95862490530268</v>
      </c>
      <c r="BD56" s="5">
        <f>Y56+AZ56</f>
        <v>171.4948503852826</v>
      </c>
      <c r="BE56" s="5">
        <f>Y56+BA56</f>
        <v>170.81735023011584</v>
      </c>
      <c r="BF56" s="5">
        <f>Y56+BB56</f>
        <v>170.07458684495714</v>
      </c>
      <c r="BG56" s="5">
        <f t="shared" si="14"/>
        <v>0.30552009469732866</v>
      </c>
      <c r="BH56" s="5">
        <f t="shared" si="15"/>
        <v>0.76929461471740979</v>
      </c>
      <c r="BI56" s="5">
        <f t="shared" si="16"/>
        <v>1.4467947698841783</v>
      </c>
      <c r="BJ56" s="5">
        <f t="shared" si="17"/>
        <v>2.1895581550428744</v>
      </c>
    </row>
    <row r="57" spans="13:62" x14ac:dyDescent="0.35">
      <c r="M57" s="2">
        <v>55</v>
      </c>
      <c r="N57" s="3">
        <v>43859</v>
      </c>
      <c r="O57" s="1">
        <v>79.737899999999996</v>
      </c>
      <c r="P57" s="1">
        <v>172.47030599999999</v>
      </c>
      <c r="R57" s="5">
        <f t="shared" si="8"/>
        <v>76.914157939714983</v>
      </c>
      <c r="S57" s="5">
        <f t="shared" si="9"/>
        <v>77.605161584240278</v>
      </c>
      <c r="T57" s="5">
        <f t="shared" si="10"/>
        <v>77.602008073647696</v>
      </c>
      <c r="U57" s="5">
        <f t="shared" si="11"/>
        <v>77.711516007090225</v>
      </c>
      <c r="V57" s="5"/>
      <c r="W57" s="5">
        <f>0.15*P56+(1-0.15)*W56</f>
        <v>174.97978719528072</v>
      </c>
      <c r="X57" s="5">
        <f>0.35*P56+(1-0.35)*X56</f>
        <v>173.42761926564447</v>
      </c>
      <c r="Y57" s="5">
        <f>0.55*P56+(1-0.55)*Y56</f>
        <v>172.39599173455923</v>
      </c>
      <c r="Z57" s="5">
        <f>0.75*P56+(1-0.75)*Z56</f>
        <v>172.05386984077353</v>
      </c>
      <c r="AB57" s="5">
        <f t="shared" si="0"/>
        <v>3.5412796929502957</v>
      </c>
      <c r="AC57" s="5">
        <f t="shared" si="1"/>
        <v>2.6746859595747043</v>
      </c>
      <c r="AD57" s="5">
        <f t="shared" si="2"/>
        <v>2.6786408048773551</v>
      </c>
      <c r="AE57" s="5">
        <f t="shared" si="3"/>
        <v>2.5413059447386646</v>
      </c>
      <c r="AG57" s="5">
        <f>ABS((P57-W57)/P57)*100</f>
        <v>1.4550221736608548</v>
      </c>
      <c r="AH57" s="5">
        <f>ABS((P57-X57)/P57)*100</f>
        <v>0.55505975947214514</v>
      </c>
      <c r="AI57" s="5">
        <f>ABS((P57-Y57)/P57)*100</f>
        <v>4.3088150745648951E-2</v>
      </c>
      <c r="AJ57" s="5">
        <f>ABS((P57-Z57)/P57)*100</f>
        <v>0.24145382987055411</v>
      </c>
      <c r="AL57" s="5">
        <f>0.15*(T57-T56)+(1-0.15)*AL56</f>
        <v>0.14186909012362064</v>
      </c>
      <c r="AM57" s="5">
        <f>0.25*(T57-T56)+(1-0.25)*AM56</f>
        <v>3.8202317883130776E-2</v>
      </c>
      <c r="AN57" s="5">
        <f>0.45*(T57-T56)+(1-0.45)*AN56</f>
        <v>2.5451501925518594E-3</v>
      </c>
      <c r="AO57" s="5">
        <f>0.85*(T57-T56)+(1-0.85)*AO56</f>
        <v>0.36002312836014205</v>
      </c>
      <c r="AP57" s="5">
        <f>T57+AL57</f>
        <v>77.743877163771316</v>
      </c>
      <c r="AQ57" s="5">
        <f t="shared" si="4"/>
        <v>77.640210391530829</v>
      </c>
      <c r="AR57" s="5">
        <f t="shared" si="5"/>
        <v>77.604553223840242</v>
      </c>
      <c r="AS57" s="5">
        <f t="shared" si="6"/>
        <v>77.962031202007836</v>
      </c>
      <c r="AT57" s="5">
        <f t="shared" si="12"/>
        <v>1.9940228362286803</v>
      </c>
      <c r="AU57" s="5">
        <f t="shared" si="13"/>
        <v>94.830095608469165</v>
      </c>
      <c r="AV57" s="5">
        <f t="shared" si="18"/>
        <v>77.604553223840242</v>
      </c>
      <c r="AW57" s="5">
        <f t="shared" si="18"/>
        <v>1.0478732622928533</v>
      </c>
      <c r="AY57" s="5">
        <f>0.15*(Y57-Y56)+(1-0.15)*AY56</f>
        <v>-0.53290781377381924</v>
      </c>
      <c r="AZ57" s="5">
        <f>0.25*(Y57-Y56)+(1-0.25)*AZ56</f>
        <v>-0.83700202086322595</v>
      </c>
      <c r="BA57" s="5">
        <f>0.45*(Y57-Y56)+(1-0.45)*BA56</f>
        <v>-1.0293988363496085</v>
      </c>
      <c r="BB57" s="5">
        <f>0.85*(Y57-Y56)+(1-0.85)*BB56</f>
        <v>-0.50935674234606143</v>
      </c>
      <c r="BC57" s="5">
        <f>Y57+AY57</f>
        <v>171.86308392078541</v>
      </c>
      <c r="BD57" s="5">
        <f>Y57+AZ57</f>
        <v>171.55898971369601</v>
      </c>
      <c r="BE57" s="5">
        <f>Y57+BA57</f>
        <v>171.36659289820963</v>
      </c>
      <c r="BF57" s="5">
        <f>Y57+BB57</f>
        <v>171.88663499221317</v>
      </c>
      <c r="BG57" s="5">
        <f t="shared" si="14"/>
        <v>0.60722207921457994</v>
      </c>
      <c r="BH57" s="5">
        <f t="shared" si="15"/>
        <v>0.91131628630398609</v>
      </c>
      <c r="BI57" s="5">
        <f t="shared" si="16"/>
        <v>1.1037131017903619</v>
      </c>
      <c r="BJ57" s="5">
        <f t="shared" si="17"/>
        <v>0.58367100778681902</v>
      </c>
    </row>
    <row r="58" spans="13:62" x14ac:dyDescent="0.35">
      <c r="M58" s="2">
        <v>56</v>
      </c>
      <c r="N58" s="3">
        <v>43860</v>
      </c>
      <c r="O58" s="1">
        <v>79.622337000000002</v>
      </c>
      <c r="P58" s="1">
        <v>175.09165999999999</v>
      </c>
      <c r="R58" s="5">
        <f t="shared" si="8"/>
        <v>77.337719248757736</v>
      </c>
      <c r="S58" s="5">
        <f t="shared" si="9"/>
        <v>78.351620029756177</v>
      </c>
      <c r="T58" s="5">
        <f t="shared" si="10"/>
        <v>78.776748633141466</v>
      </c>
      <c r="U58" s="5">
        <f t="shared" si="11"/>
        <v>79.231304001772557</v>
      </c>
      <c r="V58" s="5"/>
      <c r="W58" s="5">
        <f>0.15*P57+(1-0.15)*W57</f>
        <v>174.6033650159886</v>
      </c>
      <c r="X58" s="5">
        <f>0.35*P57+(1-0.35)*X57</f>
        <v>173.09255962266889</v>
      </c>
      <c r="Y58" s="5">
        <f>0.55*P57+(1-0.55)*Y57</f>
        <v>172.43686458055166</v>
      </c>
      <c r="Z58" s="5">
        <f>0.75*P57+(1-0.75)*Z57</f>
        <v>172.36619696019341</v>
      </c>
      <c r="AB58" s="5">
        <f t="shared" si="0"/>
        <v>2.8693176278438868</v>
      </c>
      <c r="AC58" s="5">
        <f t="shared" si="1"/>
        <v>1.5959302604290866</v>
      </c>
      <c r="AD58" s="5">
        <f t="shared" si="2"/>
        <v>1.0619989298462009</v>
      </c>
      <c r="AE58" s="5">
        <f t="shared" si="3"/>
        <v>0.49110967218589019</v>
      </c>
      <c r="AG58" s="5">
        <f>ABS((P58-W58)/P58)*100</f>
        <v>0.27887963596403709</v>
      </c>
      <c r="AH58" s="5">
        <f>ABS((P58-X58)/P58)*100</f>
        <v>1.1417450593198464</v>
      </c>
      <c r="AI58" s="5">
        <f>ABS((P58-Y58)/P58)*100</f>
        <v>1.5162317950771236</v>
      </c>
      <c r="AJ58" s="5">
        <f>ABS((P58-Z58)/P58)*100</f>
        <v>1.5565921528224613</v>
      </c>
      <c r="AL58" s="5">
        <f>0.15*(T58-T57)+(1-0.15)*AL57</f>
        <v>0.29679981052914306</v>
      </c>
      <c r="AM58" s="5">
        <f>0.25*(T58-T57)+(1-0.25)*AM57</f>
        <v>0.32233687828579066</v>
      </c>
      <c r="AN58" s="5">
        <f>0.45*(T58-T57)+(1-0.45)*AN57</f>
        <v>0.53003308437810015</v>
      </c>
      <c r="AO58" s="5">
        <f>0.85*(T58-T57)+(1-0.85)*AO57</f>
        <v>1.0525329448237259</v>
      </c>
      <c r="AP58" s="5">
        <f>T58+AL58</f>
        <v>79.073548443670603</v>
      </c>
      <c r="AQ58" s="5">
        <f t="shared" si="4"/>
        <v>79.099085511427262</v>
      </c>
      <c r="AR58" s="5">
        <f t="shared" si="5"/>
        <v>79.30678171751957</v>
      </c>
      <c r="AS58" s="5">
        <f t="shared" si="6"/>
        <v>79.82928157796519</v>
      </c>
      <c r="AT58" s="5">
        <f t="shared" si="12"/>
        <v>0.5487885563293986</v>
      </c>
      <c r="AU58" s="5">
        <f t="shared" si="13"/>
        <v>95.992574488572728</v>
      </c>
      <c r="AV58" s="5">
        <f t="shared" si="18"/>
        <v>79.30678171751957</v>
      </c>
      <c r="AW58" s="5">
        <f t="shared" si="18"/>
        <v>2.4915623292074542</v>
      </c>
      <c r="AY58" s="5">
        <f>0.15*(Y58-Y57)+(1-0.15)*AY57</f>
        <v>-0.4468407148088826</v>
      </c>
      <c r="AZ58" s="5">
        <f>0.25*(Y58-Y57)+(1-0.25)*AZ57</f>
        <v>-0.61753330414931329</v>
      </c>
      <c r="BA58" s="5">
        <f>0.45*(Y58-Y57)+(1-0.45)*BA57</f>
        <v>-0.54777657929569357</v>
      </c>
      <c r="BB58" s="5">
        <f>0.85*(Y58-Y57)+(1-0.85)*BB57</f>
        <v>-4.1661592258348153E-2</v>
      </c>
      <c r="BC58" s="5">
        <f>Y58+AY58</f>
        <v>171.99002386574278</v>
      </c>
      <c r="BD58" s="5">
        <f>Y58+AZ58</f>
        <v>171.81933127640235</v>
      </c>
      <c r="BE58" s="5">
        <f>Y58+BA58</f>
        <v>171.88908800125597</v>
      </c>
      <c r="BF58" s="5">
        <f>Y58+BB58</f>
        <v>172.39520298829331</v>
      </c>
      <c r="BG58" s="5">
        <f t="shared" si="14"/>
        <v>3.1016361342572054</v>
      </c>
      <c r="BH58" s="5">
        <f t="shared" si="15"/>
        <v>3.2723287235976386</v>
      </c>
      <c r="BI58" s="5">
        <f t="shared" si="16"/>
        <v>3.2025719987440198</v>
      </c>
      <c r="BJ58" s="5">
        <f t="shared" si="17"/>
        <v>2.6964570117066842</v>
      </c>
    </row>
    <row r="59" spans="13:62" x14ac:dyDescent="0.35">
      <c r="M59" s="2">
        <v>57</v>
      </c>
      <c r="N59" s="3">
        <v>43861</v>
      </c>
      <c r="O59" s="1">
        <v>76.091994999999997</v>
      </c>
      <c r="P59" s="1">
        <v>170.06492600000001</v>
      </c>
      <c r="R59" s="5">
        <f t="shared" si="8"/>
        <v>77.680411911444082</v>
      </c>
      <c r="S59" s="5">
        <f t="shared" si="9"/>
        <v>78.79637096934151</v>
      </c>
      <c r="T59" s="5">
        <f t="shared" si="10"/>
        <v>79.241822234913656</v>
      </c>
      <c r="U59" s="5">
        <f t="shared" si="11"/>
        <v>79.524578750443141</v>
      </c>
      <c r="V59" s="5"/>
      <c r="W59" s="5">
        <f>0.15*P58+(1-0.15)*W58</f>
        <v>174.67660926359031</v>
      </c>
      <c r="X59" s="5">
        <f>0.35*P58+(1-0.35)*X58</f>
        <v>173.79224475473478</v>
      </c>
      <c r="Y59" s="5">
        <f>0.55*P58+(1-0.55)*Y58</f>
        <v>173.89700206124826</v>
      </c>
      <c r="Z59" s="5">
        <f>0.75*P58+(1-0.75)*Z58</f>
        <v>174.41029424004833</v>
      </c>
      <c r="AB59" s="5">
        <f t="shared" si="0"/>
        <v>2.0874954210940126</v>
      </c>
      <c r="AC59" s="5">
        <f t="shared" si="1"/>
        <v>3.5540873508987545</v>
      </c>
      <c r="AD59" s="5">
        <f t="shared" si="2"/>
        <v>4.1394988197032534</v>
      </c>
      <c r="AE59" s="5">
        <f t="shared" si="3"/>
        <v>4.511097061449294</v>
      </c>
      <c r="AG59" s="5">
        <f>ABS((P59-W59)/P59)*100</f>
        <v>2.7117192075162477</v>
      </c>
      <c r="AH59" s="5">
        <f>ABS((P59-X59)/P59)*100</f>
        <v>2.1917033937584329</v>
      </c>
      <c r="AI59" s="5">
        <f>ABS((P59-Y59)/P59)*100</f>
        <v>2.2533018132429281</v>
      </c>
      <c r="AJ59" s="5">
        <f>ABS((P59-Z59)/P59)*100</f>
        <v>2.5551231181250835</v>
      </c>
      <c r="AL59" s="5">
        <f>0.15*(T59-T58)+(1-0.15)*AL58</f>
        <v>0.32204087921560004</v>
      </c>
      <c r="AM59" s="5">
        <f>0.25*(T59-T58)+(1-0.25)*AM58</f>
        <v>0.35802105915739041</v>
      </c>
      <c r="AN59" s="5">
        <f>0.45*(T59-T58)+(1-0.45)*AN58</f>
        <v>0.50080131720544052</v>
      </c>
      <c r="AO59" s="5">
        <f>0.85*(T59-T58)+(1-0.85)*AO58</f>
        <v>0.55319250322992009</v>
      </c>
      <c r="AP59" s="5">
        <f>T59+AL59</f>
        <v>79.563863114129262</v>
      </c>
      <c r="AQ59" s="5">
        <f t="shared" si="4"/>
        <v>79.59984329407105</v>
      </c>
      <c r="AR59" s="5">
        <f t="shared" si="5"/>
        <v>79.742623552119099</v>
      </c>
      <c r="AS59" s="5">
        <f t="shared" si="6"/>
        <v>79.795014738143578</v>
      </c>
      <c r="AT59" s="5">
        <f t="shared" si="12"/>
        <v>3.4718681141292649</v>
      </c>
      <c r="AU59" s="5">
        <f t="shared" si="13"/>
        <v>90.465082705928964</v>
      </c>
      <c r="AV59" s="5">
        <f t="shared" si="18"/>
        <v>79.742623552119099</v>
      </c>
      <c r="AW59" s="5">
        <f t="shared" si="18"/>
        <v>2.1146028266994961</v>
      </c>
      <c r="AY59" s="5">
        <f>0.15*(Y59-Y58)+(1-0.15)*AY58</f>
        <v>-0.1607939854830599</v>
      </c>
      <c r="AZ59" s="5">
        <f>0.25*(Y59-Y58)+(1-0.25)*AZ58</f>
        <v>-9.811560793783447E-2</v>
      </c>
      <c r="BA59" s="5">
        <f>0.45*(Y59-Y58)+(1-0.45)*BA58</f>
        <v>0.35578474770083945</v>
      </c>
      <c r="BB59" s="5">
        <f>0.85*(Y59-Y58)+(1-0.85)*BB58</f>
        <v>1.2348676197533595</v>
      </c>
      <c r="BC59" s="5">
        <f>Y59+AY59</f>
        <v>173.73620807576521</v>
      </c>
      <c r="BD59" s="5">
        <f>Y59+AZ59</f>
        <v>173.79888645331042</v>
      </c>
      <c r="BE59" s="5">
        <f>Y59+BA59</f>
        <v>174.25278680894911</v>
      </c>
      <c r="BF59" s="5">
        <f>Y59+BB59</f>
        <v>175.13186968100163</v>
      </c>
      <c r="BG59" s="5">
        <f t="shared" si="14"/>
        <v>3.6712820757651912</v>
      </c>
      <c r="BH59" s="5">
        <f t="shared" si="15"/>
        <v>3.7339604533104023</v>
      </c>
      <c r="BI59" s="5">
        <f t="shared" si="16"/>
        <v>4.1878608089490967</v>
      </c>
      <c r="BJ59" s="5">
        <f t="shared" si="17"/>
        <v>5.066943681001618</v>
      </c>
    </row>
    <row r="60" spans="13:62" x14ac:dyDescent="0.35">
      <c r="M60" s="2">
        <v>58</v>
      </c>
      <c r="N60" s="3">
        <v>43864</v>
      </c>
      <c r="O60" s="1">
        <v>75.883018000000007</v>
      </c>
      <c r="P60" s="1">
        <v>168.19955400000001</v>
      </c>
      <c r="R60" s="5">
        <f t="shared" si="8"/>
        <v>77.442149374727464</v>
      </c>
      <c r="S60" s="5">
        <f t="shared" si="9"/>
        <v>77.849839380071984</v>
      </c>
      <c r="T60" s="5">
        <f t="shared" si="10"/>
        <v>77.509417255711142</v>
      </c>
      <c r="U60" s="5">
        <f t="shared" si="11"/>
        <v>76.950140937610783</v>
      </c>
      <c r="V60" s="5"/>
      <c r="W60" s="5">
        <f>0.15*P59+(1-0.15)*W59</f>
        <v>173.98485677405176</v>
      </c>
      <c r="X60" s="5">
        <f>0.35*P59+(1-0.35)*X59</f>
        <v>172.4876831905776</v>
      </c>
      <c r="Y60" s="5">
        <f>0.55*P59+(1-0.55)*Y59</f>
        <v>171.78936022756173</v>
      </c>
      <c r="Z60" s="5">
        <f>0.75*P59+(1-0.75)*Z59</f>
        <v>171.15126806001209</v>
      </c>
      <c r="AB60" s="5">
        <f t="shared" si="0"/>
        <v>2.0546512458524733</v>
      </c>
      <c r="AC60" s="5">
        <f t="shared" si="1"/>
        <v>2.5919124356281884</v>
      </c>
      <c r="AD60" s="5">
        <f t="shared" si="2"/>
        <v>2.1432980640162929</v>
      </c>
      <c r="AE60" s="5">
        <f t="shared" si="3"/>
        <v>1.4062737167501376</v>
      </c>
      <c r="AG60" s="5">
        <f>ABS((P60-W60)/P60)*100</f>
        <v>3.4395470359283817</v>
      </c>
      <c r="AH60" s="5">
        <f>ABS((P60-X60)/P60)*100</f>
        <v>2.5494295844432453</v>
      </c>
      <c r="AI60" s="5">
        <f>ABS((P60-Y60)/P60)*100</f>
        <v>2.1342543081664318</v>
      </c>
      <c r="AJ60" s="5">
        <f>ABS((P60-Z60)/P60)*100</f>
        <v>1.7548881610067049</v>
      </c>
      <c r="AL60" s="5">
        <f>0.15*(T60-T59)+(1-0.15)*AL59</f>
        <v>1.3874000452883006E-2</v>
      </c>
      <c r="AM60" s="5">
        <f>0.25*(T60-T59)+(1-0.25)*AM59</f>
        <v>-0.1645854504325856</v>
      </c>
      <c r="AN60" s="5">
        <f>0.45*(T60-T59)+(1-0.45)*AN59</f>
        <v>-0.50414151617813885</v>
      </c>
      <c r="AO60" s="5">
        <f>0.85*(T60-T59)+(1-0.85)*AO59</f>
        <v>-1.3895653568376485</v>
      </c>
      <c r="AP60" s="5">
        <f>T60+AL60</f>
        <v>77.523291256164029</v>
      </c>
      <c r="AQ60" s="5">
        <f t="shared" si="4"/>
        <v>77.34483180527856</v>
      </c>
      <c r="AR60" s="5">
        <f t="shared" si="5"/>
        <v>77.005275739533005</v>
      </c>
      <c r="AS60" s="5">
        <f t="shared" si="6"/>
        <v>76.119851898873492</v>
      </c>
      <c r="AT60" s="5">
        <f t="shared" si="12"/>
        <v>1.6402732561640221</v>
      </c>
      <c r="AU60" s="5">
        <f t="shared" si="13"/>
        <v>90.854722194721447</v>
      </c>
      <c r="AV60" s="5">
        <f t="shared" si="18"/>
        <v>77.005275739533005</v>
      </c>
      <c r="AW60" s="5">
        <f t="shared" si="18"/>
        <v>1.3222974758539721</v>
      </c>
      <c r="AY60" s="5">
        <f>0.15*(Y60-Y59)+(1-0.15)*AY59</f>
        <v>-0.45282116271358019</v>
      </c>
      <c r="AZ60" s="5">
        <f>0.25*(Y60-Y59)+(1-0.25)*AZ59</f>
        <v>-0.60049716437500811</v>
      </c>
      <c r="BA60" s="5">
        <f>0.45*(Y60-Y59)+(1-0.45)*BA59</f>
        <v>-0.75275721392347628</v>
      </c>
      <c r="BB60" s="5">
        <f>0.85*(Y60-Y59)+(1-0.85)*BB59</f>
        <v>-1.6062654156705456</v>
      </c>
      <c r="BC60" s="5">
        <f>Y60+AY60</f>
        <v>171.33653906484815</v>
      </c>
      <c r="BD60" s="5">
        <f>Y60+AZ60</f>
        <v>171.18886306318672</v>
      </c>
      <c r="BE60" s="5">
        <f>Y60+BA60</f>
        <v>171.03660301363826</v>
      </c>
      <c r="BF60" s="5">
        <f>Y60+BB60</f>
        <v>170.18309481189118</v>
      </c>
      <c r="BG60" s="5">
        <f t="shared" si="14"/>
        <v>3.1369850648481474</v>
      </c>
      <c r="BH60" s="5">
        <f t="shared" si="15"/>
        <v>2.9893090631867096</v>
      </c>
      <c r="BI60" s="5">
        <f t="shared" si="16"/>
        <v>2.83704901363825</v>
      </c>
      <c r="BJ60" s="5">
        <f t="shared" si="17"/>
        <v>1.9835408118911744</v>
      </c>
    </row>
    <row r="61" spans="13:62" x14ac:dyDescent="0.35">
      <c r="M61" s="2">
        <v>59</v>
      </c>
      <c r="N61" s="3">
        <v>43865</v>
      </c>
      <c r="O61" s="1">
        <v>78.388199</v>
      </c>
      <c r="P61" s="1">
        <v>172.01869199999999</v>
      </c>
      <c r="R61" s="5">
        <f t="shared" si="8"/>
        <v>77.208279668518344</v>
      </c>
      <c r="S61" s="5">
        <f t="shared" si="9"/>
        <v>77.161451897046788</v>
      </c>
      <c r="T61" s="5">
        <f t="shared" si="10"/>
        <v>76.614897665070018</v>
      </c>
      <c r="U61" s="5">
        <f t="shared" si="11"/>
        <v>76.149798734402708</v>
      </c>
      <c r="V61" s="5"/>
      <c r="W61" s="5">
        <f>0.15*P60+(1-0.15)*W60</f>
        <v>173.11706135794401</v>
      </c>
      <c r="X61" s="5">
        <f>0.35*P60+(1-0.35)*X60</f>
        <v>170.98683797387545</v>
      </c>
      <c r="Y61" s="5">
        <f>0.55*P60+(1-0.55)*Y60</f>
        <v>169.81496680240281</v>
      </c>
      <c r="Z61" s="5">
        <f>0.75*P60+(1-0.75)*Z60</f>
        <v>168.93748251500301</v>
      </c>
      <c r="AB61" s="5">
        <f t="shared" si="0"/>
        <v>1.5052257183273929</v>
      </c>
      <c r="AC61" s="5">
        <f t="shared" si="1"/>
        <v>1.5649640106583029</v>
      </c>
      <c r="AD61" s="5">
        <f t="shared" si="2"/>
        <v>2.2622044613245706</v>
      </c>
      <c r="AE61" s="5">
        <f t="shared" si="3"/>
        <v>2.8555322027455845</v>
      </c>
      <c r="AG61" s="5">
        <f>ABS((P61-W61)/P61)*100</f>
        <v>0.63851744550180789</v>
      </c>
      <c r="AH61" s="5">
        <f>ABS((P61-X61)/P61)*100</f>
        <v>0.59984994312393369</v>
      </c>
      <c r="AI61" s="5">
        <f>ABS((P61-Y61)/P61)*100</f>
        <v>1.2810963575965222</v>
      </c>
      <c r="AJ61" s="5">
        <f>ABS((P61-Z61)/P61)*100</f>
        <v>1.7912062050773967</v>
      </c>
      <c r="AL61" s="5">
        <f>0.15*(T61-T60)+(1-0.15)*AL60</f>
        <v>-0.12238503821121809</v>
      </c>
      <c r="AM61" s="5">
        <f>0.25*(T61-T60)+(1-0.25)*AM60</f>
        <v>-0.34706898548472026</v>
      </c>
      <c r="AN61" s="5">
        <f>0.45*(T61-T60)+(1-0.45)*AN60</f>
        <v>-0.67981164968648233</v>
      </c>
      <c r="AO61" s="5">
        <f>0.85*(T61-T60)+(1-0.85)*AO60</f>
        <v>-0.96877645557060288</v>
      </c>
      <c r="AP61" s="5">
        <f>T61+AL61</f>
        <v>76.492512626858797</v>
      </c>
      <c r="AQ61" s="5">
        <f t="shared" si="4"/>
        <v>76.267828679585293</v>
      </c>
      <c r="AR61" s="5">
        <f t="shared" si="5"/>
        <v>75.935086015383533</v>
      </c>
      <c r="AS61" s="5">
        <f t="shared" si="6"/>
        <v>75.646121209499412</v>
      </c>
      <c r="AT61" s="5">
        <f t="shared" si="12"/>
        <v>1.8956863731412028</v>
      </c>
      <c r="AU61" s="5">
        <f t="shared" si="13"/>
        <v>95.750863320414695</v>
      </c>
      <c r="AV61" s="5">
        <f t="shared" si="18"/>
        <v>75.935086015383533</v>
      </c>
      <c r="AW61" s="5">
        <f t="shared" si="18"/>
        <v>1.5621584590189315</v>
      </c>
      <c r="AY61" s="5">
        <f>0.15*(Y61-Y60)+(1-0.15)*AY60</f>
        <v>-0.68105700208038145</v>
      </c>
      <c r="AZ61" s="5">
        <f>0.25*(Y61-Y60)+(1-0.25)*AZ60</f>
        <v>-0.94397122957098667</v>
      </c>
      <c r="BA61" s="5">
        <f>0.45*(Y61-Y60)+(1-0.45)*BA60</f>
        <v>-1.3024935089794272</v>
      </c>
      <c r="BB61" s="5">
        <f>0.85*(Y61-Y60)+(1-0.85)*BB60</f>
        <v>-1.9191742237356659</v>
      </c>
      <c r="BC61" s="5">
        <f>Y61+AY61</f>
        <v>169.13390980032241</v>
      </c>
      <c r="BD61" s="5">
        <f>Y61+AZ61</f>
        <v>168.87099557283182</v>
      </c>
      <c r="BE61" s="5">
        <f>Y61+BA61</f>
        <v>168.51247329342337</v>
      </c>
      <c r="BF61" s="5">
        <f>Y61+BB61</f>
        <v>167.89579257866714</v>
      </c>
      <c r="BG61" s="5">
        <f t="shared" si="14"/>
        <v>2.8847821996775735</v>
      </c>
      <c r="BH61" s="5">
        <f t="shared" si="15"/>
        <v>3.1476964271681709</v>
      </c>
      <c r="BI61" s="5">
        <f t="shared" si="16"/>
        <v>3.5062187065766182</v>
      </c>
      <c r="BJ61" s="5">
        <f t="shared" si="17"/>
        <v>4.1228994213328463</v>
      </c>
    </row>
    <row r="62" spans="13:62" x14ac:dyDescent="0.35">
      <c r="M62" s="2">
        <v>60</v>
      </c>
      <c r="N62" s="3">
        <v>43866</v>
      </c>
      <c r="O62" s="1">
        <v>79.027405000000002</v>
      </c>
      <c r="P62" s="1">
        <v>173.677887</v>
      </c>
      <c r="R62" s="5">
        <f t="shared" si="8"/>
        <v>77.385267568240579</v>
      </c>
      <c r="S62" s="5">
        <f t="shared" si="9"/>
        <v>77.590813383080416</v>
      </c>
      <c r="T62" s="5">
        <f t="shared" si="10"/>
        <v>77.59021339928151</v>
      </c>
      <c r="U62" s="5">
        <f t="shared" si="11"/>
        <v>77.828598933600688</v>
      </c>
      <c r="V62" s="5"/>
      <c r="W62" s="5">
        <f>0.15*P61+(1-0.15)*W61</f>
        <v>172.95230595425241</v>
      </c>
      <c r="X62" s="5">
        <f>0.35*P61+(1-0.35)*X61</f>
        <v>171.34798688301905</v>
      </c>
      <c r="Y62" s="5">
        <f>0.55*P61+(1-0.55)*Y61</f>
        <v>171.02701566108124</v>
      </c>
      <c r="Z62" s="5">
        <f>0.75*P61+(1-0.75)*Z61</f>
        <v>171.24838962875074</v>
      </c>
      <c r="AB62" s="5">
        <f t="shared" si="0"/>
        <v>2.0779341441863401</v>
      </c>
      <c r="AC62" s="5">
        <f t="shared" si="1"/>
        <v>1.8178397948402654</v>
      </c>
      <c r="AD62" s="5">
        <f t="shared" si="2"/>
        <v>1.8185990046345215</v>
      </c>
      <c r="AE62" s="5">
        <f t="shared" si="3"/>
        <v>1.5169498054495321</v>
      </c>
      <c r="AG62" s="5">
        <f>ABS((P62-W62)/P62)*100</f>
        <v>0.41777399430682205</v>
      </c>
      <c r="AH62" s="5">
        <f>ABS((P62-X62)/P62)*100</f>
        <v>1.341506484922258</v>
      </c>
      <c r="AI62" s="5">
        <f>ABS((P62-Y62)/P62)*100</f>
        <v>1.5263148260888053</v>
      </c>
      <c r="AJ62" s="5">
        <f>ABS((P62-Z62)/P62)*100</f>
        <v>1.3988524464540815</v>
      </c>
      <c r="AL62" s="5">
        <f>0.15*(T62-T61)+(1-0.15)*AL61</f>
        <v>4.227007765218839E-2</v>
      </c>
      <c r="AM62" s="5">
        <f>0.25*(T62-T61)+(1-0.25)*AM61</f>
        <v>-1.647280556066727E-2</v>
      </c>
      <c r="AN62" s="5">
        <f>0.45*(T62-T61)+(1-0.45)*AN61</f>
        <v>6.4995673067606008E-2</v>
      </c>
      <c r="AO62" s="5">
        <f>0.85*(T62-T61)+(1-0.85)*AO61</f>
        <v>0.68370190574417755</v>
      </c>
      <c r="AP62" s="5">
        <f>T62+AL62</f>
        <v>77.6324834769337</v>
      </c>
      <c r="AQ62" s="5">
        <f t="shared" si="4"/>
        <v>77.573740593720842</v>
      </c>
      <c r="AR62" s="5">
        <f t="shared" si="5"/>
        <v>77.655209072349109</v>
      </c>
      <c r="AS62" s="5">
        <f t="shared" si="6"/>
        <v>78.273915305025682</v>
      </c>
      <c r="AT62" s="5">
        <f t="shared" si="12"/>
        <v>1.3949215230663015</v>
      </c>
      <c r="AU62" s="5">
        <f t="shared" si="13"/>
        <v>96.104146406279156</v>
      </c>
      <c r="AV62" s="5">
        <f t="shared" si="18"/>
        <v>77.655209072349109</v>
      </c>
      <c r="AW62" s="5">
        <f t="shared" si="18"/>
        <v>0.88864773678510289</v>
      </c>
      <c r="AY62" s="5">
        <f>0.15*(Y62-Y61)+(1-0.15)*AY61</f>
        <v>-0.39709112296655991</v>
      </c>
      <c r="AZ62" s="5">
        <f>0.25*(Y62-Y61)+(1-0.25)*AZ61</f>
        <v>-0.40496620750863277</v>
      </c>
      <c r="BA62" s="5">
        <f>0.45*(Y62-Y61)+(1-0.45)*BA61</f>
        <v>-0.17094944353339192</v>
      </c>
      <c r="BB62" s="5">
        <f>0.85*(Y62-Y61)+(1-0.85)*BB61</f>
        <v>0.74236539631631482</v>
      </c>
      <c r="BC62" s="5">
        <f>Y62+AY62</f>
        <v>170.62992453811466</v>
      </c>
      <c r="BD62" s="5">
        <f>Y62+AZ62</f>
        <v>170.6220494535726</v>
      </c>
      <c r="BE62" s="5">
        <f>Y62+BA62</f>
        <v>170.85606621754783</v>
      </c>
      <c r="BF62" s="5">
        <f>Y62+BB62</f>
        <v>171.76938105739754</v>
      </c>
      <c r="BG62" s="5">
        <f t="shared" si="14"/>
        <v>3.0479624618853336</v>
      </c>
      <c r="BH62" s="5">
        <f t="shared" si="15"/>
        <v>3.0558375464273979</v>
      </c>
      <c r="BI62" s="5">
        <f t="shared" si="16"/>
        <v>2.8218207824521642</v>
      </c>
      <c r="BJ62" s="5">
        <f t="shared" si="17"/>
        <v>1.90850594260246</v>
      </c>
    </row>
    <row r="63" spans="13:62" x14ac:dyDescent="0.35">
      <c r="M63" s="2">
        <v>61</v>
      </c>
      <c r="N63" s="3">
        <v>43867</v>
      </c>
      <c r="O63" s="1">
        <v>79.951774999999998</v>
      </c>
      <c r="P63" s="1">
        <v>173.137924</v>
      </c>
      <c r="R63" s="5">
        <f t="shared" si="8"/>
        <v>77.631588183004496</v>
      </c>
      <c r="S63" s="5">
        <f t="shared" si="9"/>
        <v>78.093620449002273</v>
      </c>
      <c r="T63" s="5">
        <f t="shared" si="10"/>
        <v>78.380668779676682</v>
      </c>
      <c r="U63" s="5">
        <f t="shared" si="11"/>
        <v>78.727703483400177</v>
      </c>
      <c r="V63" s="5"/>
      <c r="W63" s="5">
        <f>0.15*P62+(1-0.15)*W62</f>
        <v>173.06114311111455</v>
      </c>
      <c r="X63" s="5">
        <f>0.35*P62+(1-0.35)*X62</f>
        <v>172.16345192396238</v>
      </c>
      <c r="Y63" s="5">
        <f>0.55*P62+(1-0.55)*Y62</f>
        <v>172.48499489748656</v>
      </c>
      <c r="Z63" s="5">
        <f>0.75*P62+(1-0.75)*Z62</f>
        <v>173.07051265718766</v>
      </c>
      <c r="AB63" s="5">
        <f t="shared" si="0"/>
        <v>2.9019828727948842</v>
      </c>
      <c r="AC63" s="5">
        <f t="shared" si="1"/>
        <v>2.3240941817711049</v>
      </c>
      <c r="AD63" s="5">
        <f t="shared" si="2"/>
        <v>1.9650673425615823</v>
      </c>
      <c r="AE63" s="5">
        <f t="shared" si="3"/>
        <v>1.5310123091073602</v>
      </c>
      <c r="AG63" s="5">
        <f>ABS((P63-W63)/P63)*100</f>
        <v>4.4346661385088436E-2</v>
      </c>
      <c r="AH63" s="5">
        <f>ABS((P63-X63)/P63)*100</f>
        <v>0.56282994131176833</v>
      </c>
      <c r="AI63" s="5">
        <f>ABS((P63-Y63)/P63)*100</f>
        <v>0.37711501179455048</v>
      </c>
      <c r="AJ63" s="5">
        <f>ABS((P63-Z63)/P63)*100</f>
        <v>3.893505319628001E-2</v>
      </c>
      <c r="AL63" s="5">
        <f>0.15*(T63-T62)+(1-0.15)*AL62</f>
        <v>0.15449787306363605</v>
      </c>
      <c r="AM63" s="5">
        <f>0.25*(T63-T62)+(1-0.25)*AM62</f>
        <v>0.18525924092829277</v>
      </c>
      <c r="AN63" s="5">
        <f>0.45*(T63-T62)+(1-0.45)*AN62</f>
        <v>0.39145254136501106</v>
      </c>
      <c r="AO63" s="5">
        <f>0.85*(T63-T62)+(1-0.85)*AO62</f>
        <v>0.77444235919752358</v>
      </c>
      <c r="AP63" s="5">
        <f>T63+AL63</f>
        <v>78.535166652740315</v>
      </c>
      <c r="AQ63" s="5">
        <f t="shared" si="4"/>
        <v>78.565928020604971</v>
      </c>
      <c r="AR63" s="5">
        <f t="shared" si="5"/>
        <v>78.772121321041695</v>
      </c>
      <c r="AS63" s="5">
        <f t="shared" si="6"/>
        <v>79.155111138874204</v>
      </c>
      <c r="AT63" s="5">
        <f t="shared" si="12"/>
        <v>1.4166083472596824</v>
      </c>
      <c r="AU63" s="5">
        <f t="shared" si="13"/>
        <v>94.571995979395027</v>
      </c>
      <c r="AV63" s="5">
        <f t="shared" si="18"/>
        <v>78.772121321041695</v>
      </c>
      <c r="AW63" s="5">
        <f t="shared" si="18"/>
        <v>1.5235229558697085</v>
      </c>
      <c r="AY63" s="5">
        <f>0.15*(Y63-Y62)+(1-0.15)*AY62</f>
        <v>-0.11883056906077763</v>
      </c>
      <c r="AZ63" s="5">
        <f>0.25*(Y63-Y62)+(1-0.25)*AZ62</f>
        <v>6.0770153469855925E-2</v>
      </c>
      <c r="BA63" s="5">
        <f>0.45*(Y63-Y62)+(1-0.45)*BA62</f>
        <v>0.5620684624390293</v>
      </c>
      <c r="BB63" s="5">
        <f>0.85*(Y63-Y62)+(1-0.85)*BB62</f>
        <v>1.3506371603919709</v>
      </c>
      <c r="BC63" s="5">
        <f>Y63+AY63</f>
        <v>172.36616432842578</v>
      </c>
      <c r="BD63" s="5">
        <f>Y63+AZ63</f>
        <v>172.54576505095642</v>
      </c>
      <c r="BE63" s="5">
        <f>Y63+BA63</f>
        <v>173.04706335992557</v>
      </c>
      <c r="BF63" s="5">
        <f>Y63+BB63</f>
        <v>173.83563205787854</v>
      </c>
      <c r="BG63" s="5">
        <f t="shared" si="14"/>
        <v>0.7717596715742161</v>
      </c>
      <c r="BH63" s="5">
        <f t="shared" si="15"/>
        <v>0.59215894904357924</v>
      </c>
      <c r="BI63" s="5">
        <f t="shared" si="16"/>
        <v>9.0860640074424737E-2</v>
      </c>
      <c r="BJ63" s="5">
        <f t="shared" si="17"/>
        <v>0.69770805787854329</v>
      </c>
    </row>
    <row r="64" spans="13:62" x14ac:dyDescent="0.35">
      <c r="M64" s="2">
        <v>62</v>
      </c>
      <c r="N64" s="3">
        <v>43868</v>
      </c>
      <c r="O64" s="1">
        <v>78.865020999999999</v>
      </c>
      <c r="P64" s="1">
        <v>172.08738700000001</v>
      </c>
      <c r="R64" s="5">
        <f t="shared" si="8"/>
        <v>77.979616205553825</v>
      </c>
      <c r="S64" s="5">
        <f t="shared" si="9"/>
        <v>78.743974541851486</v>
      </c>
      <c r="T64" s="5">
        <f t="shared" si="10"/>
        <v>79.244777200854514</v>
      </c>
      <c r="U64" s="5">
        <f t="shared" si="11"/>
        <v>79.64575712085005</v>
      </c>
      <c r="V64" s="5"/>
      <c r="W64" s="5">
        <f>0.15*P63+(1-0.15)*W63</f>
        <v>173.07266024444735</v>
      </c>
      <c r="X64" s="5">
        <f>0.35*P63+(1-0.35)*X63</f>
        <v>172.50451715057557</v>
      </c>
      <c r="Y64" s="5">
        <f>0.55*P63+(1-0.55)*Y63</f>
        <v>172.84410590386895</v>
      </c>
      <c r="Z64" s="5">
        <f>0.75*P63+(1-0.75)*Z63</f>
        <v>173.12107116429692</v>
      </c>
      <c r="AB64" s="5">
        <f t="shared" si="0"/>
        <v>1.1226837744025631</v>
      </c>
      <c r="AC64" s="5">
        <f t="shared" si="1"/>
        <v>0.15348560948016823</v>
      </c>
      <c r="AD64" s="5">
        <f t="shared" si="2"/>
        <v>0.48152678594292864</v>
      </c>
      <c r="AE64" s="5">
        <f t="shared" si="3"/>
        <v>0.98996501991681585</v>
      </c>
      <c r="AG64" s="5">
        <f>ABS((P64-W64)/P64)*100</f>
        <v>0.57254239350344815</v>
      </c>
      <c r="AH64" s="5">
        <f>ABS((P64-X64)/P64)*100</f>
        <v>0.24239437755862919</v>
      </c>
      <c r="AI64" s="5">
        <f>ABS((P64-Y64)/P64)*100</f>
        <v>0.43972944040863576</v>
      </c>
      <c r="AJ64" s="5">
        <f>ABS((P64-Z64)/P64)*100</f>
        <v>0.60067398448958653</v>
      </c>
      <c r="AL64" s="5">
        <f>0.15*(T64-T63)+(1-0.15)*AL63</f>
        <v>0.26093945528076545</v>
      </c>
      <c r="AM64" s="5">
        <f>0.25*(T64-T63)+(1-0.25)*AM63</f>
        <v>0.3549715359906776</v>
      </c>
      <c r="AN64" s="5">
        <f>0.45*(T64-T63)+(1-0.45)*AN63</f>
        <v>0.6041476872807805</v>
      </c>
      <c r="AO64" s="5">
        <f>0.85*(T64-T63)+(1-0.85)*AO63</f>
        <v>0.85065851188078578</v>
      </c>
      <c r="AP64" s="5">
        <f>T64+AL64</f>
        <v>79.505716656135277</v>
      </c>
      <c r="AQ64" s="5">
        <f t="shared" si="4"/>
        <v>79.599748736845186</v>
      </c>
      <c r="AR64" s="5">
        <f t="shared" si="5"/>
        <v>79.848924888135301</v>
      </c>
      <c r="AS64" s="5">
        <f t="shared" si="6"/>
        <v>80.095435712735295</v>
      </c>
      <c r="AT64" s="5">
        <f t="shared" si="12"/>
        <v>0.64069565613527857</v>
      </c>
      <c r="AU64" s="5">
        <f t="shared" si="13"/>
        <v>92.487638263154821</v>
      </c>
      <c r="AV64" s="5">
        <f t="shared" si="18"/>
        <v>79.848924888135301</v>
      </c>
      <c r="AW64" s="5">
        <f t="shared" si="18"/>
        <v>2.1158195071814703</v>
      </c>
      <c r="AY64" s="5">
        <f>0.15*(Y64-Y63)+(1-0.15)*AY63</f>
        <v>-4.7139332744302202E-2</v>
      </c>
      <c r="AZ64" s="5">
        <f>0.25*(Y64-Y63)+(1-0.25)*AZ63</f>
        <v>0.13535536669798992</v>
      </c>
      <c r="BA64" s="5">
        <f>0.45*(Y64-Y63)+(1-0.45)*BA63</f>
        <v>0.47073760721354252</v>
      </c>
      <c r="BB64" s="5">
        <f>0.85*(Y64-Y63)+(1-0.85)*BB63</f>
        <v>0.50783992948382872</v>
      </c>
      <c r="BC64" s="5">
        <f>Y64+AY64</f>
        <v>172.79696657112464</v>
      </c>
      <c r="BD64" s="5">
        <f>Y64+AZ64</f>
        <v>172.97946127056693</v>
      </c>
      <c r="BE64" s="5">
        <f>Y64+BA64</f>
        <v>173.3148435110825</v>
      </c>
      <c r="BF64" s="5">
        <f>Y64+BB64</f>
        <v>173.35194583335277</v>
      </c>
      <c r="BG64" s="5">
        <f t="shared" si="14"/>
        <v>0.70957957112463532</v>
      </c>
      <c r="BH64" s="5">
        <f t="shared" si="15"/>
        <v>0.89207427056692268</v>
      </c>
      <c r="BI64" s="5">
        <f t="shared" si="16"/>
        <v>1.2274565110824938</v>
      </c>
      <c r="BJ64" s="5">
        <f t="shared" si="17"/>
        <v>1.2645588333527655</v>
      </c>
    </row>
    <row r="65" spans="13:62" x14ac:dyDescent="0.35">
      <c r="M65" s="2">
        <v>63</v>
      </c>
      <c r="N65" s="3">
        <v>43871</v>
      </c>
      <c r="O65" s="1">
        <v>79.239593999999997</v>
      </c>
      <c r="P65" s="1">
        <v>173.72699</v>
      </c>
      <c r="R65" s="5">
        <f t="shared" si="8"/>
        <v>78.112426924720751</v>
      </c>
      <c r="S65" s="5">
        <f t="shared" si="9"/>
        <v>78.786340802203455</v>
      </c>
      <c r="T65" s="5">
        <f t="shared" si="10"/>
        <v>79.035911290384519</v>
      </c>
      <c r="U65" s="5">
        <f t="shared" si="11"/>
        <v>79.060205030212501</v>
      </c>
      <c r="V65" s="5"/>
      <c r="W65" s="5">
        <f>0.15*P64+(1-0.15)*W64</f>
        <v>172.92486925778024</v>
      </c>
      <c r="X65" s="5">
        <f>0.35*P64+(1-0.35)*X64</f>
        <v>172.35852159787413</v>
      </c>
      <c r="Y65" s="5">
        <f>0.55*P64+(1-0.55)*Y64</f>
        <v>172.42791050674106</v>
      </c>
      <c r="Z65" s="5">
        <f>0.75*P64+(1-0.75)*Z64</f>
        <v>172.34580804107424</v>
      </c>
      <c r="AB65" s="5">
        <f t="shared" si="0"/>
        <v>1.4224796195690326</v>
      </c>
      <c r="AC65" s="5">
        <f t="shared" si="1"/>
        <v>0.57200343277445609</v>
      </c>
      <c r="AD65" s="5">
        <f t="shared" si="2"/>
        <v>0.25704663455933163</v>
      </c>
      <c r="AE65" s="5">
        <f t="shared" si="3"/>
        <v>0.22638804760596828</v>
      </c>
      <c r="AG65" s="5">
        <f>ABS((P65-W65)/P65)*100</f>
        <v>0.46171337120372391</v>
      </c>
      <c r="AH65" s="5">
        <f>ABS((P65-X65)/P65)*100</f>
        <v>0.78771203146147317</v>
      </c>
      <c r="AI65" s="5">
        <f>ABS((P65-Y65)/P65)*100</f>
        <v>0.74777067930489316</v>
      </c>
      <c r="AJ65" s="5">
        <f>ABS((P65-Z65)/P65)*100</f>
        <v>0.79503015560550783</v>
      </c>
      <c r="AL65" s="5">
        <f>0.15*(T65-T64)+(1-0.15)*AL64</f>
        <v>0.19046865041815128</v>
      </c>
      <c r="AM65" s="5">
        <f>0.25*(T65-T64)+(1-0.25)*AM64</f>
        <v>0.21401217437550929</v>
      </c>
      <c r="AN65" s="5">
        <f>0.45*(T65-T64)+(1-0.45)*AN64</f>
        <v>0.23829156829293119</v>
      </c>
      <c r="AO65" s="5">
        <f>0.85*(T65-T64)+(1-0.85)*AO64</f>
        <v>-4.993724711737843E-2</v>
      </c>
      <c r="AP65" s="5">
        <f>T65+AL65</f>
        <v>79.226379940802673</v>
      </c>
      <c r="AQ65" s="5">
        <f t="shared" si="4"/>
        <v>79.24992346476003</v>
      </c>
      <c r="AR65" s="5">
        <f t="shared" si="5"/>
        <v>79.274202858677455</v>
      </c>
      <c r="AS65" s="5">
        <f t="shared" si="6"/>
        <v>78.985974043267134</v>
      </c>
      <c r="AT65" s="5">
        <f t="shared" si="12"/>
        <v>1.3214059197323991E-2</v>
      </c>
      <c r="AU65" s="5">
        <f t="shared" si="13"/>
        <v>94.47706653523997</v>
      </c>
      <c r="AV65" s="5">
        <f t="shared" si="18"/>
        <v>79.274202858677455</v>
      </c>
      <c r="AW65" s="5">
        <f t="shared" si="18"/>
        <v>0.87354711854638367</v>
      </c>
      <c r="AY65" s="5">
        <f>0.15*(Y65-Y64)+(1-0.15)*AY64</f>
        <v>-0.10249774240184087</v>
      </c>
      <c r="AZ65" s="5">
        <f>0.25*(Y65-Y64)+(1-0.25)*AZ64</f>
        <v>-2.5323242584808919E-3</v>
      </c>
      <c r="BA65" s="5">
        <f>0.45*(Y65-Y64)+(1-0.45)*BA64</f>
        <v>7.1617755259896387E-2</v>
      </c>
      <c r="BB65" s="5">
        <f>0.85*(Y65-Y64)+(1-0.85)*BB64</f>
        <v>-0.277590098136135</v>
      </c>
      <c r="BC65" s="5">
        <f>Y65+AY65</f>
        <v>172.32541276433921</v>
      </c>
      <c r="BD65" s="5">
        <f>Y65+AZ65</f>
        <v>172.42537818248258</v>
      </c>
      <c r="BE65" s="5">
        <f>Y65+BA65</f>
        <v>172.49952826200095</v>
      </c>
      <c r="BF65" s="5">
        <f>Y65+BB65</f>
        <v>172.15032040860493</v>
      </c>
      <c r="BG65" s="5">
        <f t="shared" si="14"/>
        <v>1.4015772356607954</v>
      </c>
      <c r="BH65" s="5">
        <f t="shared" si="15"/>
        <v>1.3016118175174256</v>
      </c>
      <c r="BI65" s="5">
        <f t="shared" si="16"/>
        <v>1.2274617379990502</v>
      </c>
      <c r="BJ65" s="5">
        <f t="shared" si="17"/>
        <v>1.5766695913950741</v>
      </c>
    </row>
    <row r="66" spans="13:62" x14ac:dyDescent="0.35">
      <c r="M66" s="2">
        <v>64</v>
      </c>
      <c r="N66" s="3">
        <v>43872</v>
      </c>
      <c r="O66" s="1">
        <v>78.761520000000004</v>
      </c>
      <c r="P66" s="1">
        <v>175.88691700000001</v>
      </c>
      <c r="R66" s="5">
        <f t="shared" si="8"/>
        <v>78.281501986012643</v>
      </c>
      <c r="S66" s="5">
        <f t="shared" si="9"/>
        <v>78.944979421432237</v>
      </c>
      <c r="T66" s="5">
        <f t="shared" si="10"/>
        <v>79.147936780673035</v>
      </c>
      <c r="U66" s="5">
        <f t="shared" si="11"/>
        <v>79.194746757553119</v>
      </c>
      <c r="V66" s="5"/>
      <c r="W66" s="5">
        <f>0.15*P65+(1-0.15)*W65</f>
        <v>173.04518736911319</v>
      </c>
      <c r="X66" s="5">
        <f>0.35*P65+(1-0.35)*X65</f>
        <v>172.83748553861818</v>
      </c>
      <c r="Y66" s="5">
        <f>0.55*P65+(1-0.55)*Y65</f>
        <v>173.14240422803346</v>
      </c>
      <c r="Z66" s="5">
        <f>0.75*P65+(1-0.75)*Z65</f>
        <v>173.38169451026857</v>
      </c>
      <c r="AB66" s="5">
        <f t="shared" si="0"/>
        <v>0.6094575294983664</v>
      </c>
      <c r="AC66" s="5">
        <f t="shared" si="1"/>
        <v>0.23293027030488017</v>
      </c>
      <c r="AD66" s="5">
        <f t="shared" si="2"/>
        <v>0.49061620531578204</v>
      </c>
      <c r="AE66" s="5">
        <f t="shared" si="3"/>
        <v>0.55004875166593381</v>
      </c>
      <c r="AG66" s="5">
        <f>ABS((P66-W66)/P66)*100</f>
        <v>1.6156571957462971</v>
      </c>
      <c r="AH66" s="5">
        <f>ABS((P66-X66)/P66)*100</f>
        <v>1.7337454731677564</v>
      </c>
      <c r="AI66" s="5">
        <f>ABS((P66-Y66)/P66)*100</f>
        <v>1.5603848306503405</v>
      </c>
      <c r="AJ66" s="5">
        <f>ABS((P66-Z66)/P66)*100</f>
        <v>1.4243370299858273</v>
      </c>
      <c r="AL66" s="5">
        <f>0.15*(T66-T65)+(1-0.15)*AL65</f>
        <v>0.17870217639870606</v>
      </c>
      <c r="AM66" s="5">
        <f>0.25*(T66-T65)+(1-0.25)*AM65</f>
        <v>0.1885155033537611</v>
      </c>
      <c r="AN66" s="5">
        <f>0.45*(T66-T65)+(1-0.45)*AN65</f>
        <v>0.18147183319094459</v>
      </c>
      <c r="AO66" s="5">
        <f>0.85*(T66-T65)+(1-0.85)*AO65</f>
        <v>8.7731079677632259E-2</v>
      </c>
      <c r="AP66" s="5">
        <f>T66+AL66</f>
        <v>79.326638957071737</v>
      </c>
      <c r="AQ66" s="5">
        <f t="shared" si="4"/>
        <v>79.336452284026791</v>
      </c>
      <c r="AR66" s="5">
        <f t="shared" si="5"/>
        <v>79.329408613863976</v>
      </c>
      <c r="AS66" s="5">
        <f t="shared" si="6"/>
        <v>79.235667860350674</v>
      </c>
      <c r="AT66" s="5">
        <f t="shared" si="12"/>
        <v>0.5651189570717321</v>
      </c>
      <c r="AU66" s="5">
        <f t="shared" si="13"/>
        <v>96.55046471597322</v>
      </c>
      <c r="AV66" s="5">
        <f t="shared" si="18"/>
        <v>79.329408613863976</v>
      </c>
      <c r="AW66" s="5">
        <f t="shared" si="18"/>
        <v>0.95416587433803102</v>
      </c>
      <c r="AY66" s="5">
        <f>0.15*(Y66-Y65)+(1-0.15)*AY65</f>
        <v>2.0050977152295132E-2</v>
      </c>
      <c r="AZ66" s="5">
        <f>0.25*(Y66-Y65)+(1-0.25)*AZ65</f>
        <v>0.17672418712923912</v>
      </c>
      <c r="BA66" s="5">
        <f>0.45*(Y66-Y65)+(1-0.45)*BA65</f>
        <v>0.3609119399745227</v>
      </c>
      <c r="BB66" s="5">
        <f>0.85*(Y66-Y65)+(1-0.85)*BB65</f>
        <v>0.565681148378119</v>
      </c>
      <c r="BC66" s="5">
        <f>Y66+AY66</f>
        <v>173.16245520518575</v>
      </c>
      <c r="BD66" s="5">
        <f>Y66+AZ66</f>
        <v>173.31912841516271</v>
      </c>
      <c r="BE66" s="5">
        <f>Y66+BA66</f>
        <v>173.50331616800798</v>
      </c>
      <c r="BF66" s="5">
        <f>Y66+BB66</f>
        <v>173.70808537641159</v>
      </c>
      <c r="BG66" s="5">
        <f t="shared" si="14"/>
        <v>2.7244617948142604</v>
      </c>
      <c r="BH66" s="5">
        <f t="shared" si="15"/>
        <v>2.5677885848373023</v>
      </c>
      <c r="BI66" s="5">
        <f t="shared" si="16"/>
        <v>2.3836008319920268</v>
      </c>
      <c r="BJ66" s="5">
        <f t="shared" si="17"/>
        <v>2.1788316235884224</v>
      </c>
    </row>
    <row r="67" spans="13:62" x14ac:dyDescent="0.35">
      <c r="M67" s="2">
        <v>65</v>
      </c>
      <c r="N67" s="3">
        <v>43873</v>
      </c>
      <c r="O67" s="1">
        <v>80.631927000000005</v>
      </c>
      <c r="P67" s="1">
        <v>177.879929</v>
      </c>
      <c r="R67" s="5">
        <f t="shared" si="8"/>
        <v>78.353504688110746</v>
      </c>
      <c r="S67" s="5">
        <f t="shared" si="9"/>
        <v>78.880768623930948</v>
      </c>
      <c r="T67" s="5">
        <f t="shared" si="10"/>
        <v>78.935407551302859</v>
      </c>
      <c r="U67" s="5">
        <f t="shared" si="11"/>
        <v>78.869826689388276</v>
      </c>
      <c r="V67" s="5"/>
      <c r="W67" s="5">
        <f>0.15*P66+(1-0.15)*W66</f>
        <v>173.47144681374621</v>
      </c>
      <c r="X67" s="5">
        <f>0.35*P66+(1-0.35)*X66</f>
        <v>173.90478655010182</v>
      </c>
      <c r="Y67" s="5">
        <f>0.55*P66+(1-0.55)*Y66</f>
        <v>174.65188625261507</v>
      </c>
      <c r="Z67" s="5">
        <f>0.75*P66+(1-0.75)*Z66</f>
        <v>175.26061137756716</v>
      </c>
      <c r="AB67" s="5">
        <f t="shared" si="0"/>
        <v>2.8257073800174193</v>
      </c>
      <c r="AC67" s="5">
        <f t="shared" si="1"/>
        <v>2.1717927888155977</v>
      </c>
      <c r="AD67" s="5">
        <f t="shared" si="2"/>
        <v>2.1040293985497152</v>
      </c>
      <c r="AE67" s="5">
        <f t="shared" si="3"/>
        <v>2.1853630145931255</v>
      </c>
      <c r="AG67" s="5">
        <f>ABS((P67-W67)/P67)*100</f>
        <v>2.4783471699349464</v>
      </c>
      <c r="AH67" s="5">
        <f>ABS((P67-X67)/P67)*100</f>
        <v>2.2347335487738955</v>
      </c>
      <c r="AI67" s="5">
        <f>ABS((P67-Y67)/P67)*100</f>
        <v>1.8147312996650302</v>
      </c>
      <c r="AJ67" s="5">
        <f>ABS((P67-Z67)/P67)*100</f>
        <v>1.4725200516764572</v>
      </c>
      <c r="AL67" s="5">
        <f>0.15*(T67-T66)+(1-0.15)*AL66</f>
        <v>0.12001746553337372</v>
      </c>
      <c r="AM67" s="5">
        <f>0.25*(T67-T66)+(1-0.25)*AM66</f>
        <v>8.825432017277679E-2</v>
      </c>
      <c r="AN67" s="5">
        <f>0.45*(T67-T66)+(1-0.45)*AN66</f>
        <v>4.1713550384402664E-3</v>
      </c>
      <c r="AO67" s="5">
        <f>0.85*(T67-T66)+(1-0.85)*AO66</f>
        <v>-0.16749018301300489</v>
      </c>
      <c r="AP67" s="5">
        <f>T67+AL67</f>
        <v>79.055425016836239</v>
      </c>
      <c r="AQ67" s="5">
        <f t="shared" si="4"/>
        <v>79.023661871475639</v>
      </c>
      <c r="AR67" s="5">
        <f t="shared" si="5"/>
        <v>78.939578906341296</v>
      </c>
      <c r="AS67" s="5">
        <f t="shared" si="6"/>
        <v>78.767917368289858</v>
      </c>
      <c r="AT67" s="5">
        <f t="shared" si="12"/>
        <v>1.5765019831637659</v>
      </c>
      <c r="AU67" s="5">
        <f t="shared" si="13"/>
        <v>98.856267128524365</v>
      </c>
      <c r="AV67" s="5">
        <f t="shared" si="18"/>
        <v>78.939578906341296</v>
      </c>
      <c r="AW67" s="5">
        <f t="shared" si="18"/>
        <v>0.4144126801791117</v>
      </c>
      <c r="AY67" s="5">
        <f>0.15*(Y67-Y66)+(1-0.15)*AY66</f>
        <v>0.24346563426669313</v>
      </c>
      <c r="AZ67" s="5">
        <f>0.25*(Y67-Y66)+(1-0.25)*AZ66</f>
        <v>0.50991364649233317</v>
      </c>
      <c r="BA67" s="5">
        <f>0.45*(Y67-Y66)+(1-0.45)*BA66</f>
        <v>0.87776847804771441</v>
      </c>
      <c r="BB67" s="5">
        <f>0.85*(Y67-Y66)+(1-0.85)*BB66</f>
        <v>1.3679118931510907</v>
      </c>
      <c r="BC67" s="5">
        <f>Y67+AY67</f>
        <v>174.89535188688177</v>
      </c>
      <c r="BD67" s="5">
        <f>Y67+AZ67</f>
        <v>175.16179989910739</v>
      </c>
      <c r="BE67" s="5">
        <f>Y67+BA67</f>
        <v>175.5296547306628</v>
      </c>
      <c r="BF67" s="5">
        <f>Y67+BB67</f>
        <v>176.01979814576617</v>
      </c>
      <c r="BG67" s="5">
        <f t="shared" si="14"/>
        <v>2.9845771131182346</v>
      </c>
      <c r="BH67" s="5">
        <f t="shared" si="15"/>
        <v>2.7181291008926109</v>
      </c>
      <c r="BI67" s="5">
        <f t="shared" si="16"/>
        <v>2.3502742693372056</v>
      </c>
      <c r="BJ67" s="5">
        <f t="shared" si="17"/>
        <v>1.8601308542338302</v>
      </c>
    </row>
    <row r="68" spans="13:62" x14ac:dyDescent="0.35">
      <c r="M68" s="2">
        <v>66</v>
      </c>
      <c r="N68" s="3">
        <v>43874</v>
      </c>
      <c r="O68" s="1">
        <v>80.057738999999998</v>
      </c>
      <c r="P68" s="1">
        <v>176.839249</v>
      </c>
      <c r="R68" s="5">
        <f t="shared" si="8"/>
        <v>78.695268034894141</v>
      </c>
      <c r="S68" s="5">
        <f t="shared" si="9"/>
        <v>79.493674055555118</v>
      </c>
      <c r="T68" s="5">
        <f t="shared" si="10"/>
        <v>79.868493248086281</v>
      </c>
      <c r="U68" s="5">
        <f t="shared" si="11"/>
        <v>80.191401922347069</v>
      </c>
      <c r="V68" s="5"/>
      <c r="W68" s="5">
        <f>0.15*P67+(1-0.15)*W67</f>
        <v>174.13271914168428</v>
      </c>
      <c r="X68" s="5">
        <f>0.35*P67+(1-0.35)*X67</f>
        <v>175.29608640756618</v>
      </c>
      <c r="Y68" s="5">
        <f>0.55*P67+(1-0.55)*Y67</f>
        <v>176.42730976367676</v>
      </c>
      <c r="Z68" s="5">
        <f>0.75*P67+(1-0.75)*Z67</f>
        <v>177.22509959439179</v>
      </c>
      <c r="AB68" s="5">
        <f t="shared" ref="AB68:AB131" si="19">ABS((O68-R68)/O68)*100</f>
        <v>1.7018604099047274</v>
      </c>
      <c r="AC68" s="5">
        <f t="shared" ref="AC68:AC131" si="20">ABS((O68-S68)/O68)*100</f>
        <v>0.70457266404298502</v>
      </c>
      <c r="AD68" s="5">
        <f t="shared" ref="AD68:AD131" si="21">ABS((O68-T68)/O68)*100</f>
        <v>0.23638658083226252</v>
      </c>
      <c r="AE68" s="5">
        <f t="shared" ref="AE68:AE131" si="22">ABS((O68-U68)/O68)*100</f>
        <v>0.16695815297390659</v>
      </c>
      <c r="AG68" s="5">
        <f>ABS((P68-W68)/P68)*100</f>
        <v>1.5305029135900248</v>
      </c>
      <c r="AH68" s="5">
        <f>ABS((P68-X68)/P68)*100</f>
        <v>0.87263579842154626</v>
      </c>
      <c r="AI68" s="5">
        <f>ABS((P68-Y68)/P68)*100</f>
        <v>0.23294559248169794</v>
      </c>
      <c r="AJ68" s="5">
        <f>ABS((P68-Z68)/P68)*100</f>
        <v>0.21819284834884003</v>
      </c>
      <c r="AL68" s="5">
        <f>0.15*(T68-T67)+(1-0.15)*AL67</f>
        <v>0.241977700220881</v>
      </c>
      <c r="AM68" s="5">
        <f>0.25*(T68-T67)+(1-0.25)*AM67</f>
        <v>0.29946216432543815</v>
      </c>
      <c r="AN68" s="5">
        <f>0.45*(T68-T67)+(1-0.45)*AN67</f>
        <v>0.42218280882368214</v>
      </c>
      <c r="AO68" s="5">
        <f>0.85*(T68-T67)+(1-0.85)*AO67</f>
        <v>0.76799931481395811</v>
      </c>
      <c r="AP68" s="5">
        <f>T68+AL68</f>
        <v>80.110470948307167</v>
      </c>
      <c r="AQ68" s="5">
        <f t="shared" ref="AQ68:AQ131" si="23">T68+AM68</f>
        <v>80.167955412411715</v>
      </c>
      <c r="AR68" s="5">
        <f t="shared" ref="AR68:AR131" si="24">T68+AN68</f>
        <v>80.290676056909959</v>
      </c>
      <c r="AS68" s="5">
        <f t="shared" ref="AS68:AS131" si="25">T68+AO68</f>
        <v>80.636492562900244</v>
      </c>
      <c r="AT68" s="5">
        <f t="shared" si="12"/>
        <v>5.2731948307169318E-2</v>
      </c>
      <c r="AU68" s="5">
        <f t="shared" si="13"/>
        <v>96.671293587588281</v>
      </c>
      <c r="AV68" s="5">
        <f t="shared" si="18"/>
        <v>80.290676056909959</v>
      </c>
      <c r="AW68" s="5">
        <f t="shared" si="18"/>
        <v>1.9412245280061029</v>
      </c>
      <c r="AY68" s="5">
        <f>0.15*(Y68-Y67)+(1-0.15)*AY67</f>
        <v>0.47325931578594249</v>
      </c>
      <c r="AZ68" s="5">
        <f>0.25*(Y68-Y67)+(1-0.25)*AZ67</f>
        <v>0.82629111263467214</v>
      </c>
      <c r="BA68" s="5">
        <f>0.45*(Y68-Y67)+(1-0.45)*BA67</f>
        <v>1.281713242904003</v>
      </c>
      <c r="BB68" s="5">
        <f>0.85*(Y68-Y67)+(1-0.85)*BB67</f>
        <v>1.7142967683750991</v>
      </c>
      <c r="BC68" s="5">
        <f>Y68+AY68</f>
        <v>176.90056907946271</v>
      </c>
      <c r="BD68" s="5">
        <f>Y68+AZ68</f>
        <v>177.25360087631142</v>
      </c>
      <c r="BE68" s="5">
        <f>Y68+BA68</f>
        <v>177.70902300658076</v>
      </c>
      <c r="BF68" s="5">
        <f>Y68+BB68</f>
        <v>178.14160653205187</v>
      </c>
      <c r="BG68" s="5">
        <f t="shared" si="14"/>
        <v>6.1320079462717558E-2</v>
      </c>
      <c r="BH68" s="5">
        <f t="shared" si="15"/>
        <v>0.41435187631142867</v>
      </c>
      <c r="BI68" s="5">
        <f t="shared" si="16"/>
        <v>0.86977400658076931</v>
      </c>
      <c r="BJ68" s="5">
        <f t="shared" si="17"/>
        <v>1.3023575320518717</v>
      </c>
    </row>
    <row r="69" spans="13:62" x14ac:dyDescent="0.35">
      <c r="M69" s="2">
        <v>67</v>
      </c>
      <c r="N69" s="3">
        <v>43875</v>
      </c>
      <c r="O69" s="1">
        <v>80.077461</v>
      </c>
      <c r="P69" s="1">
        <v>177.516693</v>
      </c>
      <c r="R69" s="5">
        <f t="shared" ref="R69:R132" si="26">0.15*O68+(1-0.15)*R68</f>
        <v>78.899638679660015</v>
      </c>
      <c r="S69" s="5">
        <f t="shared" ref="S69:S132" si="27">0.35*O68+(1-0.35)*S68</f>
        <v>79.691096786110819</v>
      </c>
      <c r="T69" s="5">
        <f t="shared" ref="T69:T132" si="28">0.55*O68+(1-0.55)*T68</f>
        <v>79.972578411638835</v>
      </c>
      <c r="U69" s="5">
        <f t="shared" ref="U69:U132" si="29">0.75*O68+(1-0.75)*U68</f>
        <v>80.091154730586766</v>
      </c>
      <c r="V69" s="5"/>
      <c r="W69" s="5">
        <f>0.15*P68+(1-0.15)*W68</f>
        <v>174.53869862043163</v>
      </c>
      <c r="X69" s="5">
        <f>0.35*P68+(1-0.35)*X68</f>
        <v>175.83619331491801</v>
      </c>
      <c r="Y69" s="5">
        <f>0.55*P68+(1-0.55)*Y68</f>
        <v>176.65387634365453</v>
      </c>
      <c r="Z69" s="5">
        <f>0.75*P68+(1-0.75)*Z68</f>
        <v>176.93571164859793</v>
      </c>
      <c r="AB69" s="5">
        <f t="shared" si="19"/>
        <v>1.4708537279172533</v>
      </c>
      <c r="AC69" s="5">
        <f t="shared" si="20"/>
        <v>0.48248809223506783</v>
      </c>
      <c r="AD69" s="5">
        <f t="shared" si="21"/>
        <v>0.13097641589955525</v>
      </c>
      <c r="AE69" s="5">
        <f t="shared" si="22"/>
        <v>1.7100605358561696E-2</v>
      </c>
      <c r="AG69" s="5">
        <f>ABS((P69-W69)/P69)*100</f>
        <v>1.6775855437822809</v>
      </c>
      <c r="AH69" s="5">
        <f>ABS((P69-X69)/P69)*100</f>
        <v>0.94667135618732912</v>
      </c>
      <c r="AI69" s="5">
        <f>ABS((P69-Y69)/P69)*100</f>
        <v>0.4860481804634974</v>
      </c>
      <c r="AJ69" s="5">
        <f>ABS((P69-Z69)/P69)*100</f>
        <v>0.32728265808899065</v>
      </c>
      <c r="AL69" s="5">
        <f>0.15*(T69-T68)+(1-0.15)*AL68</f>
        <v>0.22129381972063197</v>
      </c>
      <c r="AM69" s="5">
        <f>0.25*(T69-T68)+(1-0.25)*AM68</f>
        <v>0.25061791413221712</v>
      </c>
      <c r="AN69" s="5">
        <f>0.45*(T69-T68)+(1-0.45)*AN68</f>
        <v>0.27903886845167458</v>
      </c>
      <c r="AO69" s="5">
        <f>0.85*(T69-T68)+(1-0.85)*AO68</f>
        <v>0.20367228624176476</v>
      </c>
      <c r="AP69" s="5">
        <f>T69+AL69</f>
        <v>80.193872231359464</v>
      </c>
      <c r="AQ69" s="5">
        <f t="shared" si="23"/>
        <v>80.223196325771056</v>
      </c>
      <c r="AR69" s="5">
        <f t="shared" si="24"/>
        <v>80.251617280090514</v>
      </c>
      <c r="AS69" s="5">
        <f t="shared" si="25"/>
        <v>80.176250697880604</v>
      </c>
      <c r="AT69" s="5">
        <f t="shared" ref="AT69:AT132" si="30">ABS(O69-AP69)</f>
        <v>0.1164112313594643</v>
      </c>
      <c r="AU69" s="5">
        <f t="shared" ref="AU69:AU132" si="31">ABS(P69-AQ69)</f>
        <v>97.293496674228948</v>
      </c>
      <c r="AV69" s="5">
        <f t="shared" ref="AT69:AW132" si="32">ABS(Q69-AR69)</f>
        <v>80.251617280090514</v>
      </c>
      <c r="AW69" s="5">
        <f t="shared" si="32"/>
        <v>1.2766120182205896</v>
      </c>
      <c r="AY69" s="5">
        <f>0.15*(Y69-Y68)+(1-0.15)*AY68</f>
        <v>0.43625540541471675</v>
      </c>
      <c r="AZ69" s="5">
        <f>0.25*(Y69-Y68)+(1-0.25)*AZ68</f>
        <v>0.67635997947044679</v>
      </c>
      <c r="BA69" s="5">
        <f>0.45*(Y69-Y68)+(1-0.45)*BA68</f>
        <v>0.80689724458719847</v>
      </c>
      <c r="BB69" s="5">
        <f>0.85*(Y69-Y68)+(1-0.85)*BB68</f>
        <v>0.44972610823737003</v>
      </c>
      <c r="BC69" s="5">
        <f>Y69+AY69</f>
        <v>177.09013174906926</v>
      </c>
      <c r="BD69" s="5">
        <f>Y69+AZ69</f>
        <v>177.33023632312498</v>
      </c>
      <c r="BE69" s="5">
        <f>Y69+BA69</f>
        <v>177.46077358824172</v>
      </c>
      <c r="BF69" s="5">
        <f>Y69+BB69</f>
        <v>177.1036024518919</v>
      </c>
      <c r="BG69" s="5">
        <f t="shared" ref="BG69:BG132" si="33">ABS(P69-BC69)</f>
        <v>0.42656125093074593</v>
      </c>
      <c r="BH69" s="5">
        <f t="shared" ref="BH69:BH132" si="34">ABS(P69-BD69)</f>
        <v>0.1864566768750251</v>
      </c>
      <c r="BI69" s="5">
        <f t="shared" ref="BI69:BI132" si="35">ABS(P69-BE69)</f>
        <v>5.5919411758281967E-2</v>
      </c>
      <c r="BJ69" s="5">
        <f t="shared" ref="BJ69:BJ132" si="36">ABS(P69-BF69)</f>
        <v>0.41309054810810153</v>
      </c>
    </row>
    <row r="70" spans="13:62" x14ac:dyDescent="0.35">
      <c r="M70" s="2">
        <v>68</v>
      </c>
      <c r="N70" s="3">
        <v>43879</v>
      </c>
      <c r="O70" s="1">
        <v>78.611198000000002</v>
      </c>
      <c r="P70" s="1">
        <v>176.151993</v>
      </c>
      <c r="R70" s="5">
        <f t="shared" si="26"/>
        <v>79.076312027711012</v>
      </c>
      <c r="S70" s="5">
        <f t="shared" si="27"/>
        <v>79.826324260972029</v>
      </c>
      <c r="T70" s="5">
        <f t="shared" si="28"/>
        <v>80.030263835237477</v>
      </c>
      <c r="U70" s="5">
        <f t="shared" si="29"/>
        <v>80.080884432646684</v>
      </c>
      <c r="V70" s="5"/>
      <c r="W70" s="5">
        <f>0.15*P69+(1-0.15)*W69</f>
        <v>174.9853977773669</v>
      </c>
      <c r="X70" s="5">
        <f>0.35*P69+(1-0.35)*X69</f>
        <v>176.42436820469669</v>
      </c>
      <c r="Y70" s="5">
        <f>0.55*P69+(1-0.55)*Y69</f>
        <v>177.12842550464455</v>
      </c>
      <c r="Z70" s="5">
        <f>0.75*P69+(1-0.75)*Z69</f>
        <v>177.37144766214948</v>
      </c>
      <c r="AB70" s="5">
        <f t="shared" si="19"/>
        <v>0.59166383358133046</v>
      </c>
      <c r="AC70" s="5">
        <f t="shared" si="20"/>
        <v>1.5457419450242034</v>
      </c>
      <c r="AD70" s="5">
        <f t="shared" si="21"/>
        <v>1.8051700919727434</v>
      </c>
      <c r="AE70" s="5">
        <f t="shared" si="22"/>
        <v>1.8695637136158163</v>
      </c>
      <c r="AG70" s="5">
        <f>ABS((P70-W70)/P70)*100</f>
        <v>0.66226626379021769</v>
      </c>
      <c r="AH70" s="5">
        <f>ABS((P70-X70)/P70)*100</f>
        <v>0.15462510531838633</v>
      </c>
      <c r="AI70" s="5">
        <f>ABS((P70-Y70)/P70)*100</f>
        <v>0.55431249344113254</v>
      </c>
      <c r="AJ70" s="5">
        <f>ABS((P70-Z70)/P70)*100</f>
        <v>0.69227412155902979</v>
      </c>
      <c r="AL70" s="5">
        <f>0.15*(T70-T69)+(1-0.15)*AL69</f>
        <v>0.19675256030233343</v>
      </c>
      <c r="AM70" s="5">
        <f>0.25*(T70-T69)+(1-0.25)*AM69</f>
        <v>0.20238479149882327</v>
      </c>
      <c r="AN70" s="5">
        <f>0.45*(T70-T69)+(1-0.45)*AN69</f>
        <v>0.17942981826780979</v>
      </c>
      <c r="AO70" s="5">
        <f>0.85*(T70-T69)+(1-0.85)*AO69</f>
        <v>7.958345299511016E-2</v>
      </c>
      <c r="AP70" s="5">
        <f>T70+AL70</f>
        <v>80.227016395539806</v>
      </c>
      <c r="AQ70" s="5">
        <f t="shared" si="23"/>
        <v>80.232648626736307</v>
      </c>
      <c r="AR70" s="5">
        <f t="shared" si="24"/>
        <v>80.209693653505283</v>
      </c>
      <c r="AS70" s="5">
        <f t="shared" si="25"/>
        <v>80.109847288232586</v>
      </c>
      <c r="AT70" s="5">
        <f t="shared" si="30"/>
        <v>1.6158183955398044</v>
      </c>
      <c r="AU70" s="5">
        <f t="shared" si="31"/>
        <v>95.919344373263698</v>
      </c>
      <c r="AV70" s="5">
        <f t="shared" si="32"/>
        <v>80.209693653505283</v>
      </c>
      <c r="AW70" s="5">
        <f t="shared" si="32"/>
        <v>1.0335352605215746</v>
      </c>
      <c r="AY70" s="5">
        <f>0.15*(Y70-Y69)+(1-0.15)*AY69</f>
        <v>0.44199946875101265</v>
      </c>
      <c r="AZ70" s="5">
        <f>0.25*(Y70-Y69)+(1-0.25)*AZ69</f>
        <v>0.62590727485034081</v>
      </c>
      <c r="BA70" s="5">
        <f>0.45*(Y70-Y69)+(1-0.45)*BA69</f>
        <v>0.65734060696846941</v>
      </c>
      <c r="BB70" s="5">
        <f>0.85*(Y70-Y69)+(1-0.85)*BB69</f>
        <v>0.47082570307712485</v>
      </c>
      <c r="BC70" s="5">
        <f>Y70+AY70</f>
        <v>177.57042497339557</v>
      </c>
      <c r="BD70" s="5">
        <f>Y70+AZ70</f>
        <v>177.75433277949489</v>
      </c>
      <c r="BE70" s="5">
        <f>Y70+BA70</f>
        <v>177.78576611161301</v>
      </c>
      <c r="BF70" s="5">
        <f>Y70+BB70</f>
        <v>177.59925120772166</v>
      </c>
      <c r="BG70" s="5">
        <f t="shared" si="33"/>
        <v>1.4184319733955704</v>
      </c>
      <c r="BH70" s="5">
        <f t="shared" si="34"/>
        <v>1.6023397794948835</v>
      </c>
      <c r="BI70" s="5">
        <f t="shared" si="35"/>
        <v>1.6337731116130101</v>
      </c>
      <c r="BJ70" s="5">
        <f t="shared" si="36"/>
        <v>1.44725820772166</v>
      </c>
    </row>
    <row r="71" spans="13:62" x14ac:dyDescent="0.35">
      <c r="M71" s="2">
        <v>69</v>
      </c>
      <c r="N71" s="3">
        <v>43880</v>
      </c>
      <c r="O71" s="1">
        <v>79.749701999999999</v>
      </c>
      <c r="P71" s="1">
        <v>177.565765</v>
      </c>
      <c r="R71" s="5">
        <f t="shared" si="26"/>
        <v>79.006544923554358</v>
      </c>
      <c r="S71" s="5">
        <f t="shared" si="27"/>
        <v>79.401030069631815</v>
      </c>
      <c r="T71" s="5">
        <f t="shared" si="28"/>
        <v>79.249777625856865</v>
      </c>
      <c r="U71" s="5">
        <f t="shared" si="29"/>
        <v>78.978619608161665</v>
      </c>
      <c r="V71" s="5"/>
      <c r="W71" s="5">
        <f>0.15*P70+(1-0.15)*W70</f>
        <v>175.16038706076188</v>
      </c>
      <c r="X71" s="5">
        <f>0.35*P70+(1-0.35)*X70</f>
        <v>176.32903688305285</v>
      </c>
      <c r="Y71" s="5">
        <f>0.55*P70+(1-0.55)*Y70</f>
        <v>176.59138762709006</v>
      </c>
      <c r="Z71" s="5">
        <f>0.75*P70+(1-0.75)*Z70</f>
        <v>176.45685666553737</v>
      </c>
      <c r="AB71" s="5">
        <f t="shared" si="19"/>
        <v>0.9318618851336159</v>
      </c>
      <c r="AC71" s="5">
        <f t="shared" si="20"/>
        <v>0.4372078159842952</v>
      </c>
      <c r="AD71" s="5">
        <f t="shared" si="21"/>
        <v>0.6268667613869382</v>
      </c>
      <c r="AE71" s="5">
        <f t="shared" si="22"/>
        <v>0.96687808543577258</v>
      </c>
      <c r="AG71" s="5">
        <f>ABS((P71-W71)/P71)*100</f>
        <v>1.354640597098276</v>
      </c>
      <c r="AH71" s="5">
        <f>ABS((P71-X71)/P71)*100</f>
        <v>0.69649018038310939</v>
      </c>
      <c r="AI71" s="5">
        <f>ABS((P71-Y71)/P71)*100</f>
        <v>0.54874168616340069</v>
      </c>
      <c r="AJ71" s="5">
        <f>ABS((P71-Z71)/P71)*100</f>
        <v>0.62450570607607048</v>
      </c>
      <c r="AL71" s="5">
        <f>0.15*(T71-T70)+(1-0.15)*AL70</f>
        <v>5.0166744849891587E-2</v>
      </c>
      <c r="AM71" s="5">
        <f>0.25*(T71-T70)+(1-0.25)*AM70</f>
        <v>-4.3332958721035597E-2</v>
      </c>
      <c r="AN71" s="5">
        <f>0.45*(T71-T70)+(1-0.45)*AN70</f>
        <v>-0.2525323941739801</v>
      </c>
      <c r="AO71" s="5">
        <f>0.85*(T71-T70)+(1-0.85)*AO70</f>
        <v>-0.65147576002425378</v>
      </c>
      <c r="AP71" s="5">
        <f>T71+AL71</f>
        <v>79.299944370706754</v>
      </c>
      <c r="AQ71" s="5">
        <f t="shared" si="23"/>
        <v>79.206444667135827</v>
      </c>
      <c r="AR71" s="5">
        <f t="shared" si="24"/>
        <v>78.997245231682882</v>
      </c>
      <c r="AS71" s="5">
        <f t="shared" si="25"/>
        <v>78.59830186583261</v>
      </c>
      <c r="AT71" s="5">
        <f t="shared" si="30"/>
        <v>0.44975762929324503</v>
      </c>
      <c r="AU71" s="5">
        <f t="shared" si="31"/>
        <v>98.359320332864172</v>
      </c>
      <c r="AV71" s="5">
        <f t="shared" si="32"/>
        <v>78.997245231682882</v>
      </c>
      <c r="AW71" s="5">
        <f t="shared" si="32"/>
        <v>0.40824305772174796</v>
      </c>
      <c r="AY71" s="5">
        <f>0.15*(Y71-Y70)+(1-0.15)*AY70</f>
        <v>0.29514386680518628</v>
      </c>
      <c r="AZ71" s="5">
        <f>0.25*(Y71-Y70)+(1-0.25)*AZ70</f>
        <v>0.33517098674913148</v>
      </c>
      <c r="BA71" s="5">
        <f>0.45*(Y71-Y70)+(1-0.45)*BA70</f>
        <v>0.11987028893313481</v>
      </c>
      <c r="BB71" s="5">
        <f>0.85*(Y71-Y70)+(1-0.85)*BB70</f>
        <v>-0.3858583404597532</v>
      </c>
      <c r="BC71" s="5">
        <f>Y71+AY71</f>
        <v>176.88653149389523</v>
      </c>
      <c r="BD71" s="5">
        <f>Y71+AZ71</f>
        <v>176.92655861383918</v>
      </c>
      <c r="BE71" s="5">
        <f>Y71+BA71</f>
        <v>176.71125791602319</v>
      </c>
      <c r="BF71" s="5">
        <f>Y71+BB71</f>
        <v>176.20552928663031</v>
      </c>
      <c r="BG71" s="5">
        <f t="shared" si="33"/>
        <v>0.67923350610476518</v>
      </c>
      <c r="BH71" s="5">
        <f t="shared" si="34"/>
        <v>0.63920638616082215</v>
      </c>
      <c r="BI71" s="5">
        <f t="shared" si="35"/>
        <v>0.85450708397681296</v>
      </c>
      <c r="BJ71" s="5">
        <f t="shared" si="36"/>
        <v>1.3602357133696898</v>
      </c>
    </row>
    <row r="72" spans="13:62" x14ac:dyDescent="0.35">
      <c r="M72" s="2">
        <v>70</v>
      </c>
      <c r="N72" s="3">
        <v>43881</v>
      </c>
      <c r="O72" s="1">
        <v>78.931563999999995</v>
      </c>
      <c r="P72" s="1">
        <v>177.408691</v>
      </c>
      <c r="R72" s="5">
        <f t="shared" si="26"/>
        <v>79.11801848502121</v>
      </c>
      <c r="S72" s="5">
        <f t="shared" si="27"/>
        <v>79.523065245260682</v>
      </c>
      <c r="T72" s="5">
        <f t="shared" si="28"/>
        <v>79.524736031635584</v>
      </c>
      <c r="U72" s="5">
        <f t="shared" si="29"/>
        <v>79.556931402040419</v>
      </c>
      <c r="V72" s="5"/>
      <c r="W72" s="5">
        <f>0.15*P71+(1-0.15)*W71</f>
        <v>175.52119375164759</v>
      </c>
      <c r="X72" s="5">
        <f>0.35*P71+(1-0.35)*X71</f>
        <v>176.76189172398435</v>
      </c>
      <c r="Y72" s="5">
        <f>0.55*P71+(1-0.55)*Y71</f>
        <v>177.12729518219052</v>
      </c>
      <c r="Z72" s="5">
        <f>0.75*P71+(1-0.75)*Z71</f>
        <v>177.28853791638431</v>
      </c>
      <c r="AB72" s="5">
        <f t="shared" si="19"/>
        <v>0.23622297034582457</v>
      </c>
      <c r="AC72" s="5">
        <f t="shared" si="20"/>
        <v>0.74938492953299063</v>
      </c>
      <c r="AD72" s="5">
        <f t="shared" si="21"/>
        <v>0.75150168269260353</v>
      </c>
      <c r="AE72" s="5">
        <f t="shared" si="22"/>
        <v>0.79229065072171223</v>
      </c>
      <c r="AG72" s="5">
        <f>ABS((P72-W72)/P72)*100</f>
        <v>1.063926032999374</v>
      </c>
      <c r="AH72" s="5">
        <f>ABS((P72-X72)/P72)*100</f>
        <v>0.36458150520689891</v>
      </c>
      <c r="AI72" s="5">
        <f>ABS((P72-Y72)/P72)*100</f>
        <v>0.15861444905733629</v>
      </c>
      <c r="AJ72" s="5">
        <f>ABS((P72-Z72)/P72)*100</f>
        <v>6.7726717861691765E-2</v>
      </c>
      <c r="AL72" s="5">
        <f>0.15*(T72-T71)+(1-0.15)*AL71</f>
        <v>8.3885493989215687E-2</v>
      </c>
      <c r="AM72" s="5">
        <f>0.25*(T72-T71)+(1-0.25)*AM71</f>
        <v>3.6239882403903023E-2</v>
      </c>
      <c r="AN72" s="5">
        <f>0.45*(T72-T71)+(1-0.45)*AN71</f>
        <v>-1.5161534195265572E-2</v>
      </c>
      <c r="AO72" s="5">
        <f>0.85*(T72-T71)+(1-0.85)*AO71</f>
        <v>0.13599328090827295</v>
      </c>
      <c r="AP72" s="5">
        <f>T72+AL72</f>
        <v>79.608621525624798</v>
      </c>
      <c r="AQ72" s="5">
        <f t="shared" si="23"/>
        <v>79.560975914039489</v>
      </c>
      <c r="AR72" s="5">
        <f t="shared" si="24"/>
        <v>79.509574497440312</v>
      </c>
      <c r="AS72" s="5">
        <f t="shared" si="25"/>
        <v>79.66072931254385</v>
      </c>
      <c r="AT72" s="5">
        <f t="shared" si="30"/>
        <v>0.6770575256248037</v>
      </c>
      <c r="AU72" s="5">
        <f t="shared" si="31"/>
        <v>97.847715085960516</v>
      </c>
      <c r="AV72" s="5">
        <f t="shared" si="32"/>
        <v>79.509574497440312</v>
      </c>
      <c r="AW72" s="5">
        <f t="shared" si="32"/>
        <v>0.54271082752264022</v>
      </c>
      <c r="AY72" s="5">
        <f>0.15*(Y72-Y71)+(1-0.15)*AY71</f>
        <v>0.33125842004947809</v>
      </c>
      <c r="AZ72" s="5">
        <f>0.25*(Y72-Y71)+(1-0.25)*AZ71</f>
        <v>0.38535512883696488</v>
      </c>
      <c r="BA72" s="5">
        <f>0.45*(Y72-Y71)+(1-0.45)*BA71</f>
        <v>0.30708705870843345</v>
      </c>
      <c r="BB72" s="5">
        <f>0.85*(Y72-Y71)+(1-0.85)*BB71</f>
        <v>0.39764267076643228</v>
      </c>
      <c r="BC72" s="5">
        <f>Y72+AY72</f>
        <v>177.45855360223999</v>
      </c>
      <c r="BD72" s="5">
        <f>Y72+AZ72</f>
        <v>177.5126503110275</v>
      </c>
      <c r="BE72" s="5">
        <f>Y72+BA72</f>
        <v>177.43438224089897</v>
      </c>
      <c r="BF72" s="5">
        <f>Y72+BB72</f>
        <v>177.52493785295695</v>
      </c>
      <c r="BG72" s="5">
        <f t="shared" si="33"/>
        <v>4.9862602239983289E-2</v>
      </c>
      <c r="BH72" s="5">
        <f t="shared" si="34"/>
        <v>0.103959311027495</v>
      </c>
      <c r="BI72" s="5">
        <f t="shared" si="35"/>
        <v>2.5691240898964907E-2</v>
      </c>
      <c r="BJ72" s="5">
        <f t="shared" si="36"/>
        <v>0.11624685295694803</v>
      </c>
    </row>
    <row r="73" spans="13:62" x14ac:dyDescent="0.35">
      <c r="M73" s="2">
        <v>71</v>
      </c>
      <c r="N73" s="3">
        <v>43882</v>
      </c>
      <c r="O73" s="1">
        <v>77.144942999999998</v>
      </c>
      <c r="P73" s="1">
        <v>176.603622</v>
      </c>
      <c r="R73" s="5">
        <f t="shared" si="26"/>
        <v>79.090050312268033</v>
      </c>
      <c r="S73" s="5">
        <f t="shared" si="27"/>
        <v>79.316039809419436</v>
      </c>
      <c r="T73" s="5">
        <f t="shared" si="28"/>
        <v>79.198491414236003</v>
      </c>
      <c r="U73" s="5">
        <f t="shared" si="29"/>
        <v>79.087905850510111</v>
      </c>
      <c r="V73" s="5"/>
      <c r="W73" s="5">
        <f>0.15*P72+(1-0.15)*W72</f>
        <v>175.80431833890043</v>
      </c>
      <c r="X73" s="5">
        <f>0.35*P72+(1-0.35)*X72</f>
        <v>176.98827147058984</v>
      </c>
      <c r="Y73" s="5">
        <f>0.55*P72+(1-0.55)*Y72</f>
        <v>177.28206288198572</v>
      </c>
      <c r="Z73" s="5">
        <f>0.75*P72+(1-0.75)*Z72</f>
        <v>177.37865272909607</v>
      </c>
      <c r="AB73" s="5">
        <f t="shared" si="19"/>
        <v>2.5213672298235226</v>
      </c>
      <c r="AC73" s="5">
        <f t="shared" si="20"/>
        <v>2.8143086571720435</v>
      </c>
      <c r="AD73" s="5">
        <f t="shared" si="21"/>
        <v>2.6619352278684101</v>
      </c>
      <c r="AE73" s="5">
        <f t="shared" si="22"/>
        <v>2.5185874471514142</v>
      </c>
      <c r="AG73" s="5">
        <f>ABS((P73-W73)/P73)*100</f>
        <v>0.45259754700816479</v>
      </c>
      <c r="AH73" s="5">
        <f>ABS((P73-X73)/P73)*100</f>
        <v>0.21780384016689935</v>
      </c>
      <c r="AI73" s="5">
        <f>ABS((P73-Y73)/P73)*100</f>
        <v>0.38416023086192536</v>
      </c>
      <c r="AJ73" s="5">
        <f>ABS((P73-Z73)/P73)*100</f>
        <v>0.4388532467901895</v>
      </c>
      <c r="AL73" s="5">
        <f>0.15*(T73-T72)+(1-0.15)*AL72</f>
        <v>2.2365977280896156E-2</v>
      </c>
      <c r="AM73" s="5">
        <f>0.25*(T73-T72)+(1-0.25)*AM72</f>
        <v>-5.4381242546968037E-2</v>
      </c>
      <c r="AN73" s="5">
        <f>0.45*(T73-T72)+(1-0.45)*AN72</f>
        <v>-0.15514892163720762</v>
      </c>
      <c r="AO73" s="5">
        <f>0.85*(T73-T72)+(1-0.85)*AO72</f>
        <v>-0.25690893265340303</v>
      </c>
      <c r="AP73" s="5">
        <f>T73+AL73</f>
        <v>79.220857391516901</v>
      </c>
      <c r="AQ73" s="5">
        <f t="shared" si="23"/>
        <v>79.144110171689036</v>
      </c>
      <c r="AR73" s="5">
        <f t="shared" si="24"/>
        <v>79.043342492598796</v>
      </c>
      <c r="AS73" s="5">
        <f t="shared" si="25"/>
        <v>78.9415824815826</v>
      </c>
      <c r="AT73" s="5">
        <f t="shared" si="30"/>
        <v>2.0759143915169034</v>
      </c>
      <c r="AU73" s="5">
        <f t="shared" si="31"/>
        <v>97.459511828310966</v>
      </c>
      <c r="AV73" s="5">
        <f t="shared" si="32"/>
        <v>79.043342492598796</v>
      </c>
      <c r="AW73" s="5">
        <f t="shared" si="32"/>
        <v>0.14846783068543346</v>
      </c>
      <c r="AY73" s="5">
        <f>0.15*(Y73-Y72)+(1-0.15)*AY72</f>
        <v>0.30478481201133656</v>
      </c>
      <c r="AZ73" s="5">
        <f>0.25*(Y73-Y72)+(1-0.25)*AZ72</f>
        <v>0.32770827157652394</v>
      </c>
      <c r="BA73" s="5">
        <f>0.45*(Y73-Y72)+(1-0.45)*BA72</f>
        <v>0.23854334719747883</v>
      </c>
      <c r="BB73" s="5">
        <f>0.85*(Y73-Y72)+(1-0.85)*BB72</f>
        <v>0.1911989454408857</v>
      </c>
      <c r="BC73" s="5">
        <f>Y73+AY73</f>
        <v>177.58684769399707</v>
      </c>
      <c r="BD73" s="5">
        <f>Y73+AZ73</f>
        <v>177.60977115356224</v>
      </c>
      <c r="BE73" s="5">
        <f>Y73+BA73</f>
        <v>177.52060622918322</v>
      </c>
      <c r="BF73" s="5">
        <f>Y73+BB73</f>
        <v>177.4732618274266</v>
      </c>
      <c r="BG73" s="5">
        <f t="shared" si="33"/>
        <v>0.98322569399707049</v>
      </c>
      <c r="BH73" s="5">
        <f t="shared" si="34"/>
        <v>1.0061491535622338</v>
      </c>
      <c r="BI73" s="5">
        <f t="shared" si="35"/>
        <v>0.91698422918321398</v>
      </c>
      <c r="BJ73" s="5">
        <f t="shared" si="36"/>
        <v>0.86963982742659596</v>
      </c>
    </row>
    <row r="74" spans="13:62" x14ac:dyDescent="0.35">
      <c r="M74" s="2">
        <v>72</v>
      </c>
      <c r="N74" s="3">
        <v>43885</v>
      </c>
      <c r="O74" s="1">
        <v>73.480521999999993</v>
      </c>
      <c r="P74" s="1">
        <v>172.07759100000001</v>
      </c>
      <c r="R74" s="5">
        <f t="shared" si="26"/>
        <v>78.798284215427827</v>
      </c>
      <c r="S74" s="5">
        <f t="shared" si="27"/>
        <v>78.556155926122628</v>
      </c>
      <c r="T74" s="5">
        <f t="shared" si="28"/>
        <v>78.069039786406194</v>
      </c>
      <c r="U74" s="5">
        <f t="shared" si="29"/>
        <v>77.63068371262753</v>
      </c>
      <c r="V74" s="5"/>
      <c r="W74" s="5">
        <f>0.15*P73+(1-0.15)*W73</f>
        <v>175.92421388806537</v>
      </c>
      <c r="X74" s="5">
        <f>0.35*P73+(1-0.35)*X73</f>
        <v>176.85364415588339</v>
      </c>
      <c r="Y74" s="5">
        <f>0.55*P73+(1-0.55)*Y73</f>
        <v>176.90892039689356</v>
      </c>
      <c r="Z74" s="5">
        <f>0.75*P73+(1-0.75)*Z73</f>
        <v>176.79737968227403</v>
      </c>
      <c r="AB74" s="5">
        <f t="shared" si="19"/>
        <v>7.236968479113191</v>
      </c>
      <c r="AC74" s="5">
        <f t="shared" si="20"/>
        <v>6.9074549118236188</v>
      </c>
      <c r="AD74" s="5">
        <f t="shared" si="21"/>
        <v>6.2445361866185438</v>
      </c>
      <c r="AE74" s="5">
        <f t="shared" si="22"/>
        <v>5.6479752724504824</v>
      </c>
      <c r="AG74" s="5">
        <f>ABS((P74-W74)/P74)*100</f>
        <v>2.2354002434084252</v>
      </c>
      <c r="AH74" s="5">
        <f>ABS((P74-X74)/P74)*100</f>
        <v>2.7755230231479557</v>
      </c>
      <c r="AI74" s="5">
        <f>ABS((P74-Y74)/P74)*100</f>
        <v>2.8076458816148531</v>
      </c>
      <c r="AJ74" s="5">
        <f>ABS((P74-Z74)/P74)*100</f>
        <v>2.7428258699147023</v>
      </c>
      <c r="AL74" s="5">
        <f>0.15*(T74-T73)+(1-0.15)*AL73</f>
        <v>-0.15040666348570961</v>
      </c>
      <c r="AM74" s="5">
        <f>0.25*(T74-T73)+(1-0.25)*AM73</f>
        <v>-0.32314883886767831</v>
      </c>
      <c r="AN74" s="5">
        <f>0.45*(T74-T73)+(1-0.45)*AN73</f>
        <v>-0.59358513942387825</v>
      </c>
      <c r="AO74" s="5">
        <f>0.85*(T74-T73)+(1-0.85)*AO73</f>
        <v>-0.99857022355334801</v>
      </c>
      <c r="AP74" s="5">
        <f>T74+AL74</f>
        <v>77.918633122920482</v>
      </c>
      <c r="AQ74" s="5">
        <f t="shared" si="23"/>
        <v>77.745890947538513</v>
      </c>
      <c r="AR74" s="5">
        <f t="shared" si="24"/>
        <v>77.475454646982314</v>
      </c>
      <c r="AS74" s="5">
        <f t="shared" si="25"/>
        <v>77.07046956285285</v>
      </c>
      <c r="AT74" s="5">
        <f t="shared" si="30"/>
        <v>4.438111122920489</v>
      </c>
      <c r="AU74" s="5">
        <f t="shared" si="31"/>
        <v>94.3317000524615</v>
      </c>
      <c r="AV74" s="5">
        <f t="shared" si="32"/>
        <v>77.475454646982314</v>
      </c>
      <c r="AW74" s="5">
        <f t="shared" si="32"/>
        <v>1.7278146525749776</v>
      </c>
      <c r="AY74" s="5">
        <f>0.15*(Y74-Y73)+(1-0.15)*AY73</f>
        <v>0.20309571744581212</v>
      </c>
      <c r="AZ74" s="5">
        <f>0.25*(Y74-Y73)+(1-0.25)*AZ73</f>
        <v>0.15249558240935299</v>
      </c>
      <c r="BA74" s="5">
        <f>0.45*(Y74-Y73)+(1-0.45)*BA73</f>
        <v>-3.6715277332858565E-2</v>
      </c>
      <c r="BB74" s="5">
        <f>0.85*(Y74-Y73)+(1-0.85)*BB73</f>
        <v>-0.28849127051220302</v>
      </c>
      <c r="BC74" s="5">
        <f>Y74+AY74</f>
        <v>177.11201611433938</v>
      </c>
      <c r="BD74" s="5">
        <f>Y74+AZ74</f>
        <v>177.06141597930292</v>
      </c>
      <c r="BE74" s="5">
        <f>Y74+BA74</f>
        <v>176.8722051195607</v>
      </c>
      <c r="BF74" s="5">
        <f>Y74+BB74</f>
        <v>176.62042912638137</v>
      </c>
      <c r="BG74" s="5">
        <f t="shared" si="33"/>
        <v>5.0344251143393706</v>
      </c>
      <c r="BH74" s="5">
        <f t="shared" si="34"/>
        <v>4.9838249793029092</v>
      </c>
      <c r="BI74" s="5">
        <f t="shared" si="35"/>
        <v>4.7946141195606913</v>
      </c>
      <c r="BJ74" s="5">
        <f t="shared" si="36"/>
        <v>4.5428381263813549</v>
      </c>
    </row>
    <row r="75" spans="13:62" x14ac:dyDescent="0.35">
      <c r="M75" s="2">
        <v>73</v>
      </c>
      <c r="N75" s="3">
        <v>43886</v>
      </c>
      <c r="O75" s="1">
        <v>70.991577000000007</v>
      </c>
      <c r="P75" s="1">
        <v>164.743652</v>
      </c>
      <c r="R75" s="5">
        <f t="shared" si="26"/>
        <v>78.000619883113657</v>
      </c>
      <c r="S75" s="5">
        <f t="shared" si="27"/>
        <v>76.7796840519797</v>
      </c>
      <c r="T75" s="5">
        <f t="shared" si="28"/>
        <v>75.54535500388279</v>
      </c>
      <c r="U75" s="5">
        <f t="shared" si="29"/>
        <v>74.518062428156867</v>
      </c>
      <c r="V75" s="5"/>
      <c r="W75" s="5">
        <f>0.15*P74+(1-0.15)*W74</f>
        <v>175.34722045485555</v>
      </c>
      <c r="X75" s="5">
        <f>0.35*P74+(1-0.35)*X74</f>
        <v>175.18202555132422</v>
      </c>
      <c r="Y75" s="5">
        <f>0.55*P74+(1-0.55)*Y74</f>
        <v>174.25168922860212</v>
      </c>
      <c r="Z75" s="5">
        <f>0.75*P74+(1-0.75)*Z74</f>
        <v>173.25753817056852</v>
      </c>
      <c r="AB75" s="5">
        <f t="shared" si="19"/>
        <v>9.8730626636363485</v>
      </c>
      <c r="AC75" s="5">
        <f t="shared" si="20"/>
        <v>8.1532307022559767</v>
      </c>
      <c r="AD75" s="5">
        <f t="shared" si="21"/>
        <v>6.4145328168759841</v>
      </c>
      <c r="AE75" s="5">
        <f t="shared" si="22"/>
        <v>4.9674701946075377</v>
      </c>
      <c r="AG75" s="5">
        <f>ABS((P75-W75)/P75)*100</f>
        <v>6.4364048788086521</v>
      </c>
      <c r="AH75" s="5">
        <f>ABS((P75-X75)/P75)*100</f>
        <v>6.3361309674768034</v>
      </c>
      <c r="AI75" s="5">
        <f>ABS((P75-Y75)/P75)*100</f>
        <v>5.7714134130049031</v>
      </c>
      <c r="AJ75" s="5">
        <f>ABS((P75-Z75)/P75)*100</f>
        <v>5.1679600805307668</v>
      </c>
      <c r="AL75" s="5">
        <f>0.15*(T75-T74)+(1-0.15)*AL74</f>
        <v>-0.50639838134136372</v>
      </c>
      <c r="AM75" s="5">
        <f>0.25*(T75-T74)+(1-0.25)*AM74</f>
        <v>-0.87328282478160968</v>
      </c>
      <c r="AN75" s="5">
        <f>0.45*(T75-T74)+(1-0.45)*AN74</f>
        <v>-1.4621299788186648</v>
      </c>
      <c r="AO75" s="5">
        <f>0.85*(T75-T74)+(1-0.85)*AO74</f>
        <v>-2.2949175986778951</v>
      </c>
      <c r="AP75" s="5">
        <f>T75+AL75</f>
        <v>75.03895662254142</v>
      </c>
      <c r="AQ75" s="5">
        <f t="shared" si="23"/>
        <v>74.672072179101178</v>
      </c>
      <c r="AR75" s="5">
        <f t="shared" si="24"/>
        <v>74.083225025064124</v>
      </c>
      <c r="AS75" s="5">
        <f t="shared" si="25"/>
        <v>73.250437405204892</v>
      </c>
      <c r="AT75" s="5">
        <f t="shared" si="30"/>
        <v>4.0473796225414134</v>
      </c>
      <c r="AU75" s="5">
        <f t="shared" si="31"/>
        <v>90.071579820898819</v>
      </c>
      <c r="AV75" s="5">
        <f t="shared" si="32"/>
        <v>74.083225025064124</v>
      </c>
      <c r="AW75" s="5">
        <f t="shared" si="32"/>
        <v>4.7501824779087656</v>
      </c>
      <c r="AY75" s="5">
        <f>0.15*(Y75-Y74)+(1-0.15)*AY74</f>
        <v>-0.22595331541477659</v>
      </c>
      <c r="AZ75" s="5">
        <f>0.25*(Y75-Y74)+(1-0.25)*AZ74</f>
        <v>-0.5499361052658468</v>
      </c>
      <c r="BA75" s="5">
        <f>0.45*(Y75-Y74)+(1-0.45)*BA74</f>
        <v>-1.2159474282642229</v>
      </c>
      <c r="BB75" s="5">
        <f>0.85*(Y75-Y74)+(1-0.85)*BB74</f>
        <v>-2.3019201836245595</v>
      </c>
      <c r="BC75" s="5">
        <f>Y75+AY75</f>
        <v>174.02573591318733</v>
      </c>
      <c r="BD75" s="5">
        <f>Y75+AZ75</f>
        <v>173.70175312333626</v>
      </c>
      <c r="BE75" s="5">
        <f>Y75+BA75</f>
        <v>173.03574180033789</v>
      </c>
      <c r="BF75" s="5">
        <f>Y75+BB75</f>
        <v>171.94976904497756</v>
      </c>
      <c r="BG75" s="5">
        <f t="shared" si="33"/>
        <v>9.2820839131873356</v>
      </c>
      <c r="BH75" s="5">
        <f t="shared" si="34"/>
        <v>8.9581011233362631</v>
      </c>
      <c r="BI75" s="5">
        <f t="shared" si="35"/>
        <v>8.2920898003378909</v>
      </c>
      <c r="BJ75" s="5">
        <f t="shared" si="36"/>
        <v>7.2061170449775602</v>
      </c>
    </row>
    <row r="76" spans="13:62" x14ac:dyDescent="0.35">
      <c r="M76" s="2">
        <v>74</v>
      </c>
      <c r="N76" s="3">
        <v>43887</v>
      </c>
      <c r="O76" s="1">
        <v>72.117767000000001</v>
      </c>
      <c r="P76" s="1">
        <v>164.134918</v>
      </c>
      <c r="R76" s="5">
        <f t="shared" si="26"/>
        <v>76.949263450646598</v>
      </c>
      <c r="S76" s="5">
        <f t="shared" si="27"/>
        <v>74.75384658378681</v>
      </c>
      <c r="T76" s="5">
        <f t="shared" si="28"/>
        <v>73.040777101747267</v>
      </c>
      <c r="U76" s="5">
        <f t="shared" si="29"/>
        <v>71.873198357039229</v>
      </c>
      <c r="V76" s="5"/>
      <c r="W76" s="5">
        <f>0.15*P75+(1-0.15)*W75</f>
        <v>173.75668518662721</v>
      </c>
      <c r="X76" s="5">
        <f>0.35*P75+(1-0.35)*X75</f>
        <v>171.52859480836074</v>
      </c>
      <c r="Y76" s="5">
        <f>0.55*P75+(1-0.55)*Y75</f>
        <v>169.02226875287096</v>
      </c>
      <c r="Z76" s="5">
        <f>0.75*P75+(1-0.75)*Z75</f>
        <v>166.87212354264213</v>
      </c>
      <c r="AB76" s="5">
        <f t="shared" si="19"/>
        <v>6.6994537568621571</v>
      </c>
      <c r="AC76" s="5">
        <f t="shared" si="20"/>
        <v>3.6552429358868106</v>
      </c>
      <c r="AD76" s="5">
        <f t="shared" si="21"/>
        <v>1.2798650598087242</v>
      </c>
      <c r="AE76" s="5">
        <f t="shared" si="22"/>
        <v>0.33912398169617736</v>
      </c>
      <c r="AG76" s="5">
        <f>ABS((P76-W76)/P76)*100</f>
        <v>5.8621086261652193</v>
      </c>
      <c r="AH76" s="5">
        <f>ABS((P76-X76)/P76)*100</f>
        <v>4.5046336870017738</v>
      </c>
      <c r="AI76" s="5">
        <f>ABS((P76-Y76)/P76)*100</f>
        <v>2.9776423033098647</v>
      </c>
      <c r="AJ76" s="5">
        <f>ABS((P76-Z76)/P76)*100</f>
        <v>1.6676558382550444</v>
      </c>
      <c r="AL76" s="5">
        <f>0.15*(T76-T75)+(1-0.15)*AL75</f>
        <v>-0.80612530946048766</v>
      </c>
      <c r="AM76" s="5">
        <f>0.25*(T76-T75)+(1-0.25)*AM75</f>
        <v>-1.2811065941200881</v>
      </c>
      <c r="AN76" s="5">
        <f>0.45*(T76-T75)+(1-0.45)*AN75</f>
        <v>-1.9312315443112511</v>
      </c>
      <c r="AO76" s="5">
        <f>0.85*(T76-T75)+(1-0.85)*AO75</f>
        <v>-2.4731288566168788</v>
      </c>
      <c r="AP76" s="5">
        <f>T76+AL76</f>
        <v>72.234651792286783</v>
      </c>
      <c r="AQ76" s="5">
        <f t="shared" si="23"/>
        <v>71.759670507627177</v>
      </c>
      <c r="AR76" s="5">
        <f t="shared" si="24"/>
        <v>71.109545557436022</v>
      </c>
      <c r="AS76" s="5">
        <f t="shared" si="25"/>
        <v>70.567648245130385</v>
      </c>
      <c r="AT76" s="5">
        <f t="shared" si="30"/>
        <v>0.11688479228678261</v>
      </c>
      <c r="AU76" s="5">
        <f t="shared" si="31"/>
        <v>92.375247492372822</v>
      </c>
      <c r="AV76" s="5">
        <f t="shared" si="32"/>
        <v>71.109545557436022</v>
      </c>
      <c r="AW76" s="5">
        <f t="shared" si="32"/>
        <v>6.3816152055162121</v>
      </c>
      <c r="AY76" s="5">
        <f>0.15*(Y76-Y75)+(1-0.15)*AY75</f>
        <v>-0.97647338946223416</v>
      </c>
      <c r="AZ76" s="5">
        <f>0.25*(Y76-Y75)+(1-0.25)*AZ75</f>
        <v>-1.7198071978821752</v>
      </c>
      <c r="BA76" s="5">
        <f>0.45*(Y76-Y75)+(1-0.45)*BA75</f>
        <v>-3.0220102996243448</v>
      </c>
      <c r="BB76" s="5">
        <f>0.85*(Y76-Y75)+(1-0.85)*BB75</f>
        <v>-4.7902954319151698</v>
      </c>
      <c r="BC76" s="5">
        <f>Y76+AY76</f>
        <v>168.04579536340873</v>
      </c>
      <c r="BD76" s="5">
        <f>Y76+AZ76</f>
        <v>167.30246155498878</v>
      </c>
      <c r="BE76" s="5">
        <f>Y76+BA76</f>
        <v>166.0002584532466</v>
      </c>
      <c r="BF76" s="5">
        <f>Y76+BB76</f>
        <v>164.23197332095577</v>
      </c>
      <c r="BG76" s="5">
        <f t="shared" si="33"/>
        <v>3.9108773634087299</v>
      </c>
      <c r="BH76" s="5">
        <f t="shared" si="34"/>
        <v>3.1675435549887823</v>
      </c>
      <c r="BI76" s="5">
        <f t="shared" si="35"/>
        <v>1.8653404532466027</v>
      </c>
      <c r="BJ76" s="5">
        <f t="shared" si="36"/>
        <v>9.705532095577496E-2</v>
      </c>
    </row>
    <row r="77" spans="13:62" x14ac:dyDescent="0.35">
      <c r="M77" s="2">
        <v>75</v>
      </c>
      <c r="N77" s="3">
        <v>43888</v>
      </c>
      <c r="O77" s="1">
        <v>67.403557000000006</v>
      </c>
      <c r="P77" s="1">
        <v>157.49176</v>
      </c>
      <c r="R77" s="5">
        <f t="shared" si="26"/>
        <v>76.224538983049612</v>
      </c>
      <c r="S77" s="5">
        <f t="shared" si="27"/>
        <v>73.831218729461426</v>
      </c>
      <c r="T77" s="5">
        <f t="shared" si="28"/>
        <v>72.533121545786258</v>
      </c>
      <c r="U77" s="5">
        <f t="shared" si="29"/>
        <v>72.056624839259797</v>
      </c>
      <c r="V77" s="5"/>
      <c r="W77" s="5">
        <f>0.15*P76+(1-0.15)*W76</f>
        <v>172.31342010863312</v>
      </c>
      <c r="X77" s="5">
        <f>0.35*P76+(1-0.35)*X76</f>
        <v>168.94080792543448</v>
      </c>
      <c r="Y77" s="5">
        <f>0.55*P76+(1-0.55)*Y76</f>
        <v>166.33422583879192</v>
      </c>
      <c r="Z77" s="5">
        <f>0.75*P76+(1-0.75)*Z76</f>
        <v>164.81921938566055</v>
      </c>
      <c r="AB77" s="5">
        <f t="shared" si="19"/>
        <v>13.086819710493328</v>
      </c>
      <c r="AC77" s="5">
        <f t="shared" si="20"/>
        <v>9.5360868410274247</v>
      </c>
      <c r="AD77" s="5">
        <f t="shared" si="21"/>
        <v>7.6102282640458441</v>
      </c>
      <c r="AE77" s="5">
        <f t="shared" si="22"/>
        <v>6.9032971646582242</v>
      </c>
      <c r="AG77" s="5">
        <f>ABS((P77-W77)/P77)*100</f>
        <v>9.4110702100434498</v>
      </c>
      <c r="AH77" s="5">
        <f>ABS((P77-X77)/P77)*100</f>
        <v>7.2696171059581056</v>
      </c>
      <c r="AI77" s="5">
        <f>ABS((P77-Y77)/P77)*100</f>
        <v>5.6145577640328126</v>
      </c>
      <c r="AJ77" s="5">
        <f>ABS((P77-Z77)/P77)*100</f>
        <v>4.6525985776402186</v>
      </c>
      <c r="AL77" s="5">
        <f>0.15*(T77-T76)+(1-0.15)*AL76</f>
        <v>-0.76135484643556572</v>
      </c>
      <c r="AM77" s="5">
        <f>0.25*(T77-T76)+(1-0.25)*AM76</f>
        <v>-1.0877438345803183</v>
      </c>
      <c r="AN77" s="5">
        <f>0.45*(T77-T76)+(1-0.45)*AN76</f>
        <v>-1.290622349553642</v>
      </c>
      <c r="AO77" s="5">
        <f>0.85*(T77-T76)+(1-0.85)*AO76</f>
        <v>-0.8024765510593892</v>
      </c>
      <c r="AP77" s="5">
        <f>T77+AL77</f>
        <v>71.771766699350692</v>
      </c>
      <c r="AQ77" s="5">
        <f t="shared" si="23"/>
        <v>71.445377711205936</v>
      </c>
      <c r="AR77" s="5">
        <f t="shared" si="24"/>
        <v>71.242499196232615</v>
      </c>
      <c r="AS77" s="5">
        <f t="shared" si="25"/>
        <v>71.730644994726873</v>
      </c>
      <c r="AT77" s="5">
        <f t="shared" si="30"/>
        <v>4.368209699350686</v>
      </c>
      <c r="AU77" s="5">
        <f t="shared" si="31"/>
        <v>86.046382288794064</v>
      </c>
      <c r="AV77" s="5">
        <f t="shared" si="32"/>
        <v>71.242499196232615</v>
      </c>
      <c r="AW77" s="5">
        <f t="shared" si="32"/>
        <v>4.4938939883227391</v>
      </c>
      <c r="AY77" s="5">
        <f>0.15*(Y77-Y76)+(1-0.15)*AY76</f>
        <v>-1.233208818154754</v>
      </c>
      <c r="AZ77" s="5">
        <f>0.25*(Y77-Y76)+(1-0.25)*AZ76</f>
        <v>-1.96186612693139</v>
      </c>
      <c r="BA77" s="5">
        <f>0.45*(Y77-Y76)+(1-0.45)*BA76</f>
        <v>-2.8717249761289549</v>
      </c>
      <c r="BB77" s="5">
        <f>0.85*(Y77-Y76)+(1-0.85)*BB76</f>
        <v>-3.0033807917544544</v>
      </c>
      <c r="BC77" s="5">
        <f>Y77+AY77</f>
        <v>165.10101702063716</v>
      </c>
      <c r="BD77" s="5">
        <f>Y77+AZ77</f>
        <v>164.37235971186053</v>
      </c>
      <c r="BE77" s="5">
        <f>Y77+BA77</f>
        <v>163.46250086266298</v>
      </c>
      <c r="BF77" s="5">
        <f>Y77+BB77</f>
        <v>163.33084504703746</v>
      </c>
      <c r="BG77" s="5">
        <f t="shared" si="33"/>
        <v>7.609257020637159</v>
      </c>
      <c r="BH77" s="5">
        <f t="shared" si="34"/>
        <v>6.8805997118605262</v>
      </c>
      <c r="BI77" s="5">
        <f t="shared" si="35"/>
        <v>5.9707408626629785</v>
      </c>
      <c r="BJ77" s="5">
        <f t="shared" si="36"/>
        <v>5.8390850470374573</v>
      </c>
    </row>
    <row r="78" spans="13:62" x14ac:dyDescent="0.35">
      <c r="M78" s="2">
        <v>76</v>
      </c>
      <c r="N78" s="3">
        <v>43889</v>
      </c>
      <c r="O78" s="1">
        <v>67.364127999999994</v>
      </c>
      <c r="P78" s="1">
        <v>160.077957</v>
      </c>
      <c r="R78" s="5">
        <f t="shared" si="26"/>
        <v>74.901391685592174</v>
      </c>
      <c r="S78" s="5">
        <f t="shared" si="27"/>
        <v>71.581537124149932</v>
      </c>
      <c r="T78" s="5">
        <f t="shared" si="28"/>
        <v>69.711861045603825</v>
      </c>
      <c r="U78" s="5">
        <f t="shared" si="29"/>
        <v>68.566823959814954</v>
      </c>
      <c r="V78" s="5"/>
      <c r="W78" s="5">
        <f>0.15*P77+(1-0.15)*W77</f>
        <v>170.09017109233815</v>
      </c>
      <c r="X78" s="5">
        <f>0.35*P77+(1-0.35)*X77</f>
        <v>164.93364115153241</v>
      </c>
      <c r="Y78" s="5">
        <f>0.55*P77+(1-0.55)*Y77</f>
        <v>161.47086962745635</v>
      </c>
      <c r="Z78" s="5">
        <f>0.75*P77+(1-0.75)*Z77</f>
        <v>159.32362484641513</v>
      </c>
      <c r="AB78" s="5">
        <f t="shared" si="19"/>
        <v>11.188838792052916</v>
      </c>
      <c r="AC78" s="5">
        <f t="shared" si="20"/>
        <v>6.260615626390857</v>
      </c>
      <c r="AD78" s="5">
        <f t="shared" si="21"/>
        <v>3.4851383300082679</v>
      </c>
      <c r="AE78" s="5">
        <f t="shared" si="22"/>
        <v>1.7853655877724126</v>
      </c>
      <c r="AG78" s="5">
        <f>ABS((P78-W78)/P78)*100</f>
        <v>6.2545863777722728</v>
      </c>
      <c r="AH78" s="5">
        <f>ABS((P78-X78)/P78)*100</f>
        <v>3.0333246641399949</v>
      </c>
      <c r="AI78" s="5">
        <f>ABS((P78-Y78)/P78)*100</f>
        <v>0.870146429627631</v>
      </c>
      <c r="AJ78" s="5">
        <f>ABS((P78-Z78)/P78)*100</f>
        <v>0.47122799898356343</v>
      </c>
      <c r="AL78" s="5">
        <f>0.15*(T78-T77)+(1-0.15)*AL77</f>
        <v>-1.0703406944975957</v>
      </c>
      <c r="AM78" s="5">
        <f>0.25*(T78-T77)+(1-0.25)*AM77</f>
        <v>-1.521123000980847</v>
      </c>
      <c r="AN78" s="5">
        <f>0.45*(T78-T77)+(1-0.45)*AN77</f>
        <v>-1.979409517336598</v>
      </c>
      <c r="AO78" s="5">
        <f>0.85*(T78-T77)+(1-0.85)*AO77</f>
        <v>-2.5184429078139763</v>
      </c>
      <c r="AP78" s="5">
        <f>T78+AL78</f>
        <v>68.641520351106223</v>
      </c>
      <c r="AQ78" s="5">
        <f t="shared" si="23"/>
        <v>68.190738044622975</v>
      </c>
      <c r="AR78" s="5">
        <f t="shared" si="24"/>
        <v>67.732451528267234</v>
      </c>
      <c r="AS78" s="5">
        <f t="shared" si="25"/>
        <v>67.193418137789848</v>
      </c>
      <c r="AT78" s="5">
        <f t="shared" si="30"/>
        <v>1.2773923511062293</v>
      </c>
      <c r="AU78" s="5">
        <f t="shared" si="31"/>
        <v>91.887218955377023</v>
      </c>
      <c r="AV78" s="5">
        <f t="shared" si="32"/>
        <v>67.732451528267234</v>
      </c>
      <c r="AW78" s="5">
        <f t="shared" si="32"/>
        <v>7.7079735478023252</v>
      </c>
      <c r="AY78" s="5">
        <f>0.15*(Y78-Y77)+(1-0.15)*AY77</f>
        <v>-1.7777309271318766</v>
      </c>
      <c r="AZ78" s="5">
        <f>0.25*(Y78-Y77)+(1-0.25)*AZ77</f>
        <v>-2.6872386480324351</v>
      </c>
      <c r="BA78" s="5">
        <f>0.45*(Y78-Y77)+(1-0.45)*BA77</f>
        <v>-3.7679590319719325</v>
      </c>
      <c r="BB78" s="5">
        <f>0.85*(Y78-Y77)+(1-0.85)*BB77</f>
        <v>-4.5843598983984029</v>
      </c>
      <c r="BC78" s="5">
        <f>Y78+AY78</f>
        <v>159.69313870032448</v>
      </c>
      <c r="BD78" s="5">
        <f>Y78+AZ78</f>
        <v>158.78363097942392</v>
      </c>
      <c r="BE78" s="5">
        <f>Y78+BA78</f>
        <v>157.70291059548441</v>
      </c>
      <c r="BF78" s="5">
        <f>Y78+BB78</f>
        <v>156.88650972905796</v>
      </c>
      <c r="BG78" s="5">
        <f t="shared" si="33"/>
        <v>0.38481829967551562</v>
      </c>
      <c r="BH78" s="5">
        <f t="shared" si="34"/>
        <v>1.2943260205760794</v>
      </c>
      <c r="BI78" s="5">
        <f t="shared" si="35"/>
        <v>2.3750464045155866</v>
      </c>
      <c r="BJ78" s="5">
        <f t="shared" si="36"/>
        <v>3.1914472709420352</v>
      </c>
    </row>
    <row r="79" spans="13:62" x14ac:dyDescent="0.35">
      <c r="M79" s="2">
        <v>77</v>
      </c>
      <c r="N79" s="3">
        <v>43892</v>
      </c>
      <c r="O79" s="1">
        <v>73.635773</v>
      </c>
      <c r="P79" s="1">
        <v>162.12127699999999</v>
      </c>
      <c r="R79" s="5">
        <f t="shared" si="26"/>
        <v>73.770802132753346</v>
      </c>
      <c r="S79" s="5">
        <f t="shared" si="27"/>
        <v>70.105443930697447</v>
      </c>
      <c r="T79" s="5">
        <f t="shared" si="28"/>
        <v>68.420607870521721</v>
      </c>
      <c r="U79" s="5">
        <f t="shared" si="29"/>
        <v>67.66480198995373</v>
      </c>
      <c r="V79" s="5"/>
      <c r="W79" s="5">
        <f>0.15*P78+(1-0.15)*W78</f>
        <v>168.58833897848743</v>
      </c>
      <c r="X79" s="5">
        <f>0.35*P78+(1-0.35)*X78</f>
        <v>163.23415169849608</v>
      </c>
      <c r="Y79" s="5">
        <f>0.55*P78+(1-0.55)*Y78</f>
        <v>160.70476768235534</v>
      </c>
      <c r="Z79" s="5">
        <f>0.75*P78+(1-0.75)*Z78</f>
        <v>159.88937396160378</v>
      </c>
      <c r="AB79" s="5">
        <f t="shared" si="19"/>
        <v>0.183374367175239</v>
      </c>
      <c r="AC79" s="5">
        <f t="shared" si="20"/>
        <v>4.794312499853234</v>
      </c>
      <c r="AD79" s="5">
        <f t="shared" si="21"/>
        <v>7.0823798230219976</v>
      </c>
      <c r="AE79" s="5">
        <f t="shared" si="22"/>
        <v>8.1087911035391311</v>
      </c>
      <c r="AG79" s="5">
        <f>ABS((P79-W79)/P79)*100</f>
        <v>3.9890272875703023</v>
      </c>
      <c r="AH79" s="5">
        <f>ABS((P79-X79)/P79)*100</f>
        <v>0.68644580100123787</v>
      </c>
      <c r="AI79" s="5">
        <f>ABS((P79-Y79)/P79)*100</f>
        <v>0.87373436963777018</v>
      </c>
      <c r="AJ79" s="5">
        <f>ABS((P79-Z79)/P79)*100</f>
        <v>1.3766873045270989</v>
      </c>
      <c r="AL79" s="5">
        <f>0.15*(T79-T78)+(1-0.15)*AL78</f>
        <v>-1.1034775665852721</v>
      </c>
      <c r="AM79" s="5">
        <f>0.25*(T79-T78)+(1-0.25)*AM78</f>
        <v>-1.4636555445061614</v>
      </c>
      <c r="AN79" s="5">
        <f>0.45*(T79-T78)+(1-0.45)*AN78</f>
        <v>-1.6697391633220762</v>
      </c>
      <c r="AO79" s="5">
        <f>0.85*(T79-T78)+(1-0.85)*AO78</f>
        <v>-1.4753316349918852</v>
      </c>
      <c r="AP79" s="5">
        <f>T79+AL79</f>
        <v>67.317130303936452</v>
      </c>
      <c r="AQ79" s="5">
        <f t="shared" si="23"/>
        <v>66.956952326015553</v>
      </c>
      <c r="AR79" s="5">
        <f t="shared" si="24"/>
        <v>66.750868707199643</v>
      </c>
      <c r="AS79" s="5">
        <f t="shared" si="25"/>
        <v>66.945276235529832</v>
      </c>
      <c r="AT79" s="5">
        <f t="shared" si="30"/>
        <v>6.3186426960635487</v>
      </c>
      <c r="AU79" s="5">
        <f t="shared" si="31"/>
        <v>95.164324673984439</v>
      </c>
      <c r="AV79" s="5">
        <f t="shared" si="32"/>
        <v>66.750868707199643</v>
      </c>
      <c r="AW79" s="5">
        <f t="shared" si="32"/>
        <v>6.825525897223514</v>
      </c>
      <c r="AY79" s="5">
        <f>0.15*(Y79-Y78)+(1-0.15)*AY78</f>
        <v>-1.625986579827247</v>
      </c>
      <c r="AZ79" s="5">
        <f>0.25*(Y79-Y78)+(1-0.25)*AZ78</f>
        <v>-2.2069544722995795</v>
      </c>
      <c r="BA79" s="5">
        <f>0.45*(Y79-Y78)+(1-0.45)*BA78</f>
        <v>-2.4171233428800192</v>
      </c>
      <c r="BB79" s="5">
        <f>0.85*(Y79-Y78)+(1-0.85)*BB78</f>
        <v>-1.3388406380956219</v>
      </c>
      <c r="BC79" s="5">
        <f>Y79+AY79</f>
        <v>159.0787811025281</v>
      </c>
      <c r="BD79" s="5">
        <f>Y79+AZ79</f>
        <v>158.49781321005577</v>
      </c>
      <c r="BE79" s="5">
        <f>Y79+BA79</f>
        <v>158.28764433947532</v>
      </c>
      <c r="BF79" s="5">
        <f>Y79+BB79</f>
        <v>159.36592704425971</v>
      </c>
      <c r="BG79" s="5">
        <f t="shared" si="33"/>
        <v>3.0424958974718948</v>
      </c>
      <c r="BH79" s="5">
        <f t="shared" si="34"/>
        <v>3.6234637899442248</v>
      </c>
      <c r="BI79" s="5">
        <f t="shared" si="35"/>
        <v>3.8336326605246711</v>
      </c>
      <c r="BJ79" s="5">
        <f t="shared" si="36"/>
        <v>2.7553499557402858</v>
      </c>
    </row>
    <row r="80" spans="13:62" x14ac:dyDescent="0.35">
      <c r="M80" s="2">
        <v>78</v>
      </c>
      <c r="N80" s="3">
        <v>43893</v>
      </c>
      <c r="O80" s="1">
        <v>71.297156999999999</v>
      </c>
      <c r="P80" s="1">
        <v>159.80157500000001</v>
      </c>
      <c r="R80" s="5">
        <f t="shared" si="26"/>
        <v>73.750547762840341</v>
      </c>
      <c r="S80" s="5">
        <f t="shared" si="27"/>
        <v>71.341059104953345</v>
      </c>
      <c r="T80" s="5">
        <f t="shared" si="28"/>
        <v>71.288948691734774</v>
      </c>
      <c r="U80" s="5">
        <f t="shared" si="29"/>
        <v>72.14303024748844</v>
      </c>
      <c r="V80" s="5"/>
      <c r="W80" s="5">
        <f>0.15*P79+(1-0.15)*W79</f>
        <v>167.61827968171431</v>
      </c>
      <c r="X80" s="5">
        <f>0.35*P79+(1-0.35)*X79</f>
        <v>162.84464555402243</v>
      </c>
      <c r="Y80" s="5">
        <f>0.55*P79+(1-0.55)*Y79</f>
        <v>161.4838478070599</v>
      </c>
      <c r="Z80" s="5">
        <f>0.75*P79+(1-0.75)*Z79</f>
        <v>161.56330124040096</v>
      </c>
      <c r="AB80" s="5">
        <f t="shared" si="19"/>
        <v>3.4410779701080405</v>
      </c>
      <c r="AC80" s="5">
        <f t="shared" si="20"/>
        <v>6.1576235015018285E-2</v>
      </c>
      <c r="AD80" s="5">
        <f t="shared" si="21"/>
        <v>1.1512812867453709E-2</v>
      </c>
      <c r="AE80" s="5">
        <f t="shared" si="22"/>
        <v>1.1864052973226429</v>
      </c>
      <c r="AG80" s="5">
        <f>ABS((P80-W80)/P80)*100</f>
        <v>4.8915066586260476</v>
      </c>
      <c r="AH80" s="5">
        <f>ABS((P80-X80)/P80)*100</f>
        <v>1.9042807018782015</v>
      </c>
      <c r="AI80" s="5">
        <f>ABS((P80-Y80)/P80)*100</f>
        <v>1.0527260492018857</v>
      </c>
      <c r="AJ80" s="5">
        <f>ABS((P80-Z80)/P80)*100</f>
        <v>1.1024461056788373</v>
      </c>
      <c r="AL80" s="5">
        <f>0.15*(T80-T79)+(1-0.15)*AL79</f>
        <v>-0.50770480841552335</v>
      </c>
      <c r="AM80" s="5">
        <f>0.25*(T80-T79)+(1-0.25)*AM79</f>
        <v>-0.38065645307635787</v>
      </c>
      <c r="AN80" s="5">
        <f>0.45*(T80-T79)+(1-0.45)*AN79</f>
        <v>0.372396829718732</v>
      </c>
      <c r="AO80" s="5">
        <f>0.85*(T80-T79)+(1-0.85)*AO79</f>
        <v>2.2167899527823121</v>
      </c>
      <c r="AP80" s="5">
        <f>T80+AL80</f>
        <v>70.781243883319249</v>
      </c>
      <c r="AQ80" s="5">
        <f t="shared" si="23"/>
        <v>70.908292238658419</v>
      </c>
      <c r="AR80" s="5">
        <f t="shared" si="24"/>
        <v>71.661345521453512</v>
      </c>
      <c r="AS80" s="5">
        <f t="shared" si="25"/>
        <v>73.505738644517081</v>
      </c>
      <c r="AT80" s="5">
        <f t="shared" si="30"/>
        <v>0.51591311668074979</v>
      </c>
      <c r="AU80" s="5">
        <f t="shared" si="31"/>
        <v>88.893282761341595</v>
      </c>
      <c r="AV80" s="5">
        <f t="shared" si="32"/>
        <v>71.661345521453512</v>
      </c>
      <c r="AW80" s="5">
        <f t="shared" si="32"/>
        <v>0.24480911832326058</v>
      </c>
      <c r="AY80" s="5">
        <f>0.15*(Y80-Y79)+(1-0.15)*AY79</f>
        <v>-1.2652265741474753</v>
      </c>
      <c r="AZ80" s="5">
        <f>0.25*(Y80-Y79)+(1-0.25)*AZ79</f>
        <v>-1.4604458230485438</v>
      </c>
      <c r="BA80" s="5">
        <f>0.45*(Y80-Y79)+(1-0.45)*BA79</f>
        <v>-0.97883178246695712</v>
      </c>
      <c r="BB80" s="5">
        <f>0.85*(Y80-Y79)+(1-0.85)*BB79</f>
        <v>0.46139201028453569</v>
      </c>
      <c r="BC80" s="5">
        <f>Y80+AY80</f>
        <v>160.21862123291243</v>
      </c>
      <c r="BD80" s="5">
        <f>Y80+AZ80</f>
        <v>160.02340198401137</v>
      </c>
      <c r="BE80" s="5">
        <f>Y80+BA80</f>
        <v>160.50501602459295</v>
      </c>
      <c r="BF80" s="5">
        <f>Y80+BB80</f>
        <v>161.94523981734443</v>
      </c>
      <c r="BG80" s="5">
        <f t="shared" si="33"/>
        <v>0.41704623291241205</v>
      </c>
      <c r="BH80" s="5">
        <f t="shared" si="34"/>
        <v>0.22182698401135781</v>
      </c>
      <c r="BI80" s="5">
        <f t="shared" si="35"/>
        <v>0.70344102459293367</v>
      </c>
      <c r="BJ80" s="5">
        <f t="shared" si="36"/>
        <v>2.1436648173444155</v>
      </c>
    </row>
    <row r="81" spans="13:62" x14ac:dyDescent="0.35">
      <c r="M81" s="2">
        <v>79</v>
      </c>
      <c r="N81" s="3">
        <v>43894</v>
      </c>
      <c r="O81" s="1">
        <v>74.604240000000004</v>
      </c>
      <c r="P81" s="1">
        <v>168.98161300000001</v>
      </c>
      <c r="R81" s="5">
        <f t="shared" si="26"/>
        <v>73.382539148414281</v>
      </c>
      <c r="S81" s="5">
        <f t="shared" si="27"/>
        <v>71.325693368219675</v>
      </c>
      <c r="T81" s="5">
        <f t="shared" si="28"/>
        <v>71.29346326128065</v>
      </c>
      <c r="U81" s="5">
        <f t="shared" si="29"/>
        <v>71.508625311872109</v>
      </c>
      <c r="V81" s="5"/>
      <c r="W81" s="5">
        <f>0.15*P80+(1-0.15)*W80</f>
        <v>166.44577397945716</v>
      </c>
      <c r="X81" s="5">
        <f>0.35*P80+(1-0.35)*X80</f>
        <v>161.77957086011457</v>
      </c>
      <c r="Y81" s="5">
        <f>0.55*P80+(1-0.55)*Y80</f>
        <v>160.55859776317698</v>
      </c>
      <c r="Z81" s="5">
        <f>0.75*P80+(1-0.75)*Z80</f>
        <v>160.24200656010026</v>
      </c>
      <c r="AB81" s="5">
        <f t="shared" si="19"/>
        <v>1.6375756278540241</v>
      </c>
      <c r="AC81" s="5">
        <f t="shared" si="20"/>
        <v>4.3945848544001382</v>
      </c>
      <c r="AD81" s="5">
        <f t="shared" si="21"/>
        <v>4.437786295684206</v>
      </c>
      <c r="AE81" s="5">
        <f t="shared" si="22"/>
        <v>4.1493817082352091</v>
      </c>
      <c r="AG81" s="5">
        <f>ABS((P81-W81)/P81)*100</f>
        <v>1.5006597318625736</v>
      </c>
      <c r="AH81" s="5">
        <f>ABS((P81-X81)/P81)*100</f>
        <v>4.2620270998865628</v>
      </c>
      <c r="AI81" s="5">
        <f>ABS((P81-Y81)/P81)*100</f>
        <v>4.9845750003718052</v>
      </c>
      <c r="AJ81" s="5">
        <f>ABS((P81-Z81)/P81)*100</f>
        <v>5.1719274569238163</v>
      </c>
      <c r="AL81" s="5">
        <f>0.15*(T81-T80)+(1-0.15)*AL80</f>
        <v>-0.43087190172131351</v>
      </c>
      <c r="AM81" s="5">
        <f>0.25*(T81-T80)+(1-0.25)*AM80</f>
        <v>-0.28436369742079948</v>
      </c>
      <c r="AN81" s="5">
        <f>0.45*(T81-T80)+(1-0.45)*AN80</f>
        <v>0.20684981264094668</v>
      </c>
      <c r="AO81" s="5">
        <f>0.85*(T81-T80)+(1-0.85)*AO80</f>
        <v>0.33635587703134123</v>
      </c>
      <c r="AP81" s="5">
        <f>T81+AL81</f>
        <v>70.862591359559332</v>
      </c>
      <c r="AQ81" s="5">
        <f t="shared" si="23"/>
        <v>71.009099563859849</v>
      </c>
      <c r="AR81" s="5">
        <f t="shared" si="24"/>
        <v>71.500313073921603</v>
      </c>
      <c r="AS81" s="5">
        <f t="shared" si="25"/>
        <v>71.629819138311987</v>
      </c>
      <c r="AT81" s="5">
        <f t="shared" si="30"/>
        <v>3.7416486404406726</v>
      </c>
      <c r="AU81" s="5">
        <f t="shared" si="31"/>
        <v>97.972513436140162</v>
      </c>
      <c r="AV81" s="5">
        <f t="shared" si="32"/>
        <v>71.500313073921603</v>
      </c>
      <c r="AW81" s="5">
        <f t="shared" si="32"/>
        <v>1.7527200101022942</v>
      </c>
      <c r="AY81" s="5">
        <f>0.15*(Y81-Y80)+(1-0.15)*AY80</f>
        <v>-1.2142300946077929</v>
      </c>
      <c r="AZ81" s="5">
        <f>0.25*(Y81-Y80)+(1-0.25)*AZ80</f>
        <v>-1.3266468782571392</v>
      </c>
      <c r="BA81" s="5">
        <f>0.45*(Y81-Y80)+(1-0.45)*BA80</f>
        <v>-0.95472000010414315</v>
      </c>
      <c r="BB81" s="5">
        <f>0.85*(Y81-Y80)+(1-0.85)*BB80</f>
        <v>-0.7172537357578066</v>
      </c>
      <c r="BC81" s="5">
        <f>Y81+AY81</f>
        <v>159.34436766856919</v>
      </c>
      <c r="BD81" s="5">
        <f>Y81+AZ81</f>
        <v>159.23195088491983</v>
      </c>
      <c r="BE81" s="5">
        <f>Y81+BA81</f>
        <v>159.60387776307283</v>
      </c>
      <c r="BF81" s="5">
        <f>Y81+BB81</f>
        <v>159.84134402741918</v>
      </c>
      <c r="BG81" s="5">
        <f t="shared" si="33"/>
        <v>9.6372453314308189</v>
      </c>
      <c r="BH81" s="5">
        <f t="shared" si="34"/>
        <v>9.7496621150801843</v>
      </c>
      <c r="BI81" s="5">
        <f t="shared" si="35"/>
        <v>9.3777352369271796</v>
      </c>
      <c r="BJ81" s="5">
        <f t="shared" si="36"/>
        <v>9.1402689725808273</v>
      </c>
    </row>
    <row r="82" spans="13:62" x14ac:dyDescent="0.35">
      <c r="M82" s="2">
        <v>80</v>
      </c>
      <c r="N82" s="3">
        <v>43895</v>
      </c>
      <c r="O82" s="1">
        <v>72.184303</v>
      </c>
      <c r="P82" s="1">
        <v>162.79248000000001</v>
      </c>
      <c r="R82" s="5">
        <f t="shared" si="26"/>
        <v>73.565794276152133</v>
      </c>
      <c r="S82" s="5">
        <f t="shared" si="27"/>
        <v>72.473184689342787</v>
      </c>
      <c r="T82" s="5">
        <f t="shared" si="28"/>
        <v>73.1143904675763</v>
      </c>
      <c r="U82" s="5">
        <f t="shared" si="29"/>
        <v>73.830336327968027</v>
      </c>
      <c r="V82" s="5"/>
      <c r="W82" s="5">
        <f>0.15*P81+(1-0.15)*W81</f>
        <v>166.82614983253859</v>
      </c>
      <c r="X82" s="5">
        <f>0.35*P81+(1-0.35)*X81</f>
        <v>164.30028560907448</v>
      </c>
      <c r="Y82" s="5">
        <f>0.55*P81+(1-0.55)*Y81</f>
        <v>165.19125614342965</v>
      </c>
      <c r="Z82" s="5">
        <f>0.75*P81+(1-0.75)*Z81</f>
        <v>166.79671139002505</v>
      </c>
      <c r="AB82" s="5">
        <f t="shared" si="19"/>
        <v>1.9138389078192426</v>
      </c>
      <c r="AC82" s="5">
        <f t="shared" si="20"/>
        <v>0.40020015063771863</v>
      </c>
      <c r="AD82" s="5">
        <f t="shared" si="21"/>
        <v>1.2884899194445361</v>
      </c>
      <c r="AE82" s="5">
        <f t="shared" si="22"/>
        <v>2.2803203183495824</v>
      </c>
      <c r="AG82" s="5">
        <f>ABS((P82-W82)/P82)*100</f>
        <v>2.4777986259184566</v>
      </c>
      <c r="AH82" s="5">
        <f>ABS((P82-X82)/P82)*100</f>
        <v>0.92621330486178877</v>
      </c>
      <c r="AI82" s="5">
        <f>ABS((P82-Y82)/P82)*100</f>
        <v>1.4735177837635025</v>
      </c>
      <c r="AJ82" s="5">
        <f>ABS((P82-Z82)/P82)*100</f>
        <v>2.4597152092191483</v>
      </c>
      <c r="AL82" s="5">
        <f>0.15*(T82-T81)+(1-0.15)*AL81</f>
        <v>-9.3102035518768944E-2</v>
      </c>
      <c r="AM82" s="5">
        <f>0.25*(T82-T81)+(1-0.25)*AM81</f>
        <v>0.24195902850831291</v>
      </c>
      <c r="AN82" s="5">
        <f>0.45*(T82-T81)+(1-0.45)*AN81</f>
        <v>0.93318463978556321</v>
      </c>
      <c r="AO82" s="5">
        <f>0.85*(T82-T81)+(1-0.85)*AO81</f>
        <v>1.5982415069060039</v>
      </c>
      <c r="AP82" s="5">
        <f>T82+AL82</f>
        <v>73.021288432057531</v>
      </c>
      <c r="AQ82" s="5">
        <f t="shared" si="23"/>
        <v>73.356349496084619</v>
      </c>
      <c r="AR82" s="5">
        <f t="shared" si="24"/>
        <v>74.047575107361865</v>
      </c>
      <c r="AS82" s="5">
        <f t="shared" si="25"/>
        <v>74.712631974482306</v>
      </c>
      <c r="AT82" s="5">
        <f t="shared" si="30"/>
        <v>0.8369854320575314</v>
      </c>
      <c r="AU82" s="5">
        <f t="shared" si="31"/>
        <v>89.436130503915393</v>
      </c>
      <c r="AV82" s="5">
        <f t="shared" si="32"/>
        <v>74.047575107361865</v>
      </c>
      <c r="AW82" s="5">
        <f t="shared" si="32"/>
        <v>1.1468376983301738</v>
      </c>
      <c r="AY82" s="5">
        <f>0.15*(Y82-Y81)+(1-0.15)*AY81</f>
        <v>-0.33719682337872214</v>
      </c>
      <c r="AZ82" s="5">
        <f>0.25*(Y82-Y81)+(1-0.25)*AZ81</f>
        <v>0.16317943637031518</v>
      </c>
      <c r="BA82" s="5">
        <f>0.45*(Y82-Y81)+(1-0.45)*BA81</f>
        <v>1.5596002710564267</v>
      </c>
      <c r="BB82" s="5">
        <f>0.85*(Y82-Y81)+(1-0.85)*BB81</f>
        <v>3.8301715628511053</v>
      </c>
      <c r="BC82" s="5">
        <f>Y82+AY82</f>
        <v>164.85405932005094</v>
      </c>
      <c r="BD82" s="5">
        <f>Y82+AZ82</f>
        <v>165.35443557979997</v>
      </c>
      <c r="BE82" s="5">
        <f>Y82+BA82</f>
        <v>166.75085641448609</v>
      </c>
      <c r="BF82" s="5">
        <f>Y82+BB82</f>
        <v>169.02142770628075</v>
      </c>
      <c r="BG82" s="5">
        <f t="shared" si="33"/>
        <v>2.0615793200509245</v>
      </c>
      <c r="BH82" s="5">
        <f t="shared" si="34"/>
        <v>2.5619555797999567</v>
      </c>
      <c r="BI82" s="5">
        <f t="shared" si="35"/>
        <v>3.9583764144860822</v>
      </c>
      <c r="BJ82" s="5">
        <f t="shared" si="36"/>
        <v>6.228947706280735</v>
      </c>
    </row>
    <row r="83" spans="13:62" x14ac:dyDescent="0.35">
      <c r="M83" s="2">
        <v>81</v>
      </c>
      <c r="N83" s="3">
        <v>43896</v>
      </c>
      <c r="O83" s="1">
        <v>71.225684999999999</v>
      </c>
      <c r="P83" s="1">
        <v>161.913971</v>
      </c>
      <c r="R83" s="5">
        <f t="shared" si="26"/>
        <v>73.358570584729307</v>
      </c>
      <c r="S83" s="5">
        <f t="shared" si="27"/>
        <v>72.37207609807281</v>
      </c>
      <c r="T83" s="5">
        <f t="shared" si="28"/>
        <v>72.60284236040934</v>
      </c>
      <c r="U83" s="5">
        <f t="shared" si="29"/>
        <v>72.59581133199201</v>
      </c>
      <c r="V83" s="5"/>
      <c r="W83" s="5">
        <f>0.15*P82+(1-0.15)*W82</f>
        <v>166.22109935765778</v>
      </c>
      <c r="X83" s="5">
        <f>0.35*P82+(1-0.35)*X82</f>
        <v>163.77255364589843</v>
      </c>
      <c r="Y83" s="5">
        <f>0.55*P82+(1-0.55)*Y82</f>
        <v>163.87192926454335</v>
      </c>
      <c r="Z83" s="5">
        <f>0.75*P82+(1-0.75)*Z82</f>
        <v>163.79353784750629</v>
      </c>
      <c r="AB83" s="5">
        <f t="shared" si="19"/>
        <v>2.9945455557630769</v>
      </c>
      <c r="AC83" s="5">
        <f t="shared" si="20"/>
        <v>1.609519231823199</v>
      </c>
      <c r="AD83" s="5">
        <f t="shared" si="21"/>
        <v>1.933512272166062</v>
      </c>
      <c r="AE83" s="5">
        <f t="shared" si="22"/>
        <v>1.923640793334612</v>
      </c>
      <c r="AG83" s="5">
        <f>ABS((P83-W83)/P83)*100</f>
        <v>2.6601338544514941</v>
      </c>
      <c r="AH83" s="5">
        <f>ABS((P83-X83)/P83)*100</f>
        <v>1.1478828135827901</v>
      </c>
      <c r="AI83" s="5">
        <f>ABS((P83-Y83)/P83)*100</f>
        <v>1.2092583811333677</v>
      </c>
      <c r="AJ83" s="5">
        <f>ABS((P83-Z83)/P83)*100</f>
        <v>1.160842906821353</v>
      </c>
      <c r="AL83" s="5">
        <f>0.15*(T83-T82)+(1-0.15)*AL82</f>
        <v>-0.15586894626599748</v>
      </c>
      <c r="AM83" s="5">
        <f>0.25*(T83-T82)+(1-0.25)*AM82</f>
        <v>5.3582244589494898E-2</v>
      </c>
      <c r="AN83" s="5">
        <f>0.45*(T83-T82)+(1-0.45)*AN82</f>
        <v>0.2830549036569282</v>
      </c>
      <c r="AO83" s="5">
        <f>0.85*(T83-T82)+(1-0.85)*AO82</f>
        <v>-0.19507966505601471</v>
      </c>
      <c r="AP83" s="5">
        <f>T83+AL83</f>
        <v>72.446973414143343</v>
      </c>
      <c r="AQ83" s="5">
        <f t="shared" si="23"/>
        <v>72.656424604998833</v>
      </c>
      <c r="AR83" s="5">
        <f t="shared" si="24"/>
        <v>72.885897264066273</v>
      </c>
      <c r="AS83" s="5">
        <f t="shared" si="25"/>
        <v>72.407762695353327</v>
      </c>
      <c r="AT83" s="5">
        <f t="shared" si="30"/>
        <v>1.2212884141433449</v>
      </c>
      <c r="AU83" s="5">
        <f t="shared" si="31"/>
        <v>89.257546395001171</v>
      </c>
      <c r="AV83" s="5">
        <f t="shared" si="32"/>
        <v>72.885897264066273</v>
      </c>
      <c r="AW83" s="5">
        <f t="shared" si="32"/>
        <v>0.95080788937598015</v>
      </c>
      <c r="AY83" s="5">
        <f>0.15*(Y83-Y82)+(1-0.15)*AY82</f>
        <v>-0.48451633170485897</v>
      </c>
      <c r="AZ83" s="5">
        <f>0.25*(Y83-Y82)+(1-0.25)*AZ82</f>
        <v>-0.20744714244383883</v>
      </c>
      <c r="BA83" s="5">
        <f>0.45*(Y83-Y82)+(1-0.45)*BA82</f>
        <v>0.2640830535821993</v>
      </c>
      <c r="BB83" s="5">
        <f>0.85*(Y83-Y82)+(1-0.85)*BB82</f>
        <v>-0.54690211262568977</v>
      </c>
      <c r="BC83" s="5">
        <f>Y83+AY83</f>
        <v>163.38741293283849</v>
      </c>
      <c r="BD83" s="5">
        <f>Y83+AZ83</f>
        <v>163.66448212209951</v>
      </c>
      <c r="BE83" s="5">
        <f>Y83+BA83</f>
        <v>164.13601231812555</v>
      </c>
      <c r="BF83" s="5">
        <f>Y83+BB83</f>
        <v>163.32502715191765</v>
      </c>
      <c r="BG83" s="5">
        <f t="shared" si="33"/>
        <v>1.4734419328384831</v>
      </c>
      <c r="BH83" s="5">
        <f t="shared" si="34"/>
        <v>1.7505111220995104</v>
      </c>
      <c r="BI83" s="5">
        <f t="shared" si="35"/>
        <v>2.2220413181255481</v>
      </c>
      <c r="BJ83" s="5">
        <f t="shared" si="36"/>
        <v>1.4110561519176485</v>
      </c>
    </row>
    <row r="84" spans="13:62" x14ac:dyDescent="0.35">
      <c r="M84" s="2">
        <v>82</v>
      </c>
      <c r="N84" s="3">
        <v>43899</v>
      </c>
      <c r="O84" s="1">
        <v>65.592308000000003</v>
      </c>
      <c r="P84" s="1">
        <v>150.88806199999999</v>
      </c>
      <c r="R84" s="5">
        <f t="shared" si="26"/>
        <v>73.038637747019919</v>
      </c>
      <c r="S84" s="5">
        <f t="shared" si="27"/>
        <v>71.970839213747325</v>
      </c>
      <c r="T84" s="5">
        <f t="shared" si="28"/>
        <v>71.845405812184197</v>
      </c>
      <c r="U84" s="5">
        <f t="shared" si="29"/>
        <v>71.568216582998005</v>
      </c>
      <c r="V84" s="5"/>
      <c r="W84" s="5">
        <f>0.15*P83+(1-0.15)*W83</f>
        <v>165.5750301040091</v>
      </c>
      <c r="X84" s="5">
        <f>0.35*P83+(1-0.35)*X83</f>
        <v>163.12204971983397</v>
      </c>
      <c r="Y84" s="5">
        <f>0.55*P83+(1-0.55)*Y83</f>
        <v>162.79505221904452</v>
      </c>
      <c r="Z84" s="5">
        <f>0.75*P83+(1-0.75)*Z83</f>
        <v>162.38386271187659</v>
      </c>
      <c r="AB84" s="5">
        <f t="shared" si="19"/>
        <v>11.352443562467593</v>
      </c>
      <c r="AC84" s="5">
        <f t="shared" si="20"/>
        <v>9.7245110108754247</v>
      </c>
      <c r="AD84" s="5">
        <f t="shared" si="21"/>
        <v>9.5332791341695042</v>
      </c>
      <c r="AE84" s="5">
        <f t="shared" si="22"/>
        <v>9.1106850257472303</v>
      </c>
      <c r="AG84" s="5">
        <f>ABS((P84-W84)/P84)*100</f>
        <v>9.7336846330554039</v>
      </c>
      <c r="AH84" s="5">
        <f>ABS((P84-X84)/P84)*100</f>
        <v>8.1079891660574024</v>
      </c>
      <c r="AI84" s="5">
        <f>ABS((P84-Y84)/P84)*100</f>
        <v>7.8912738762888557</v>
      </c>
      <c r="AJ84" s="5">
        <f>ABS((P84-Z84)/P84)*100</f>
        <v>7.6187609274725769</v>
      </c>
      <c r="AL84" s="5">
        <f>0.15*(T84-T83)+(1-0.15)*AL83</f>
        <v>-0.2461040865598694</v>
      </c>
      <c r="AM84" s="5">
        <f>0.25*(T84-T83)+(1-0.25)*AM83</f>
        <v>-0.14917245361416476</v>
      </c>
      <c r="AN84" s="5">
        <f>0.45*(T84-T83)+(1-0.45)*AN83</f>
        <v>-0.18516624969000417</v>
      </c>
      <c r="AO84" s="5">
        <f>0.85*(T84-T83)+(1-0.85)*AO83</f>
        <v>-0.67308301574977436</v>
      </c>
      <c r="AP84" s="5">
        <f>T84+AL84</f>
        <v>71.599301725624329</v>
      </c>
      <c r="AQ84" s="5">
        <f t="shared" si="23"/>
        <v>71.696233358570026</v>
      </c>
      <c r="AR84" s="5">
        <f t="shared" si="24"/>
        <v>71.660239562494198</v>
      </c>
      <c r="AS84" s="5">
        <f t="shared" si="25"/>
        <v>71.172322796434429</v>
      </c>
      <c r="AT84" s="5">
        <f t="shared" si="30"/>
        <v>6.0069937256243264</v>
      </c>
      <c r="AU84" s="5">
        <f t="shared" si="31"/>
        <v>79.191828641429964</v>
      </c>
      <c r="AV84" s="5">
        <f t="shared" si="32"/>
        <v>71.660239562494198</v>
      </c>
      <c r="AW84" s="5">
        <f t="shared" si="32"/>
        <v>1.8663149505854904</v>
      </c>
      <c r="AY84" s="5">
        <f>0.15*(Y84-Y83)+(1-0.15)*AY83</f>
        <v>-0.57337043877395499</v>
      </c>
      <c r="AZ84" s="5">
        <f>0.25*(Y84-Y83)+(1-0.25)*AZ83</f>
        <v>-0.4248046182075873</v>
      </c>
      <c r="BA84" s="5">
        <f>0.45*(Y84-Y83)+(1-0.45)*BA83</f>
        <v>-0.33934899100426508</v>
      </c>
      <c r="BB84" s="5">
        <f>0.85*(Y84-Y83)+(1-0.85)*BB83</f>
        <v>-0.99738080556786135</v>
      </c>
      <c r="BC84" s="5">
        <f>Y84+AY84</f>
        <v>162.22168178027056</v>
      </c>
      <c r="BD84" s="5">
        <f>Y84+AZ84</f>
        <v>162.37024760083693</v>
      </c>
      <c r="BE84" s="5">
        <f>Y84+BA84</f>
        <v>162.45570322804025</v>
      </c>
      <c r="BF84" s="5">
        <f>Y84+BB84</f>
        <v>161.79767141347665</v>
      </c>
      <c r="BG84" s="5">
        <f t="shared" si="33"/>
        <v>11.333619780270567</v>
      </c>
      <c r="BH84" s="5">
        <f t="shared" si="34"/>
        <v>11.482185600836942</v>
      </c>
      <c r="BI84" s="5">
        <f t="shared" si="35"/>
        <v>11.567641228040259</v>
      </c>
      <c r="BJ84" s="5">
        <f t="shared" si="36"/>
        <v>10.909609413476659</v>
      </c>
    </row>
    <row r="85" spans="13:62" x14ac:dyDescent="0.35">
      <c r="M85" s="2">
        <v>83</v>
      </c>
      <c r="N85" s="3">
        <v>43900</v>
      </c>
      <c r="O85" s="1">
        <v>70.316367999999997</v>
      </c>
      <c r="P85" s="1">
        <v>159.60415599999999</v>
      </c>
      <c r="R85" s="5">
        <f t="shared" si="26"/>
        <v>71.921688284966933</v>
      </c>
      <c r="S85" s="5">
        <f t="shared" si="27"/>
        <v>69.738353288935755</v>
      </c>
      <c r="T85" s="5">
        <f t="shared" si="28"/>
        <v>68.40620201548289</v>
      </c>
      <c r="U85" s="5">
        <f t="shared" si="29"/>
        <v>67.0862851457495</v>
      </c>
      <c r="V85" s="5"/>
      <c r="W85" s="5">
        <f>0.15*P84+(1-0.15)*W84</f>
        <v>163.37198488840772</v>
      </c>
      <c r="X85" s="5">
        <f>0.35*P84+(1-0.35)*X84</f>
        <v>158.84015401789208</v>
      </c>
      <c r="Y85" s="5">
        <f>0.55*P84+(1-0.55)*Y84</f>
        <v>156.24620759857004</v>
      </c>
      <c r="Z85" s="5">
        <f>0.75*P84+(1-0.75)*Z84</f>
        <v>153.76201217796915</v>
      </c>
      <c r="AB85" s="5">
        <f t="shared" si="19"/>
        <v>2.2829965918702402</v>
      </c>
      <c r="AC85" s="5">
        <f t="shared" si="20"/>
        <v>0.82202014623997899</v>
      </c>
      <c r="AD85" s="5">
        <f t="shared" si="21"/>
        <v>2.7165310707133039</v>
      </c>
      <c r="AE85" s="5">
        <f t="shared" si="22"/>
        <v>4.5936429114918127</v>
      </c>
      <c r="AG85" s="5">
        <f>ABS((P85-W85)/P85)*100</f>
        <v>2.3607335691231843</v>
      </c>
      <c r="AH85" s="5">
        <f>ABS((P85-X85)/P85)*100</f>
        <v>0.47868551875799131</v>
      </c>
      <c r="AI85" s="5">
        <f>ABS((P85-Y85)/P85)*100</f>
        <v>2.1039229087680846</v>
      </c>
      <c r="AJ85" s="5">
        <f>ABS((P85-Z85)/P85)*100</f>
        <v>3.6603957994870977</v>
      </c>
      <c r="AL85" s="5">
        <f>0.15*(T85-T84)+(1-0.15)*AL84</f>
        <v>-0.725069043081085</v>
      </c>
      <c r="AM85" s="5">
        <f>0.25*(T85-T84)+(1-0.25)*AM84</f>
        <v>-0.97168028938595019</v>
      </c>
      <c r="AN85" s="5">
        <f>0.45*(T85-T84)+(1-0.45)*AN84</f>
        <v>-1.6494831458450903</v>
      </c>
      <c r="AO85" s="5">
        <f>0.85*(T85-T84)+(1-0.85)*AO84</f>
        <v>-3.0242856795585769</v>
      </c>
      <c r="AP85" s="5">
        <f>T85+AL85</f>
        <v>67.681132972401798</v>
      </c>
      <c r="AQ85" s="5">
        <f t="shared" si="23"/>
        <v>67.434521726096946</v>
      </c>
      <c r="AR85" s="5">
        <f t="shared" si="24"/>
        <v>66.756718869637794</v>
      </c>
      <c r="AS85" s="5">
        <f t="shared" si="25"/>
        <v>65.381916335924316</v>
      </c>
      <c r="AT85" s="5">
        <f t="shared" si="30"/>
        <v>2.6352350275981991</v>
      </c>
      <c r="AU85" s="5">
        <f t="shared" si="31"/>
        <v>92.169634273903043</v>
      </c>
      <c r="AV85" s="5">
        <f t="shared" si="32"/>
        <v>66.756718869637794</v>
      </c>
      <c r="AW85" s="5">
        <f t="shared" si="32"/>
        <v>6.5397719490426169</v>
      </c>
      <c r="AY85" s="5">
        <f>0.15*(Y85-Y84)+(1-0.15)*AY84</f>
        <v>-1.4696915660290342</v>
      </c>
      <c r="AZ85" s="5">
        <f>0.25*(Y85-Y84)+(1-0.25)*AZ84</f>
        <v>-1.9558146187743113</v>
      </c>
      <c r="BA85" s="5">
        <f>0.45*(Y85-Y84)+(1-0.45)*BA84</f>
        <v>-3.1336220242658634</v>
      </c>
      <c r="BB85" s="5">
        <f>0.85*(Y85-Y84)+(1-0.85)*BB84</f>
        <v>-5.7161250482384895</v>
      </c>
      <c r="BC85" s="5">
        <f>Y85+AY85</f>
        <v>154.776516032541</v>
      </c>
      <c r="BD85" s="5">
        <f>Y85+AZ85</f>
        <v>154.29039297979574</v>
      </c>
      <c r="BE85" s="5">
        <f>Y85+BA85</f>
        <v>153.11258557430418</v>
      </c>
      <c r="BF85" s="5">
        <f>Y85+BB85</f>
        <v>150.53008255033154</v>
      </c>
      <c r="BG85" s="5">
        <f t="shared" si="33"/>
        <v>4.8276399674589925</v>
      </c>
      <c r="BH85" s="5">
        <f t="shared" si="34"/>
        <v>5.3137630202042487</v>
      </c>
      <c r="BI85" s="5">
        <f t="shared" si="35"/>
        <v>6.4915704256958122</v>
      </c>
      <c r="BJ85" s="5">
        <f t="shared" si="36"/>
        <v>9.0740734496684468</v>
      </c>
    </row>
    <row r="86" spans="13:62" x14ac:dyDescent="0.35">
      <c r="M86" s="2">
        <v>84</v>
      </c>
      <c r="N86" s="3">
        <v>43901</v>
      </c>
      <c r="O86" s="1">
        <v>67.874245000000002</v>
      </c>
      <c r="P86" s="1">
        <v>151.411224</v>
      </c>
      <c r="R86" s="5">
        <f t="shared" si="26"/>
        <v>71.680890242221892</v>
      </c>
      <c r="S86" s="5">
        <f t="shared" si="27"/>
        <v>69.940658437808239</v>
      </c>
      <c r="T86" s="5">
        <f t="shared" si="28"/>
        <v>69.456793306967299</v>
      </c>
      <c r="U86" s="5">
        <f t="shared" si="29"/>
        <v>69.508847286437373</v>
      </c>
      <c r="V86" s="5"/>
      <c r="W86" s="5">
        <f>0.15*P85+(1-0.15)*W85</f>
        <v>162.80681055514654</v>
      </c>
      <c r="X86" s="5">
        <f>0.35*P85+(1-0.35)*X85</f>
        <v>159.10755471162986</v>
      </c>
      <c r="Y86" s="5">
        <f>0.55*P85+(1-0.55)*Y85</f>
        <v>158.09307921935653</v>
      </c>
      <c r="Z86" s="5">
        <f>0.75*P85+(1-0.75)*Z85</f>
        <v>158.14362004449228</v>
      </c>
      <c r="AB86" s="5">
        <f t="shared" si="19"/>
        <v>5.608379499796853</v>
      </c>
      <c r="AC86" s="5">
        <f t="shared" si="20"/>
        <v>3.0444735522409663</v>
      </c>
      <c r="AD86" s="5">
        <f t="shared" si="21"/>
        <v>2.331588818361511</v>
      </c>
      <c r="AE86" s="5">
        <f t="shared" si="22"/>
        <v>2.4082806172464544</v>
      </c>
      <c r="AG86" s="5">
        <f>ABS((P86-W86)/P86)*100</f>
        <v>7.5262495435256076</v>
      </c>
      <c r="AH86" s="5">
        <f>ABS((P86-X86)/P86)*100</f>
        <v>5.0830648536530258</v>
      </c>
      <c r="AI86" s="5">
        <f>ABS((P86-Y86)/P86)*100</f>
        <v>4.4130514520882027</v>
      </c>
      <c r="AJ86" s="5">
        <f>ABS((P86-Z86)/P86)*100</f>
        <v>4.4464312926314333</v>
      </c>
      <c r="AL86" s="5">
        <f>0.15*(T86-T85)+(1-0.15)*AL85</f>
        <v>-0.45871999289626092</v>
      </c>
      <c r="AM86" s="5">
        <f>0.25*(T86-T85)+(1-0.25)*AM85</f>
        <v>-0.46611239416836048</v>
      </c>
      <c r="AN86" s="5">
        <f>0.45*(T86-T85)+(1-0.45)*AN85</f>
        <v>-0.43444964904681571</v>
      </c>
      <c r="AO86" s="5">
        <f>0.85*(T86-T85)+(1-0.85)*AO85</f>
        <v>0.43935974582796089</v>
      </c>
      <c r="AP86" s="5">
        <f>T86+AL86</f>
        <v>68.998073314071036</v>
      </c>
      <c r="AQ86" s="5">
        <f t="shared" si="23"/>
        <v>68.990680912798936</v>
      </c>
      <c r="AR86" s="5">
        <f t="shared" si="24"/>
        <v>69.022343657920487</v>
      </c>
      <c r="AS86" s="5">
        <f t="shared" si="25"/>
        <v>69.896153052795256</v>
      </c>
      <c r="AT86" s="5">
        <f t="shared" si="30"/>
        <v>1.1238283140710337</v>
      </c>
      <c r="AU86" s="5">
        <f t="shared" si="31"/>
        <v>82.420543087201068</v>
      </c>
      <c r="AV86" s="5">
        <f t="shared" si="32"/>
        <v>69.022343657920487</v>
      </c>
      <c r="AW86" s="5">
        <f t="shared" si="32"/>
        <v>1.784737189426636</v>
      </c>
      <c r="AY86" s="5">
        <f>0.15*(Y86-Y85)+(1-0.15)*AY85</f>
        <v>-0.97220708800670597</v>
      </c>
      <c r="AZ86" s="5">
        <f>0.25*(Y86-Y85)+(1-0.25)*AZ85</f>
        <v>-1.0051430588841117</v>
      </c>
      <c r="BA86" s="5">
        <f>0.45*(Y86-Y85)+(1-0.45)*BA85</f>
        <v>-0.89239988399230585</v>
      </c>
      <c r="BB86" s="5">
        <f>0.85*(Y86-Y85)+(1-0.85)*BB85</f>
        <v>0.71242212043274067</v>
      </c>
      <c r="BC86" s="5">
        <f>Y86+AY86</f>
        <v>157.12087213134981</v>
      </c>
      <c r="BD86" s="5">
        <f>Y86+AZ86</f>
        <v>157.08793616047242</v>
      </c>
      <c r="BE86" s="5">
        <f>Y86+BA86</f>
        <v>157.20067933536421</v>
      </c>
      <c r="BF86" s="5">
        <f>Y86+BB86</f>
        <v>158.80550133978926</v>
      </c>
      <c r="BG86" s="5">
        <f t="shared" si="33"/>
        <v>5.7096481313498089</v>
      </c>
      <c r="BH86" s="5">
        <f t="shared" si="34"/>
        <v>5.6767121604724196</v>
      </c>
      <c r="BI86" s="5">
        <f t="shared" si="35"/>
        <v>5.7894553353642095</v>
      </c>
      <c r="BJ86" s="5">
        <f t="shared" si="36"/>
        <v>7.3942773397892552</v>
      </c>
    </row>
    <row r="87" spans="13:62" x14ac:dyDescent="0.35">
      <c r="M87" s="2">
        <v>85</v>
      </c>
      <c r="N87" s="3">
        <v>43902</v>
      </c>
      <c r="O87" s="1">
        <v>61.171340999999998</v>
      </c>
      <c r="P87" s="1">
        <v>133.11039700000001</v>
      </c>
      <c r="R87" s="5">
        <f t="shared" si="26"/>
        <v>71.10989345588861</v>
      </c>
      <c r="S87" s="5">
        <f t="shared" si="27"/>
        <v>69.217413734575359</v>
      </c>
      <c r="T87" s="5">
        <f t="shared" si="28"/>
        <v>68.586391738135291</v>
      </c>
      <c r="U87" s="5">
        <f t="shared" si="29"/>
        <v>68.282895571609345</v>
      </c>
      <c r="V87" s="5"/>
      <c r="W87" s="5">
        <f>0.15*P86+(1-0.15)*W86</f>
        <v>161.09747257187456</v>
      </c>
      <c r="X87" s="5">
        <f>0.35*P86+(1-0.35)*X86</f>
        <v>156.4138389625594</v>
      </c>
      <c r="Y87" s="5">
        <f>0.55*P86+(1-0.55)*Y86</f>
        <v>154.41805884871042</v>
      </c>
      <c r="Z87" s="5">
        <f>0.75*P86+(1-0.75)*Z86</f>
        <v>153.09432301112307</v>
      </c>
      <c r="AB87" s="5">
        <f t="shared" si="19"/>
        <v>16.247073046655316</v>
      </c>
      <c r="AC87" s="5">
        <f t="shared" si="20"/>
        <v>13.153337172345726</v>
      </c>
      <c r="AD87" s="5">
        <f t="shared" si="21"/>
        <v>12.12177241322091</v>
      </c>
      <c r="AE87" s="5">
        <f t="shared" si="22"/>
        <v>11.6256313092913</v>
      </c>
      <c r="AG87" s="5">
        <f>ABS((P87-W87)/P87)*100</f>
        <v>21.025461723981302</v>
      </c>
      <c r="AH87" s="5">
        <f>ABS((P87-X87)/P87)*100</f>
        <v>17.506853324582444</v>
      </c>
      <c r="AI87" s="5">
        <f>ABS((P87-Y87)/P87)*100</f>
        <v>16.007511305604783</v>
      </c>
      <c r="AJ87" s="5">
        <f>ABS((P87-Z87)/P87)*100</f>
        <v>15.01304666015162</v>
      </c>
      <c r="AL87" s="5">
        <f>0.15*(T87-T86)+(1-0.15)*AL86</f>
        <v>-0.52047222928662296</v>
      </c>
      <c r="AM87" s="5">
        <f>0.25*(T87-T86)+(1-0.25)*AM86</f>
        <v>-0.56718468783427245</v>
      </c>
      <c r="AN87" s="5">
        <f>0.45*(T87-T86)+(1-0.45)*AN86</f>
        <v>-0.63062801295015247</v>
      </c>
      <c r="AO87" s="5">
        <f>0.85*(T87-T86)+(1-0.85)*AO86</f>
        <v>-0.67393737163301293</v>
      </c>
      <c r="AP87" s="5">
        <f>T87+AL87</f>
        <v>68.065919508848665</v>
      </c>
      <c r="AQ87" s="5">
        <f t="shared" si="23"/>
        <v>68.01920705030102</v>
      </c>
      <c r="AR87" s="5">
        <f t="shared" si="24"/>
        <v>67.955763725185136</v>
      </c>
      <c r="AS87" s="5">
        <f t="shared" si="25"/>
        <v>67.912454366502274</v>
      </c>
      <c r="AT87" s="5">
        <f t="shared" si="30"/>
        <v>6.8945785088486673</v>
      </c>
      <c r="AU87" s="5">
        <f t="shared" si="31"/>
        <v>65.091189949698986</v>
      </c>
      <c r="AV87" s="5">
        <f t="shared" si="32"/>
        <v>67.955763725185136</v>
      </c>
      <c r="AW87" s="5">
        <f t="shared" si="32"/>
        <v>3.1974390893863358</v>
      </c>
      <c r="AY87" s="5">
        <f>0.15*(Y87-Y86)+(1-0.15)*AY86</f>
        <v>-1.3776290804026163</v>
      </c>
      <c r="AZ87" s="5">
        <f>0.25*(Y87-Y86)+(1-0.25)*AZ86</f>
        <v>-1.672612386824611</v>
      </c>
      <c r="BA87" s="5">
        <f>0.45*(Y87-Y86)+(1-0.45)*BA86</f>
        <v>-2.1445791029865173</v>
      </c>
      <c r="BB87" s="5">
        <f>0.85*(Y87-Y86)+(1-0.85)*BB86</f>
        <v>-3.0169039969842819</v>
      </c>
      <c r="BC87" s="5">
        <f>Y87+AY87</f>
        <v>153.0404297683078</v>
      </c>
      <c r="BD87" s="5">
        <f>Y87+AZ87</f>
        <v>152.74544646188579</v>
      </c>
      <c r="BE87" s="5">
        <f>Y87+BA87</f>
        <v>152.2734797457239</v>
      </c>
      <c r="BF87" s="5">
        <f>Y87+BB87</f>
        <v>151.40115485172615</v>
      </c>
      <c r="BG87" s="5">
        <f t="shared" si="33"/>
        <v>19.930032768307797</v>
      </c>
      <c r="BH87" s="5">
        <f t="shared" si="34"/>
        <v>19.635049461885785</v>
      </c>
      <c r="BI87" s="5">
        <f t="shared" si="35"/>
        <v>19.163082745723898</v>
      </c>
      <c r="BJ87" s="5">
        <f t="shared" si="36"/>
        <v>18.290757851726141</v>
      </c>
    </row>
    <row r="88" spans="13:62" x14ac:dyDescent="0.35">
      <c r="M88" s="2">
        <v>86</v>
      </c>
      <c r="N88" s="3">
        <v>43903</v>
      </c>
      <c r="O88" s="1">
        <v>68.500174999999999</v>
      </c>
      <c r="P88" s="1">
        <v>147.482574</v>
      </c>
      <c r="R88" s="5">
        <f t="shared" si="26"/>
        <v>69.619110587505318</v>
      </c>
      <c r="S88" s="5">
        <f t="shared" si="27"/>
        <v>66.401288277473981</v>
      </c>
      <c r="T88" s="5">
        <f t="shared" si="28"/>
        <v>64.508113832160873</v>
      </c>
      <c r="U88" s="5">
        <f t="shared" si="29"/>
        <v>62.949229642902338</v>
      </c>
      <c r="V88" s="5"/>
      <c r="W88" s="5">
        <f>0.15*P87+(1-0.15)*W87</f>
        <v>156.89941123609339</v>
      </c>
      <c r="X88" s="5">
        <f>0.35*P87+(1-0.35)*X87</f>
        <v>148.25763427566361</v>
      </c>
      <c r="Y88" s="5">
        <f>0.55*P87+(1-0.55)*Y87</f>
        <v>142.6988448319197</v>
      </c>
      <c r="Z88" s="5">
        <f>0.75*P87+(1-0.75)*Z87</f>
        <v>138.10637850278076</v>
      </c>
      <c r="AB88" s="5">
        <f t="shared" si="19"/>
        <v>1.6334784363767241</v>
      </c>
      <c r="AC88" s="5">
        <f t="shared" si="20"/>
        <v>3.0640603801756972</v>
      </c>
      <c r="AD88" s="5">
        <f t="shared" si="21"/>
        <v>5.8278116338230168</v>
      </c>
      <c r="AE88" s="5">
        <f t="shared" si="22"/>
        <v>8.1035491618782878</v>
      </c>
      <c r="AG88" s="5">
        <f>ABS((P88-W88)/P88)*100</f>
        <v>6.3850507762994333</v>
      </c>
      <c r="AH88" s="5">
        <f>ABS((P88-X88)/P88)*100</f>
        <v>0.52552668063930419</v>
      </c>
      <c r="AI88" s="5">
        <f>ABS((P88-Y88)/P88)*100</f>
        <v>3.2435894209985099</v>
      </c>
      <c r="AJ88" s="5">
        <f>ABS((P88-Z88)/P88)*100</f>
        <v>6.3574937993821852</v>
      </c>
      <c r="AL88" s="5">
        <f>0.15*(T88-T87)+(1-0.15)*AL87</f>
        <v>-1.054143080789792</v>
      </c>
      <c r="AM88" s="5">
        <f>0.25*(T88-T87)+(1-0.25)*AM87</f>
        <v>-1.4449579923693086</v>
      </c>
      <c r="AN88" s="5">
        <f>0.45*(T88-T87)+(1-0.45)*AN87</f>
        <v>-2.1820704648110718</v>
      </c>
      <c r="AO88" s="5">
        <f>0.85*(T88-T87)+(1-0.85)*AO87</f>
        <v>-3.5676268258232064</v>
      </c>
      <c r="AP88" s="5">
        <f>T88+AL88</f>
        <v>63.453970751371081</v>
      </c>
      <c r="AQ88" s="5">
        <f t="shared" si="23"/>
        <v>63.063155839791563</v>
      </c>
      <c r="AR88" s="5">
        <f t="shared" si="24"/>
        <v>62.326043367349804</v>
      </c>
      <c r="AS88" s="5">
        <f t="shared" si="25"/>
        <v>60.940487006337669</v>
      </c>
      <c r="AT88" s="5">
        <f t="shared" si="30"/>
        <v>5.0462042486289178</v>
      </c>
      <c r="AU88" s="5">
        <f t="shared" si="31"/>
        <v>84.419418160208437</v>
      </c>
      <c r="AV88" s="5">
        <f t="shared" si="32"/>
        <v>62.326043367349804</v>
      </c>
      <c r="AW88" s="5">
        <f t="shared" si="32"/>
        <v>8.6786235811676491</v>
      </c>
      <c r="AY88" s="5">
        <f>0.15*(Y88-Y87)+(1-0.15)*AY87</f>
        <v>-2.9288668208608311</v>
      </c>
      <c r="AZ88" s="5">
        <f>0.25*(Y88-Y87)+(1-0.25)*AZ87</f>
        <v>-4.1842627943161368</v>
      </c>
      <c r="BA88" s="5">
        <f>0.45*(Y88-Y87)+(1-0.45)*BA87</f>
        <v>-6.4531648141984066</v>
      </c>
      <c r="BB88" s="5">
        <f>0.85*(Y88-Y87)+(1-0.85)*BB87</f>
        <v>-10.413867513819751</v>
      </c>
      <c r="BC88" s="5">
        <f>Y88+AY88</f>
        <v>139.76997801105887</v>
      </c>
      <c r="BD88" s="5">
        <f>Y88+AZ88</f>
        <v>138.51458203760356</v>
      </c>
      <c r="BE88" s="5">
        <f>Y88+BA88</f>
        <v>136.2456800177213</v>
      </c>
      <c r="BF88" s="5">
        <f>Y88+BB88</f>
        <v>132.28497731809995</v>
      </c>
      <c r="BG88" s="5">
        <f t="shared" si="33"/>
        <v>7.712595988941132</v>
      </c>
      <c r="BH88" s="5">
        <f t="shared" si="34"/>
        <v>8.9679919623964395</v>
      </c>
      <c r="BI88" s="5">
        <f t="shared" si="35"/>
        <v>11.236893982278701</v>
      </c>
      <c r="BJ88" s="5">
        <f t="shared" si="36"/>
        <v>15.197596681900052</v>
      </c>
    </row>
    <row r="89" spans="13:62" x14ac:dyDescent="0.35">
      <c r="M89" s="2">
        <v>87</v>
      </c>
      <c r="N89" s="3">
        <v>43906</v>
      </c>
      <c r="O89" s="1">
        <v>59.687832</v>
      </c>
      <c r="P89" s="1">
        <v>133.524979</v>
      </c>
      <c r="R89" s="5">
        <f t="shared" si="26"/>
        <v>69.451270249379519</v>
      </c>
      <c r="S89" s="5">
        <f t="shared" si="27"/>
        <v>67.135898630358085</v>
      </c>
      <c r="T89" s="5">
        <f t="shared" si="28"/>
        <v>66.703747474472394</v>
      </c>
      <c r="U89" s="5">
        <f t="shared" si="29"/>
        <v>67.112438660725587</v>
      </c>
      <c r="V89" s="5"/>
      <c r="W89" s="5">
        <f>0.15*P88+(1-0.15)*W88</f>
        <v>155.48688565067937</v>
      </c>
      <c r="X89" s="5">
        <f>0.35*P88+(1-0.35)*X88</f>
        <v>147.98636317918135</v>
      </c>
      <c r="Y89" s="5">
        <f>0.55*P88+(1-0.55)*Y88</f>
        <v>145.32989587436384</v>
      </c>
      <c r="Z89" s="5">
        <f>0.75*P88+(1-0.75)*Z88</f>
        <v>145.1385251256952</v>
      </c>
      <c r="AB89" s="5">
        <f t="shared" si="19"/>
        <v>16.357501893148875</v>
      </c>
      <c r="AC89" s="5">
        <f t="shared" si="20"/>
        <v>12.478366830877832</v>
      </c>
      <c r="AD89" s="5">
        <f t="shared" si="21"/>
        <v>11.754347979119753</v>
      </c>
      <c r="AE89" s="5">
        <f t="shared" si="22"/>
        <v>12.439062388336684</v>
      </c>
      <c r="AG89" s="5">
        <f>ABS((P89-W89)/P89)*100</f>
        <v>16.447788882018372</v>
      </c>
      <c r="AH89" s="5">
        <f>ABS((P89-X89)/P89)*100</f>
        <v>10.83047103806798</v>
      </c>
      <c r="AI89" s="5">
        <f>ABS((P89-Y89)/P89)*100</f>
        <v>8.8409801392770415</v>
      </c>
      <c r="AJ89" s="5">
        <f>ABS((P89-Z89)/P89)*100</f>
        <v>8.6976580806615917</v>
      </c>
      <c r="AL89" s="5">
        <f>0.15*(T89-T88)+(1-0.15)*AL88</f>
        <v>-0.56667657232459523</v>
      </c>
      <c r="AM89" s="5">
        <f>0.25*(T89-T88)+(1-0.25)*AM88</f>
        <v>-0.53481008369910121</v>
      </c>
      <c r="AN89" s="5">
        <f>0.45*(T89-T88)+(1-0.45)*AN88</f>
        <v>-0.21210361660590549</v>
      </c>
      <c r="AO89" s="5">
        <f>0.85*(T89-T88)+(1-0.85)*AO88</f>
        <v>1.3311445720913113</v>
      </c>
      <c r="AP89" s="5">
        <f>T89+AL89</f>
        <v>66.137070902147798</v>
      </c>
      <c r="AQ89" s="5">
        <f t="shared" si="23"/>
        <v>66.168937390773294</v>
      </c>
      <c r="AR89" s="5">
        <f t="shared" si="24"/>
        <v>66.491643857866492</v>
      </c>
      <c r="AS89" s="5">
        <f t="shared" si="25"/>
        <v>68.034892046563698</v>
      </c>
      <c r="AT89" s="5">
        <f t="shared" si="30"/>
        <v>6.4492389021477976</v>
      </c>
      <c r="AU89" s="5">
        <f t="shared" si="31"/>
        <v>67.356041609226708</v>
      </c>
      <c r="AV89" s="5">
        <f t="shared" si="32"/>
        <v>66.491643857866492</v>
      </c>
      <c r="AW89" s="5">
        <f t="shared" si="32"/>
        <v>1.4163782028158209</v>
      </c>
      <c r="AY89" s="5">
        <f>0.15*(Y89-Y88)+(1-0.15)*AY88</f>
        <v>-2.0948791413650851</v>
      </c>
      <c r="AZ89" s="5">
        <f>0.25*(Y89-Y88)+(1-0.25)*AZ88</f>
        <v>-2.4804343351260671</v>
      </c>
      <c r="BA89" s="5">
        <f>0.45*(Y89-Y88)+(1-0.45)*BA88</f>
        <v>-2.3652676787092597</v>
      </c>
      <c r="BB89" s="5">
        <f>0.85*(Y89-Y88)+(1-0.85)*BB88</f>
        <v>0.6743132590045573</v>
      </c>
      <c r="BC89" s="5">
        <f>Y89+AY89</f>
        <v>143.23501673299876</v>
      </c>
      <c r="BD89" s="5">
        <f>Y89+AZ89</f>
        <v>142.84946153923778</v>
      </c>
      <c r="BE89" s="5">
        <f>Y89+BA89</f>
        <v>142.96462819565457</v>
      </c>
      <c r="BF89" s="5">
        <f>Y89+BB89</f>
        <v>146.00420913336839</v>
      </c>
      <c r="BG89" s="5">
        <f t="shared" si="33"/>
        <v>9.7100377329987566</v>
      </c>
      <c r="BH89" s="5">
        <f t="shared" si="34"/>
        <v>9.3244825392377777</v>
      </c>
      <c r="BI89" s="5">
        <f t="shared" si="35"/>
        <v>9.4396491956545674</v>
      </c>
      <c r="BJ89" s="5">
        <f t="shared" si="36"/>
        <v>12.479230133368389</v>
      </c>
    </row>
    <row r="90" spans="13:62" x14ac:dyDescent="0.35">
      <c r="M90" s="2">
        <v>88</v>
      </c>
      <c r="N90" s="3">
        <v>43907</v>
      </c>
      <c r="O90" s="1">
        <v>62.312308999999999</v>
      </c>
      <c r="P90" s="1">
        <v>130.09974700000001</v>
      </c>
      <c r="R90" s="5">
        <f t="shared" si="26"/>
        <v>67.986754511972592</v>
      </c>
      <c r="S90" s="5">
        <f t="shared" si="27"/>
        <v>64.529075309732761</v>
      </c>
      <c r="T90" s="5">
        <f t="shared" si="28"/>
        <v>62.844993963512579</v>
      </c>
      <c r="U90" s="5">
        <f t="shared" si="29"/>
        <v>61.543983665181393</v>
      </c>
      <c r="V90" s="5"/>
      <c r="W90" s="5">
        <f>0.15*P89+(1-0.15)*W89</f>
        <v>152.19259965307745</v>
      </c>
      <c r="X90" s="5">
        <f>0.35*P89+(1-0.35)*X89</f>
        <v>142.92487871646787</v>
      </c>
      <c r="Y90" s="5">
        <f>0.55*P89+(1-0.55)*Y89</f>
        <v>138.83719159346373</v>
      </c>
      <c r="Z90" s="5">
        <f>0.75*P89+(1-0.75)*Z89</f>
        <v>136.42836553142379</v>
      </c>
      <c r="AB90" s="5">
        <f t="shared" si="19"/>
        <v>9.1064600285837471</v>
      </c>
      <c r="AC90" s="5">
        <f t="shared" si="20"/>
        <v>3.5575094958088651</v>
      </c>
      <c r="AD90" s="5">
        <f t="shared" si="21"/>
        <v>0.8548631435124312</v>
      </c>
      <c r="AE90" s="5">
        <f t="shared" si="22"/>
        <v>1.233023373951053</v>
      </c>
      <c r="AG90" s="5">
        <f>ABS((P90-W90)/P90)*100</f>
        <v>16.981472418295667</v>
      </c>
      <c r="AH90" s="5">
        <f>ABS((P90-X90)/P90)*100</f>
        <v>9.8579221037746247</v>
      </c>
      <c r="AI90" s="5">
        <f>ABS((P90-Y90)/P90)*100</f>
        <v>6.7159581743565733</v>
      </c>
      <c r="AJ90" s="5">
        <f>ABS((P90-Z90)/P90)*100</f>
        <v>4.8644356944243601</v>
      </c>
      <c r="AL90" s="5">
        <f>0.15*(T90-T89)+(1-0.15)*AL89</f>
        <v>-1.0604881131198782</v>
      </c>
      <c r="AM90" s="5">
        <f>0.25*(T90-T89)+(1-0.25)*AM89</f>
        <v>-1.3657959405142797</v>
      </c>
      <c r="AN90" s="5">
        <f>0.45*(T90-T89)+(1-0.45)*AN89</f>
        <v>-1.8530960690651648</v>
      </c>
      <c r="AO90" s="5">
        <f>0.85*(T90-T89)+(1-0.85)*AO89</f>
        <v>-3.080268798502146</v>
      </c>
      <c r="AP90" s="5">
        <f>T90+AL90</f>
        <v>61.784505850392698</v>
      </c>
      <c r="AQ90" s="5">
        <f t="shared" si="23"/>
        <v>61.479198022998297</v>
      </c>
      <c r="AR90" s="5">
        <f t="shared" si="24"/>
        <v>60.991897894447412</v>
      </c>
      <c r="AS90" s="5">
        <f t="shared" si="25"/>
        <v>59.764725165010432</v>
      </c>
      <c r="AT90" s="5">
        <f t="shared" si="30"/>
        <v>0.52780314960730124</v>
      </c>
      <c r="AU90" s="5">
        <f t="shared" si="31"/>
        <v>68.620548977001704</v>
      </c>
      <c r="AV90" s="5">
        <f t="shared" si="32"/>
        <v>60.991897894447412</v>
      </c>
      <c r="AW90" s="5">
        <f t="shared" si="32"/>
        <v>8.2220293469621595</v>
      </c>
      <c r="AY90" s="5">
        <f>0.15*(Y90-Y89)+(1-0.15)*AY89</f>
        <v>-2.7545529122953392</v>
      </c>
      <c r="AZ90" s="5">
        <f>0.25*(Y90-Y89)+(1-0.25)*AZ89</f>
        <v>-3.483501821569579</v>
      </c>
      <c r="BA90" s="5">
        <f>0.45*(Y90-Y89)+(1-0.45)*BA89</f>
        <v>-4.2226141496951444</v>
      </c>
      <c r="BB90" s="5">
        <f>0.85*(Y90-Y89)+(1-0.85)*BB89</f>
        <v>-5.4176516499144123</v>
      </c>
      <c r="BC90" s="5">
        <f>Y90+AY90</f>
        <v>136.08263868116839</v>
      </c>
      <c r="BD90" s="5">
        <f>Y90+AZ90</f>
        <v>135.35368977189415</v>
      </c>
      <c r="BE90" s="5">
        <f>Y90+BA90</f>
        <v>134.61457744376858</v>
      </c>
      <c r="BF90" s="5">
        <f>Y90+BB90</f>
        <v>133.41953994354932</v>
      </c>
      <c r="BG90" s="5">
        <f t="shared" si="33"/>
        <v>5.9828916811683825</v>
      </c>
      <c r="BH90" s="5">
        <f t="shared" si="34"/>
        <v>5.2539427718941454</v>
      </c>
      <c r="BI90" s="5">
        <f t="shared" si="35"/>
        <v>4.5148304437685738</v>
      </c>
      <c r="BJ90" s="5">
        <f t="shared" si="36"/>
        <v>3.3197929435493165</v>
      </c>
    </row>
    <row r="91" spans="13:62" x14ac:dyDescent="0.35">
      <c r="M91" s="2">
        <v>89</v>
      </c>
      <c r="N91" s="3">
        <v>43908</v>
      </c>
      <c r="O91" s="1">
        <v>60.786911000000003</v>
      </c>
      <c r="P91" s="1">
        <v>118.067001</v>
      </c>
      <c r="R91" s="5">
        <f t="shared" si="26"/>
        <v>67.135587685176702</v>
      </c>
      <c r="S91" s="5">
        <f t="shared" si="27"/>
        <v>63.753207101326296</v>
      </c>
      <c r="T91" s="5">
        <f t="shared" si="28"/>
        <v>62.552017233580656</v>
      </c>
      <c r="U91" s="5">
        <f t="shared" si="29"/>
        <v>62.120227666295349</v>
      </c>
      <c r="V91" s="5"/>
      <c r="W91" s="5">
        <f>0.15*P90+(1-0.15)*W90</f>
        <v>148.87867175511585</v>
      </c>
      <c r="X91" s="5">
        <f>0.35*P90+(1-0.35)*X90</f>
        <v>138.43608261570412</v>
      </c>
      <c r="Y91" s="5">
        <f>0.55*P90+(1-0.55)*Y90</f>
        <v>134.03159706705867</v>
      </c>
      <c r="Z91" s="5">
        <f>0.75*P90+(1-0.75)*Z90</f>
        <v>131.68190163285595</v>
      </c>
      <c r="AB91" s="5">
        <f t="shared" si="19"/>
        <v>10.444150855398291</v>
      </c>
      <c r="AC91" s="5">
        <f t="shared" si="20"/>
        <v>4.8798270096769558</v>
      </c>
      <c r="AD91" s="5">
        <f t="shared" si="21"/>
        <v>2.9037603729866333</v>
      </c>
      <c r="AE91" s="5">
        <f t="shared" si="22"/>
        <v>2.1934272434000568</v>
      </c>
      <c r="AG91" s="5">
        <f>ABS((P91-W91)/P91)*100</f>
        <v>26.096767508404689</v>
      </c>
      <c r="AH91" s="5">
        <f>ABS((P91-X91)/P91)*100</f>
        <v>17.252137721109829</v>
      </c>
      <c r="AI91" s="5">
        <f>ABS((P91-Y91)/P91)*100</f>
        <v>13.521641044358079</v>
      </c>
      <c r="AJ91" s="5">
        <f>ABS((P91-Z91)/P91)*100</f>
        <v>11.531503737319413</v>
      </c>
      <c r="AL91" s="5">
        <f>0.15*(T91-T90)+(1-0.15)*AL90</f>
        <v>-0.94536140564168492</v>
      </c>
      <c r="AM91" s="5">
        <f>0.25*(T91-T90)+(1-0.25)*AM90</f>
        <v>-1.0975911378686902</v>
      </c>
      <c r="AN91" s="5">
        <f>0.45*(T91-T90)+(1-0.45)*AN90</f>
        <v>-1.1510423664552056</v>
      </c>
      <c r="AO91" s="5">
        <f>0.85*(T91-T90)+(1-0.85)*AO90</f>
        <v>-0.71107054021745597</v>
      </c>
      <c r="AP91" s="5">
        <f>T91+AL91</f>
        <v>61.606655827938972</v>
      </c>
      <c r="AQ91" s="5">
        <f t="shared" si="23"/>
        <v>61.454426095711966</v>
      </c>
      <c r="AR91" s="5">
        <f t="shared" si="24"/>
        <v>61.400974867125448</v>
      </c>
      <c r="AS91" s="5">
        <f t="shared" si="25"/>
        <v>61.8409466933632</v>
      </c>
      <c r="AT91" s="5">
        <f t="shared" si="30"/>
        <v>0.81974482793896897</v>
      </c>
      <c r="AU91" s="5">
        <f t="shared" si="31"/>
        <v>56.612574904288039</v>
      </c>
      <c r="AV91" s="5">
        <f t="shared" si="32"/>
        <v>61.400974867125448</v>
      </c>
      <c r="AW91" s="5">
        <f t="shared" si="32"/>
        <v>5.2946409918135018</v>
      </c>
      <c r="AY91" s="5">
        <f>0.15*(Y91-Y90)+(1-0.15)*AY90</f>
        <v>-3.0622091544117973</v>
      </c>
      <c r="AZ91" s="5">
        <f>0.25*(Y91-Y90)+(1-0.25)*AZ90</f>
        <v>-3.8140249977784491</v>
      </c>
      <c r="BA91" s="5">
        <f>0.45*(Y91-Y90)+(1-0.45)*BA90</f>
        <v>-4.4849553192146061</v>
      </c>
      <c r="BB91" s="5">
        <f>0.85*(Y91-Y90)+(1-0.85)*BB90</f>
        <v>-4.8974030949314624</v>
      </c>
      <c r="BC91" s="5">
        <f>Y91+AY91</f>
        <v>130.96938791264688</v>
      </c>
      <c r="BD91" s="5">
        <f>Y91+AZ91</f>
        <v>130.21757206928021</v>
      </c>
      <c r="BE91" s="5">
        <f>Y91+BA91</f>
        <v>129.54664174784406</v>
      </c>
      <c r="BF91" s="5">
        <f>Y91+BB91</f>
        <v>129.13419397212721</v>
      </c>
      <c r="BG91" s="5">
        <f t="shared" si="33"/>
        <v>12.902386912646875</v>
      </c>
      <c r="BH91" s="5">
        <f t="shared" si="34"/>
        <v>12.150571069280204</v>
      </c>
      <c r="BI91" s="5">
        <f t="shared" si="35"/>
        <v>11.479640747844059</v>
      </c>
      <c r="BJ91" s="5">
        <f t="shared" si="36"/>
        <v>11.067192972127202</v>
      </c>
    </row>
    <row r="92" spans="13:62" x14ac:dyDescent="0.35">
      <c r="M92" s="2">
        <v>90</v>
      </c>
      <c r="N92" s="3">
        <v>43909</v>
      </c>
      <c r="O92" s="1">
        <v>60.321156000000002</v>
      </c>
      <c r="P92" s="1">
        <v>117.42538500000001</v>
      </c>
      <c r="R92" s="5">
        <f t="shared" si="26"/>
        <v>66.183286182400195</v>
      </c>
      <c r="S92" s="5">
        <f t="shared" si="27"/>
        <v>62.715003465862097</v>
      </c>
      <c r="T92" s="5">
        <f t="shared" si="28"/>
        <v>61.581208805111295</v>
      </c>
      <c r="U92" s="5">
        <f t="shared" si="29"/>
        <v>61.120240166573836</v>
      </c>
      <c r="V92" s="5"/>
      <c r="W92" s="5">
        <f>0.15*P91+(1-0.15)*W91</f>
        <v>144.25692114184847</v>
      </c>
      <c r="X92" s="5">
        <f>0.35*P91+(1-0.35)*X91</f>
        <v>131.30690405020769</v>
      </c>
      <c r="Y92" s="5">
        <f>0.55*P91+(1-0.55)*Y91</f>
        <v>125.2510692301764</v>
      </c>
      <c r="Z92" s="5">
        <f>0.75*P91+(1-0.75)*Z91</f>
        <v>121.47072615821399</v>
      </c>
      <c r="AB92" s="5">
        <f t="shared" si="19"/>
        <v>9.7181993368963173</v>
      </c>
      <c r="AC92" s="5">
        <f t="shared" si="20"/>
        <v>3.968503962129132</v>
      </c>
      <c r="AD92" s="5">
        <f t="shared" si="21"/>
        <v>2.0889069253104053</v>
      </c>
      <c r="AE92" s="5">
        <f t="shared" si="22"/>
        <v>1.324716267993661</v>
      </c>
      <c r="AG92" s="5">
        <f>ABS((P92-W92)/P92)*100</f>
        <v>22.849860055258457</v>
      </c>
      <c r="AH92" s="5">
        <f>ABS((P92-X92)/P92)*100</f>
        <v>11.821565711883922</v>
      </c>
      <c r="AI92" s="5">
        <f>ABS((P92-Y92)/P92)*100</f>
        <v>6.6643888203359021</v>
      </c>
      <c r="AJ92" s="5">
        <f>ABS((P92-Z92)/P92)*100</f>
        <v>3.4450312070205142</v>
      </c>
      <c r="AL92" s="5">
        <f>0.15*(T92-T91)+(1-0.15)*AL91</f>
        <v>-0.94917845906583631</v>
      </c>
      <c r="AM92" s="5">
        <f>0.25*(T92-T91)+(1-0.25)*AM91</f>
        <v>-1.065895460518858</v>
      </c>
      <c r="AN92" s="5">
        <f>0.45*(T92-T91)+(1-0.45)*AN91</f>
        <v>-1.0699370943615758</v>
      </c>
      <c r="AO92" s="5">
        <f>0.85*(T92-T91)+(1-0.85)*AO91</f>
        <v>-0.93184774523157543</v>
      </c>
      <c r="AP92" s="5">
        <f>T92+AL92</f>
        <v>60.632030346045461</v>
      </c>
      <c r="AQ92" s="5">
        <f t="shared" si="23"/>
        <v>60.515313344592435</v>
      </c>
      <c r="AR92" s="5">
        <f t="shared" si="24"/>
        <v>60.511271710749718</v>
      </c>
      <c r="AS92" s="5">
        <f t="shared" si="25"/>
        <v>60.649361059879723</v>
      </c>
      <c r="AT92" s="5">
        <f t="shared" si="30"/>
        <v>0.31087434604545905</v>
      </c>
      <c r="AU92" s="5">
        <f t="shared" si="31"/>
        <v>56.91007165540757</v>
      </c>
      <c r="AV92" s="5">
        <f t="shared" si="32"/>
        <v>60.511271710749718</v>
      </c>
      <c r="AW92" s="5">
        <f t="shared" si="32"/>
        <v>5.533925122520472</v>
      </c>
      <c r="AY92" s="5">
        <f>0.15*(Y92-Y91)+(1-0.15)*AY91</f>
        <v>-3.919956956782368</v>
      </c>
      <c r="AZ92" s="5">
        <f>0.25*(Y92-Y91)+(1-0.25)*AZ91</f>
        <v>-5.0556507075544044</v>
      </c>
      <c r="BA92" s="5">
        <f>0.45*(Y92-Y91)+(1-0.45)*BA91</f>
        <v>-6.4179629521650554</v>
      </c>
      <c r="BB92" s="5">
        <f>0.85*(Y92-Y91)+(1-0.85)*BB91</f>
        <v>-8.1980591255896496</v>
      </c>
      <c r="BC92" s="5">
        <f>Y92+AY92</f>
        <v>121.33111227339403</v>
      </c>
      <c r="BD92" s="5">
        <f>Y92+AZ92</f>
        <v>120.19541852262199</v>
      </c>
      <c r="BE92" s="5">
        <f>Y92+BA92</f>
        <v>118.83310627801134</v>
      </c>
      <c r="BF92" s="5">
        <f>Y92+BB92</f>
        <v>117.05301010458675</v>
      </c>
      <c r="BG92" s="5">
        <f t="shared" si="33"/>
        <v>3.9057272733940209</v>
      </c>
      <c r="BH92" s="5">
        <f t="shared" si="34"/>
        <v>2.7700335226219863</v>
      </c>
      <c r="BI92" s="5">
        <f t="shared" si="35"/>
        <v>1.4077212780113371</v>
      </c>
      <c r="BJ92" s="5">
        <f t="shared" si="36"/>
        <v>0.37237489541325886</v>
      </c>
    </row>
    <row r="93" spans="13:62" x14ac:dyDescent="0.35">
      <c r="M93" s="2">
        <v>91</v>
      </c>
      <c r="N93" s="3">
        <v>43910</v>
      </c>
      <c r="O93" s="1">
        <v>56.491633999999998</v>
      </c>
      <c r="P93" s="1">
        <v>111.048721</v>
      </c>
      <c r="R93" s="5">
        <f t="shared" si="26"/>
        <v>65.303966655040171</v>
      </c>
      <c r="S93" s="5">
        <f t="shared" si="27"/>
        <v>61.877156852810359</v>
      </c>
      <c r="T93" s="5">
        <f t="shared" si="28"/>
        <v>60.888179762300084</v>
      </c>
      <c r="U93" s="5">
        <f t="shared" si="29"/>
        <v>60.520927041643461</v>
      </c>
      <c r="V93" s="5"/>
      <c r="W93" s="5">
        <f>0.15*P92+(1-0.15)*W92</f>
        <v>140.2321907205712</v>
      </c>
      <c r="X93" s="5">
        <f>0.35*P92+(1-0.35)*X92</f>
        <v>126.448372382635</v>
      </c>
      <c r="Y93" s="5">
        <f>0.55*P92+(1-0.55)*Y92</f>
        <v>120.94694290357938</v>
      </c>
      <c r="Z93" s="5">
        <f>0.75*P92+(1-0.75)*Z92</f>
        <v>118.43672028955351</v>
      </c>
      <c r="AB93" s="5">
        <f t="shared" si="19"/>
        <v>15.599358756449094</v>
      </c>
      <c r="AC93" s="5">
        <f t="shared" si="20"/>
        <v>9.5333104594042393</v>
      </c>
      <c r="AD93" s="5">
        <f t="shared" si="21"/>
        <v>7.7826493075064631</v>
      </c>
      <c r="AE93" s="5">
        <f t="shared" si="22"/>
        <v>7.1325482312008592</v>
      </c>
      <c r="AG93" s="5">
        <f>ABS((P93-W93)/P93)*100</f>
        <v>26.2798791897578</v>
      </c>
      <c r="AH93" s="5">
        <f>ABS((P93-X93)/P93)*100</f>
        <v>13.867472982993654</v>
      </c>
      <c r="AI93" s="5">
        <f>ABS((P93-Y93)/P93)*100</f>
        <v>8.9134046880012079</v>
      </c>
      <c r="AJ93" s="5">
        <f>ABS((P93-Z93)/P93)*100</f>
        <v>6.652935056814842</v>
      </c>
      <c r="AL93" s="5">
        <f>0.15*(T93-T92)+(1-0.15)*AL92</f>
        <v>-0.91075604662764253</v>
      </c>
      <c r="AM93" s="5">
        <f>0.25*(T93-T92)+(1-0.25)*AM92</f>
        <v>-0.97267885609194638</v>
      </c>
      <c r="AN93" s="5">
        <f>0.45*(T93-T92)+(1-0.45)*AN92</f>
        <v>-0.9003284711639119</v>
      </c>
      <c r="AO93" s="5">
        <f>0.85*(T93-T92)+(1-0.85)*AO92</f>
        <v>-0.72885184817426618</v>
      </c>
      <c r="AP93" s="5">
        <f>T93+AL93</f>
        <v>59.977423715672444</v>
      </c>
      <c r="AQ93" s="5">
        <f t="shared" si="23"/>
        <v>59.915500906208138</v>
      </c>
      <c r="AR93" s="5">
        <f t="shared" si="24"/>
        <v>59.987851291136174</v>
      </c>
      <c r="AS93" s="5">
        <f t="shared" si="25"/>
        <v>60.159327914125818</v>
      </c>
      <c r="AT93" s="5">
        <f t="shared" si="30"/>
        <v>3.4857897156724462</v>
      </c>
      <c r="AU93" s="5">
        <f t="shared" si="31"/>
        <v>51.133220093791863</v>
      </c>
      <c r="AV93" s="5">
        <f t="shared" si="32"/>
        <v>59.987851291136174</v>
      </c>
      <c r="AW93" s="5">
        <f t="shared" si="32"/>
        <v>5.1446387409143526</v>
      </c>
      <c r="AY93" s="5">
        <f>0.15*(Y93-Y92)+(1-0.15)*AY92</f>
        <v>-3.977582362254565</v>
      </c>
      <c r="AZ93" s="5">
        <f>0.25*(Y93-Y92)+(1-0.25)*AZ92</f>
        <v>-4.8677696123150564</v>
      </c>
      <c r="BA93" s="5">
        <f>0.45*(Y93-Y92)+(1-0.45)*BA92</f>
        <v>-5.4667364706594368</v>
      </c>
      <c r="BB93" s="5">
        <f>0.85*(Y93-Y92)+(1-0.85)*BB92</f>
        <v>-4.8882162464459098</v>
      </c>
      <c r="BC93" s="5">
        <f>Y93+AY93</f>
        <v>116.96936054132482</v>
      </c>
      <c r="BD93" s="5">
        <f>Y93+AZ93</f>
        <v>116.07917329126433</v>
      </c>
      <c r="BE93" s="5">
        <f>Y93+BA93</f>
        <v>115.48020643291994</v>
      </c>
      <c r="BF93" s="5">
        <f>Y93+BB93</f>
        <v>116.05872665713348</v>
      </c>
      <c r="BG93" s="5">
        <f t="shared" si="33"/>
        <v>5.9206395413248174</v>
      </c>
      <c r="BH93" s="5">
        <f t="shared" si="34"/>
        <v>5.030452291264325</v>
      </c>
      <c r="BI93" s="5">
        <f t="shared" si="35"/>
        <v>4.431485432919942</v>
      </c>
      <c r="BJ93" s="5">
        <f t="shared" si="36"/>
        <v>5.0100056571334761</v>
      </c>
    </row>
    <row r="94" spans="13:62" x14ac:dyDescent="0.35">
      <c r="M94" s="2">
        <v>92</v>
      </c>
      <c r="N94" s="3">
        <v>43913</v>
      </c>
      <c r="O94" s="1">
        <v>55.291519000000001</v>
      </c>
      <c r="P94" s="1">
        <v>102.520172</v>
      </c>
      <c r="R94" s="5">
        <f t="shared" si="26"/>
        <v>63.982116756784137</v>
      </c>
      <c r="S94" s="5">
        <f t="shared" si="27"/>
        <v>59.992223854326724</v>
      </c>
      <c r="T94" s="5">
        <f t="shared" si="28"/>
        <v>58.470079593035038</v>
      </c>
      <c r="U94" s="5">
        <f t="shared" si="29"/>
        <v>57.498957260410862</v>
      </c>
      <c r="V94" s="5"/>
      <c r="W94" s="5">
        <f>0.15*P93+(1-0.15)*W93</f>
        <v>135.85467026248551</v>
      </c>
      <c r="X94" s="5">
        <f>0.35*P93+(1-0.35)*X93</f>
        <v>121.05849439871275</v>
      </c>
      <c r="Y94" s="5">
        <f>0.55*P93+(1-0.55)*Y93</f>
        <v>115.50292085661073</v>
      </c>
      <c r="Z94" s="5">
        <f>0.75*P93+(1-0.75)*Z93</f>
        <v>112.89572082238837</v>
      </c>
      <c r="AB94" s="5">
        <f t="shared" si="19"/>
        <v>15.717777181676155</v>
      </c>
      <c r="AC94" s="5">
        <f t="shared" si="20"/>
        <v>8.5016742881068676</v>
      </c>
      <c r="AD94" s="5">
        <f t="shared" si="21"/>
        <v>5.7487308189797375</v>
      </c>
      <c r="AE94" s="5">
        <f t="shared" si="22"/>
        <v>3.9923632056678726</v>
      </c>
      <c r="AG94" s="5">
        <f>ABS((P94-W94)/P94)*100</f>
        <v>32.515062755147845</v>
      </c>
      <c r="AH94" s="5">
        <f>ABS((P94-X94)/P94)*100</f>
        <v>18.082609536309352</v>
      </c>
      <c r="AI94" s="5">
        <f>ABS((P94-Y94)/P94)*100</f>
        <v>12.663604248157842</v>
      </c>
      <c r="AJ94" s="5">
        <f>ABS((P94-Z94)/P94)*100</f>
        <v>10.120494942583951</v>
      </c>
      <c r="AL94" s="5">
        <f>0.15*(T94-T93)+(1-0.15)*AL93</f>
        <v>-1.1368576650232529</v>
      </c>
      <c r="AM94" s="5">
        <f>0.25*(T94-T93)+(1-0.25)*AM93</f>
        <v>-1.3340341843852213</v>
      </c>
      <c r="AN94" s="5">
        <f>0.45*(T94-T93)+(1-0.45)*AN93</f>
        <v>-1.5833257353094221</v>
      </c>
      <c r="AO94" s="5">
        <f>0.85*(T94-T93)+(1-0.85)*AO93</f>
        <v>-2.1647129211014282</v>
      </c>
      <c r="AP94" s="5">
        <f>T94+AL94</f>
        <v>57.333221928011788</v>
      </c>
      <c r="AQ94" s="5">
        <f t="shared" si="23"/>
        <v>57.136045408649814</v>
      </c>
      <c r="AR94" s="5">
        <f t="shared" si="24"/>
        <v>56.886753857725616</v>
      </c>
      <c r="AS94" s="5">
        <f t="shared" si="25"/>
        <v>56.305366671933612</v>
      </c>
      <c r="AT94" s="5">
        <f t="shared" si="30"/>
        <v>2.0417029280117873</v>
      </c>
      <c r="AU94" s="5">
        <f t="shared" si="31"/>
        <v>45.384126591350189</v>
      </c>
      <c r="AV94" s="5">
        <f t="shared" si="32"/>
        <v>56.886753857725616</v>
      </c>
      <c r="AW94" s="5">
        <f t="shared" si="32"/>
        <v>7.676750084850525</v>
      </c>
      <c r="AY94" s="5">
        <f>0.15*(Y94-Y93)+(1-0.15)*AY93</f>
        <v>-4.1975483149616784</v>
      </c>
      <c r="AZ94" s="5">
        <f>0.25*(Y94-Y93)+(1-0.25)*AZ93</f>
        <v>-5.0118327209784557</v>
      </c>
      <c r="BA94" s="5">
        <f>0.45*(Y94-Y93)+(1-0.45)*BA93</f>
        <v>-5.4565149799985857</v>
      </c>
      <c r="BB94" s="5">
        <f>0.85*(Y94-Y93)+(1-0.85)*BB93</f>
        <v>-5.3606511768902436</v>
      </c>
      <c r="BC94" s="5">
        <f>Y94+AY94</f>
        <v>111.30537254164905</v>
      </c>
      <c r="BD94" s="5">
        <f>Y94+AZ94</f>
        <v>110.49108813563227</v>
      </c>
      <c r="BE94" s="5">
        <f>Y94+BA94</f>
        <v>110.04640587661214</v>
      </c>
      <c r="BF94" s="5">
        <f>Y94+BB94</f>
        <v>110.14226967972048</v>
      </c>
      <c r="BG94" s="5">
        <f t="shared" si="33"/>
        <v>8.7852005416490471</v>
      </c>
      <c r="BH94" s="5">
        <f t="shared" si="34"/>
        <v>7.9709161356322653</v>
      </c>
      <c r="BI94" s="5">
        <f t="shared" si="35"/>
        <v>7.5262338766121388</v>
      </c>
      <c r="BJ94" s="5">
        <f t="shared" si="36"/>
        <v>7.6220976797204827</v>
      </c>
    </row>
    <row r="95" spans="13:62" x14ac:dyDescent="0.35">
      <c r="M95" s="2">
        <v>93</v>
      </c>
      <c r="N95" s="3">
        <v>43914</v>
      </c>
      <c r="O95" s="1">
        <v>60.838661000000002</v>
      </c>
      <c r="P95" s="1">
        <v>117.96828499999999</v>
      </c>
      <c r="R95" s="5">
        <f t="shared" si="26"/>
        <v>62.67852709326651</v>
      </c>
      <c r="S95" s="5">
        <f t="shared" si="27"/>
        <v>58.346977155312373</v>
      </c>
      <c r="T95" s="5">
        <f t="shared" si="28"/>
        <v>56.721871266865762</v>
      </c>
      <c r="U95" s="5">
        <f t="shared" si="29"/>
        <v>55.843378565102718</v>
      </c>
      <c r="V95" s="5"/>
      <c r="W95" s="5">
        <f>0.15*P94+(1-0.15)*W94</f>
        <v>130.85449552311269</v>
      </c>
      <c r="X95" s="5">
        <f>0.35*P94+(1-0.35)*X94</f>
        <v>114.57008155916328</v>
      </c>
      <c r="Y95" s="5">
        <f>0.55*P94+(1-0.55)*Y94</f>
        <v>108.36240898547483</v>
      </c>
      <c r="Z95" s="5">
        <f>0.75*P94+(1-0.75)*Z94</f>
        <v>105.1140592055971</v>
      </c>
      <c r="AB95" s="5">
        <f t="shared" si="19"/>
        <v>3.024172562355552</v>
      </c>
      <c r="AC95" s="5">
        <f t="shared" si="20"/>
        <v>4.0955599675141245</v>
      </c>
      <c r="AD95" s="5">
        <f t="shared" si="21"/>
        <v>6.766732971217496</v>
      </c>
      <c r="AE95" s="5">
        <f t="shared" si="22"/>
        <v>8.2107041029342902</v>
      </c>
      <c r="AG95" s="5">
        <f>ABS((P95-W95)/P95)*100</f>
        <v>10.923453301972385</v>
      </c>
      <c r="AH95" s="5">
        <f>ABS((P95-X95)/P95)*100</f>
        <v>2.8806076487733208</v>
      </c>
      <c r="AI95" s="5">
        <f>ABS((P95-Y95)/P95)*100</f>
        <v>8.1427614333167302</v>
      </c>
      <c r="AJ95" s="5">
        <f>ABS((P95-Z95)/P95)*100</f>
        <v>10.896340312485592</v>
      </c>
      <c r="AL95" s="5">
        <f>0.15*(T95-T94)+(1-0.15)*AL94</f>
        <v>-1.2285602641951565</v>
      </c>
      <c r="AM95" s="5">
        <f>0.25*(T95-T94)+(1-0.25)*AM94</f>
        <v>-1.4375777198312352</v>
      </c>
      <c r="AN95" s="5">
        <f>0.45*(T95-T94)+(1-0.45)*AN94</f>
        <v>-1.6575229011963568</v>
      </c>
      <c r="AO95" s="5">
        <f>0.85*(T95-T94)+(1-0.85)*AO94</f>
        <v>-1.8106840154090993</v>
      </c>
      <c r="AP95" s="5">
        <f>T95+AL95</f>
        <v>55.493311002670602</v>
      </c>
      <c r="AQ95" s="5">
        <f t="shared" si="23"/>
        <v>55.28429354703453</v>
      </c>
      <c r="AR95" s="5">
        <f t="shared" si="24"/>
        <v>55.064348365669403</v>
      </c>
      <c r="AS95" s="5">
        <f t="shared" si="25"/>
        <v>54.91118725145666</v>
      </c>
      <c r="AT95" s="5">
        <f t="shared" si="30"/>
        <v>5.3453499973294001</v>
      </c>
      <c r="AU95" s="5">
        <f t="shared" si="31"/>
        <v>62.683991452965465</v>
      </c>
      <c r="AV95" s="5">
        <f t="shared" si="32"/>
        <v>55.064348365669403</v>
      </c>
      <c r="AW95" s="5">
        <f t="shared" si="32"/>
        <v>7.76733984180985</v>
      </c>
      <c r="AY95" s="5">
        <f>0.15*(Y95-Y94)+(1-0.15)*AY94</f>
        <v>-4.6389928483878116</v>
      </c>
      <c r="AZ95" s="5">
        <f>0.25*(Y95-Y94)+(1-0.25)*AZ94</f>
        <v>-5.5440025085178171</v>
      </c>
      <c r="BA95" s="5">
        <f>0.45*(Y95-Y94)+(1-0.45)*BA94</f>
        <v>-6.2143135810103773</v>
      </c>
      <c r="BB95" s="5">
        <f>0.85*(Y95-Y94)+(1-0.85)*BB94</f>
        <v>-6.8735327669990509</v>
      </c>
      <c r="BC95" s="5">
        <f>Y95+AY95</f>
        <v>103.72341613708701</v>
      </c>
      <c r="BD95" s="5">
        <f>Y95+AZ95</f>
        <v>102.81840647695701</v>
      </c>
      <c r="BE95" s="5">
        <f>Y95+BA95</f>
        <v>102.14809540446446</v>
      </c>
      <c r="BF95" s="5">
        <f>Y95+BB95</f>
        <v>101.48887621847578</v>
      </c>
      <c r="BG95" s="5">
        <f t="shared" si="33"/>
        <v>14.24486886291298</v>
      </c>
      <c r="BH95" s="5">
        <f t="shared" si="34"/>
        <v>15.149878523042986</v>
      </c>
      <c r="BI95" s="5">
        <f t="shared" si="35"/>
        <v>15.820189595535538</v>
      </c>
      <c r="BJ95" s="5">
        <f t="shared" si="36"/>
        <v>16.479408781524214</v>
      </c>
    </row>
    <row r="96" spans="13:62" x14ac:dyDescent="0.35">
      <c r="M96" s="2">
        <v>94</v>
      </c>
      <c r="N96" s="3">
        <v>43915</v>
      </c>
      <c r="O96" s="1">
        <v>60.503517000000002</v>
      </c>
      <c r="P96" s="1">
        <v>127.977478</v>
      </c>
      <c r="R96" s="5">
        <f t="shared" si="26"/>
        <v>62.402547179276532</v>
      </c>
      <c r="S96" s="5">
        <f t="shared" si="27"/>
        <v>59.219066500953048</v>
      </c>
      <c r="T96" s="5">
        <f t="shared" si="28"/>
        <v>58.986105620089596</v>
      </c>
      <c r="U96" s="5">
        <f t="shared" si="29"/>
        <v>59.589840391275679</v>
      </c>
      <c r="V96" s="5"/>
      <c r="W96" s="5">
        <f>0.15*P95+(1-0.15)*W95</f>
        <v>128.92156394464578</v>
      </c>
      <c r="X96" s="5">
        <f>0.35*P95+(1-0.35)*X95</f>
        <v>115.75945276345614</v>
      </c>
      <c r="Y96" s="5">
        <f>0.55*P95+(1-0.55)*Y95</f>
        <v>113.64564079346368</v>
      </c>
      <c r="Z96" s="5">
        <f>0.75*P95+(1-0.75)*Z95</f>
        <v>114.75472855139927</v>
      </c>
      <c r="AB96" s="5">
        <f t="shared" si="19"/>
        <v>3.1387103980691395</v>
      </c>
      <c r="AC96" s="5">
        <f t="shared" si="20"/>
        <v>2.1229352651465772</v>
      </c>
      <c r="AD96" s="5">
        <f t="shared" si="21"/>
        <v>2.5079721893033198</v>
      </c>
      <c r="AE96" s="5">
        <f t="shared" si="22"/>
        <v>1.5101214838871648</v>
      </c>
      <c r="AG96" s="5">
        <f>ABS((P96-W96)/P96)*100</f>
        <v>0.73769694433717303</v>
      </c>
      <c r="AH96" s="5">
        <f>ABS((P96-X96)/P96)*100</f>
        <v>9.5470120426532112</v>
      </c>
      <c r="AI96" s="5">
        <f>ABS((P96-Y96)/P96)*100</f>
        <v>11.198718267081588</v>
      </c>
      <c r="AJ96" s="5">
        <f>ABS((P96-Z96)/P96)*100</f>
        <v>10.332090970413354</v>
      </c>
      <c r="AL96" s="5">
        <f>0.15*(T96-T95)+(1-0.15)*AL95</f>
        <v>-0.70464107158230793</v>
      </c>
      <c r="AM96" s="5">
        <f>0.25*(T96-T95)+(1-0.25)*AM95</f>
        <v>-0.5121247015674677</v>
      </c>
      <c r="AN96" s="5">
        <f>0.45*(T96-T95)+(1-0.45)*AN95</f>
        <v>0.10726786329272908</v>
      </c>
      <c r="AO96" s="5">
        <f>0.85*(T96-T95)+(1-0.85)*AO95</f>
        <v>1.6529965979288941</v>
      </c>
      <c r="AP96" s="5">
        <f>T96+AL96</f>
        <v>58.281464548507287</v>
      </c>
      <c r="AQ96" s="5">
        <f t="shared" si="23"/>
        <v>58.47398091852213</v>
      </c>
      <c r="AR96" s="5">
        <f t="shared" si="24"/>
        <v>59.093373483382322</v>
      </c>
      <c r="AS96" s="5">
        <f t="shared" si="25"/>
        <v>60.639102218018493</v>
      </c>
      <c r="AT96" s="5">
        <f t="shared" si="30"/>
        <v>2.2220524514927149</v>
      </c>
      <c r="AU96" s="5">
        <f t="shared" si="31"/>
        <v>69.503497081477875</v>
      </c>
      <c r="AV96" s="5">
        <f t="shared" si="32"/>
        <v>59.093373483382322</v>
      </c>
      <c r="AW96" s="5">
        <f t="shared" si="32"/>
        <v>1.7634449612580383</v>
      </c>
      <c r="AY96" s="5">
        <f>0.15*(Y96-Y95)+(1-0.15)*AY95</f>
        <v>-3.1506591499313115</v>
      </c>
      <c r="AZ96" s="5">
        <f>0.25*(Y96-Y95)+(1-0.25)*AZ95</f>
        <v>-2.837193929391149</v>
      </c>
      <c r="BA96" s="5">
        <f>0.45*(Y96-Y95)+(1-0.45)*BA95</f>
        <v>-1.0404181559607228</v>
      </c>
      <c r="BB96" s="5">
        <f>0.85*(Y96-Y95)+(1-0.85)*BB95</f>
        <v>3.459717121740669</v>
      </c>
      <c r="BC96" s="5">
        <f>Y96+AY96</f>
        <v>110.49498164353237</v>
      </c>
      <c r="BD96" s="5">
        <f>Y96+AZ96</f>
        <v>110.80844686407254</v>
      </c>
      <c r="BE96" s="5">
        <f>Y96+BA96</f>
        <v>112.60522263750296</v>
      </c>
      <c r="BF96" s="5">
        <f>Y96+BB96</f>
        <v>117.10535791520435</v>
      </c>
      <c r="BG96" s="5">
        <f t="shared" si="33"/>
        <v>17.482496356467635</v>
      </c>
      <c r="BH96" s="5">
        <f t="shared" si="34"/>
        <v>17.169031135927469</v>
      </c>
      <c r="BI96" s="5">
        <f t="shared" si="35"/>
        <v>15.372255362497043</v>
      </c>
      <c r="BJ96" s="5">
        <f t="shared" si="36"/>
        <v>10.872120084795654</v>
      </c>
    </row>
    <row r="97" spans="13:62" x14ac:dyDescent="0.35">
      <c r="M97" s="2">
        <v>95</v>
      </c>
      <c r="N97" s="3">
        <v>43916</v>
      </c>
      <c r="O97" s="1">
        <v>63.687393</v>
      </c>
      <c r="P97" s="1">
        <v>135.627487</v>
      </c>
      <c r="R97" s="5">
        <f t="shared" si="26"/>
        <v>62.117692652385045</v>
      </c>
      <c r="S97" s="5">
        <f t="shared" si="27"/>
        <v>59.668624175619485</v>
      </c>
      <c r="T97" s="5">
        <f t="shared" si="28"/>
        <v>59.820681879040322</v>
      </c>
      <c r="U97" s="5">
        <f t="shared" si="29"/>
        <v>60.275097847818927</v>
      </c>
      <c r="V97" s="5"/>
      <c r="W97" s="5">
        <f>0.15*P96+(1-0.15)*W96</f>
        <v>128.77995105294892</v>
      </c>
      <c r="X97" s="5">
        <f>0.35*P96+(1-0.35)*X96</f>
        <v>120.03576159624649</v>
      </c>
      <c r="Y97" s="5">
        <f>0.55*P96+(1-0.55)*Y96</f>
        <v>121.52815125705865</v>
      </c>
      <c r="Z97" s="5">
        <f>0.75*P96+(1-0.75)*Z96</f>
        <v>124.67179063784982</v>
      </c>
      <c r="AB97" s="5">
        <f t="shared" si="19"/>
        <v>2.4646955601008109</v>
      </c>
      <c r="AC97" s="5">
        <f t="shared" si="20"/>
        <v>6.310148107931683</v>
      </c>
      <c r="AD97" s="5">
        <f t="shared" si="21"/>
        <v>6.0713917446105512</v>
      </c>
      <c r="AE97" s="5">
        <f t="shared" si="22"/>
        <v>5.3578816645565528</v>
      </c>
      <c r="AG97" s="5">
        <f>ABS((P97-W97)/P97)*100</f>
        <v>5.0487818498407222</v>
      </c>
      <c r="AH97" s="5">
        <f>ABS((P97-X97)/P97)*100</f>
        <v>11.495992256904024</v>
      </c>
      <c r="AI97" s="5">
        <f>ABS((P97-Y97)/P97)*100</f>
        <v>10.395632961142566</v>
      </c>
      <c r="AJ97" s="5">
        <f>ABS((P97-Z97)/P97)*100</f>
        <v>8.0777846766048071</v>
      </c>
      <c r="AL97" s="5">
        <f>0.15*(T97-T96)+(1-0.15)*AL96</f>
        <v>-0.47375847200235283</v>
      </c>
      <c r="AM97" s="5">
        <f>0.25*(T97-T96)+(1-0.25)*AM96</f>
        <v>-0.17544946143791929</v>
      </c>
      <c r="AN97" s="5">
        <f>0.45*(T97-T96)+(1-0.45)*AN96</f>
        <v>0.43455664133882771</v>
      </c>
      <c r="AO97" s="5">
        <f>0.85*(T97-T96)+(1-0.85)*AO96</f>
        <v>0.95733930979745119</v>
      </c>
      <c r="AP97" s="5">
        <f>T97+AL97</f>
        <v>59.34692340703797</v>
      </c>
      <c r="AQ97" s="5">
        <f t="shared" si="23"/>
        <v>59.645232417602401</v>
      </c>
      <c r="AR97" s="5">
        <f t="shared" si="24"/>
        <v>60.255238520379152</v>
      </c>
      <c r="AS97" s="5">
        <f t="shared" si="25"/>
        <v>60.778021188837776</v>
      </c>
      <c r="AT97" s="5">
        <f t="shared" si="30"/>
        <v>4.3404695929620303</v>
      </c>
      <c r="AU97" s="5">
        <f t="shared" si="31"/>
        <v>75.982254582397601</v>
      </c>
      <c r="AV97" s="5">
        <f t="shared" si="32"/>
        <v>60.255238520379152</v>
      </c>
      <c r="AW97" s="5">
        <f t="shared" si="32"/>
        <v>1.3396714635472691</v>
      </c>
      <c r="AY97" s="5">
        <f>0.15*(Y97-Y96)+(1-0.15)*AY96</f>
        <v>-1.4956837079023693</v>
      </c>
      <c r="AZ97" s="5">
        <f>0.25*(Y97-Y96)+(1-0.25)*AZ96</f>
        <v>-0.15726783114461984</v>
      </c>
      <c r="BA97" s="5">
        <f>0.45*(Y97-Y96)+(1-0.45)*BA96</f>
        <v>2.9748997228393383</v>
      </c>
      <c r="BB97" s="5">
        <f>0.85*(Y97-Y96)+(1-0.85)*BB96</f>
        <v>7.2190914623168236</v>
      </c>
      <c r="BC97" s="5">
        <f>Y97+AY97</f>
        <v>120.03246754915628</v>
      </c>
      <c r="BD97" s="5">
        <f>Y97+AZ97</f>
        <v>121.37088342591403</v>
      </c>
      <c r="BE97" s="5">
        <f>Y97+BA97</f>
        <v>124.50305097989799</v>
      </c>
      <c r="BF97" s="5">
        <f>Y97+BB97</f>
        <v>128.74724271937546</v>
      </c>
      <c r="BG97" s="5">
        <f t="shared" si="33"/>
        <v>15.595019450843722</v>
      </c>
      <c r="BH97" s="5">
        <f t="shared" si="34"/>
        <v>14.256603574085972</v>
      </c>
      <c r="BI97" s="5">
        <f t="shared" si="35"/>
        <v>11.12443602010201</v>
      </c>
      <c r="BJ97" s="5">
        <f t="shared" si="36"/>
        <v>6.8802442806245381</v>
      </c>
    </row>
    <row r="98" spans="13:62" x14ac:dyDescent="0.35">
      <c r="M98" s="2">
        <v>96</v>
      </c>
      <c r="N98" s="3">
        <v>43917</v>
      </c>
      <c r="O98" s="1">
        <v>61.050593999999997</v>
      </c>
      <c r="P98" s="1">
        <v>129.57659899999999</v>
      </c>
      <c r="R98" s="5">
        <f t="shared" si="26"/>
        <v>62.353147704527288</v>
      </c>
      <c r="S98" s="5">
        <f t="shared" si="27"/>
        <v>61.075193264152666</v>
      </c>
      <c r="T98" s="5">
        <f t="shared" si="28"/>
        <v>61.947372995568145</v>
      </c>
      <c r="U98" s="5">
        <f t="shared" si="29"/>
        <v>62.834319211954735</v>
      </c>
      <c r="V98" s="5"/>
      <c r="W98" s="5">
        <f>0.15*P97+(1-0.15)*W97</f>
        <v>129.80708144500659</v>
      </c>
      <c r="X98" s="5">
        <f>0.35*P97+(1-0.35)*X97</f>
        <v>125.49286548756021</v>
      </c>
      <c r="Y98" s="5">
        <f>0.55*P97+(1-0.55)*Y97</f>
        <v>129.28278591567641</v>
      </c>
      <c r="Z98" s="5">
        <f>0.75*P97+(1-0.75)*Z97</f>
        <v>132.88856290946245</v>
      </c>
      <c r="AB98" s="5">
        <f t="shared" si="19"/>
        <v>2.1335643425963906</v>
      </c>
      <c r="AC98" s="5">
        <f t="shared" si="20"/>
        <v>4.0293242933344395E-2</v>
      </c>
      <c r="AD98" s="5">
        <f t="shared" si="21"/>
        <v>1.4689111715573944</v>
      </c>
      <c r="AE98" s="5">
        <f t="shared" si="22"/>
        <v>2.9217163914158455</v>
      </c>
      <c r="AG98" s="5">
        <f>ABS((P98-W98)/P98)*100</f>
        <v>0.1778735101749358</v>
      </c>
      <c r="AH98" s="5">
        <f>ABS((P98-X98)/P98)*100</f>
        <v>3.1515980076308217</v>
      </c>
      <c r="AI98" s="5">
        <f>ABS((P98-Y98)/P98)*100</f>
        <v>0.22674856925637785</v>
      </c>
      <c r="AJ98" s="5">
        <f>ABS((P98-Z98)/P98)*100</f>
        <v>2.5559892256953458</v>
      </c>
      <c r="AL98" s="5">
        <f>0.15*(T98-T97)+(1-0.15)*AL97</f>
        <v>-8.3691033722826436E-2</v>
      </c>
      <c r="AM98" s="5">
        <f>0.25*(T98-T97)+(1-0.25)*AM97</f>
        <v>0.40008568305351633</v>
      </c>
      <c r="AN98" s="5">
        <f>0.45*(T98-T97)+(1-0.45)*AN97</f>
        <v>1.1960171551738756</v>
      </c>
      <c r="AO98" s="5">
        <f>0.85*(T98-T97)+(1-0.85)*AO97</f>
        <v>1.9512883455182672</v>
      </c>
      <c r="AP98" s="5">
        <f>T98+AL98</f>
        <v>61.863681961845316</v>
      </c>
      <c r="AQ98" s="5">
        <f t="shared" si="23"/>
        <v>62.347458678621663</v>
      </c>
      <c r="AR98" s="5">
        <f t="shared" si="24"/>
        <v>63.143390150742022</v>
      </c>
      <c r="AS98" s="5">
        <f t="shared" si="25"/>
        <v>63.898661341086409</v>
      </c>
      <c r="AT98" s="5">
        <f t="shared" si="30"/>
        <v>0.81308796184531928</v>
      </c>
      <c r="AU98" s="5">
        <f t="shared" si="31"/>
        <v>67.229140321378324</v>
      </c>
      <c r="AV98" s="5">
        <f t="shared" si="32"/>
        <v>63.143390150742022</v>
      </c>
      <c r="AW98" s="5">
        <f t="shared" si="32"/>
        <v>1.5455136365591216</v>
      </c>
      <c r="AY98" s="5">
        <f>0.15*(Y98-Y97)+(1-0.15)*AY97</f>
        <v>-0.10813595292434974</v>
      </c>
      <c r="AZ98" s="5">
        <f>0.25*(Y98-Y97)+(1-0.25)*AZ97</f>
        <v>1.8207077912959753</v>
      </c>
      <c r="BA98" s="5">
        <f>0.45*(Y98-Y97)+(1-0.45)*BA97</f>
        <v>5.1257804439396288</v>
      </c>
      <c r="BB98" s="5">
        <f>0.85*(Y98-Y97)+(1-0.85)*BB97</f>
        <v>7.6743031791726199</v>
      </c>
      <c r="BC98" s="5">
        <f>Y98+AY98</f>
        <v>129.17464996275206</v>
      </c>
      <c r="BD98" s="5">
        <f>Y98+AZ98</f>
        <v>131.10349370697239</v>
      </c>
      <c r="BE98" s="5">
        <f>Y98+BA98</f>
        <v>134.40856635961603</v>
      </c>
      <c r="BF98" s="5">
        <f>Y98+BB98</f>
        <v>136.95708909484904</v>
      </c>
      <c r="BG98" s="5">
        <f t="shared" si="33"/>
        <v>0.40194903724793107</v>
      </c>
      <c r="BH98" s="5">
        <f t="shared" si="34"/>
        <v>1.5268947069723993</v>
      </c>
      <c r="BI98" s="5">
        <f t="shared" si="35"/>
        <v>4.8319673596160442</v>
      </c>
      <c r="BJ98" s="5">
        <f t="shared" si="36"/>
        <v>7.3804900948490513</v>
      </c>
    </row>
    <row r="99" spans="13:62" x14ac:dyDescent="0.35">
      <c r="M99" s="2">
        <v>97</v>
      </c>
      <c r="N99" s="3">
        <v>43920</v>
      </c>
      <c r="O99" s="1">
        <v>62.792850000000001</v>
      </c>
      <c r="P99" s="1">
        <v>130.05038500000001</v>
      </c>
      <c r="R99" s="5">
        <f t="shared" si="26"/>
        <v>62.157764648848186</v>
      </c>
      <c r="S99" s="5">
        <f t="shared" si="27"/>
        <v>61.066583521699236</v>
      </c>
      <c r="T99" s="5">
        <f t="shared" si="28"/>
        <v>61.454144548005665</v>
      </c>
      <c r="U99" s="5">
        <f t="shared" si="29"/>
        <v>61.496525302988687</v>
      </c>
      <c r="V99" s="5"/>
      <c r="W99" s="5">
        <f>0.15*P98+(1-0.15)*W98</f>
        <v>129.77250907825558</v>
      </c>
      <c r="X99" s="5">
        <f>0.35*P98+(1-0.35)*X98</f>
        <v>126.92217221691413</v>
      </c>
      <c r="Y99" s="5">
        <f>0.55*P98+(1-0.55)*Y98</f>
        <v>129.44438311205437</v>
      </c>
      <c r="Z99" s="5">
        <f>0.75*P98+(1-0.75)*Z98</f>
        <v>130.40458997736562</v>
      </c>
      <c r="AB99" s="5">
        <f t="shared" si="19"/>
        <v>1.0113975574477274</v>
      </c>
      <c r="AC99" s="5">
        <f t="shared" si="20"/>
        <v>2.7491449716022842</v>
      </c>
      <c r="AD99" s="5">
        <f t="shared" si="21"/>
        <v>2.1319393083676506</v>
      </c>
      <c r="AE99" s="5">
        <f t="shared" si="22"/>
        <v>2.0644463454219943</v>
      </c>
      <c r="AG99" s="5">
        <f>ABS((P99-W99)/P99)*100</f>
        <v>0.21366789628836902</v>
      </c>
      <c r="AH99" s="5">
        <f>ABS((P99-X99)/P99)*100</f>
        <v>2.4053852536352514</v>
      </c>
      <c r="AI99" s="5">
        <f>ABS((P99-Y99)/P99)*100</f>
        <v>0.46597469738027913</v>
      </c>
      <c r="AJ99" s="5">
        <f>ABS((P99-Z99)/P99)*100</f>
        <v>0.27235980682841632</v>
      </c>
      <c r="AL99" s="5">
        <f>0.15*(T99-T98)+(1-0.15)*AL98</f>
        <v>-0.14512164579877443</v>
      </c>
      <c r="AM99" s="5">
        <f>0.25*(T99-T98)+(1-0.25)*AM98</f>
        <v>0.17675715039951734</v>
      </c>
      <c r="AN99" s="5">
        <f>0.45*(T99-T98)+(1-0.45)*AN98</f>
        <v>0.43585663394251573</v>
      </c>
      <c r="AO99" s="5">
        <f>0.85*(T99-T98)+(1-0.85)*AO98</f>
        <v>-0.12655092860036765</v>
      </c>
      <c r="AP99" s="5">
        <f>T99+AL99</f>
        <v>61.309022902206891</v>
      </c>
      <c r="AQ99" s="5">
        <f t="shared" si="23"/>
        <v>61.630901698405182</v>
      </c>
      <c r="AR99" s="5">
        <f t="shared" si="24"/>
        <v>61.890001181948179</v>
      </c>
      <c r="AS99" s="5">
        <f t="shared" si="25"/>
        <v>61.327593619405299</v>
      </c>
      <c r="AT99" s="5">
        <f t="shared" si="30"/>
        <v>1.4838270977931103</v>
      </c>
      <c r="AU99" s="5">
        <f t="shared" si="31"/>
        <v>68.419483301594823</v>
      </c>
      <c r="AV99" s="5">
        <f t="shared" si="32"/>
        <v>61.890001181948179</v>
      </c>
      <c r="AW99" s="5">
        <f t="shared" si="32"/>
        <v>0.83017102944288723</v>
      </c>
      <c r="AY99" s="5">
        <f>0.15*(Y99-Y98)+(1-0.15)*AY98</f>
        <v>-6.7675980529004129E-2</v>
      </c>
      <c r="AZ99" s="5">
        <f>0.25*(Y99-Y98)+(1-0.25)*AZ98</f>
        <v>1.4059301425664701</v>
      </c>
      <c r="BA99" s="5">
        <f>0.45*(Y99-Y98)+(1-0.45)*BA98</f>
        <v>2.8918979825368756</v>
      </c>
      <c r="BB99" s="5">
        <f>0.85*(Y99-Y98)+(1-0.85)*BB98</f>
        <v>1.2885030937971542</v>
      </c>
      <c r="BC99" s="5">
        <f>Y99+AY99</f>
        <v>129.37670713152536</v>
      </c>
      <c r="BD99" s="5">
        <f>Y99+AZ99</f>
        <v>130.85031325462083</v>
      </c>
      <c r="BE99" s="5">
        <f>Y99+BA99</f>
        <v>132.33628109459124</v>
      </c>
      <c r="BF99" s="5">
        <f>Y99+BB99</f>
        <v>130.73288620585151</v>
      </c>
      <c r="BG99" s="5">
        <f t="shared" si="33"/>
        <v>0.67367786847464117</v>
      </c>
      <c r="BH99" s="5">
        <f t="shared" si="34"/>
        <v>0.79992825462082351</v>
      </c>
      <c r="BI99" s="5">
        <f t="shared" si="35"/>
        <v>2.2858960945912372</v>
      </c>
      <c r="BJ99" s="5">
        <f t="shared" si="36"/>
        <v>0.68250120585150853</v>
      </c>
    </row>
    <row r="100" spans="13:62" x14ac:dyDescent="0.35">
      <c r="M100" s="2">
        <v>98</v>
      </c>
      <c r="N100" s="3">
        <v>43921</v>
      </c>
      <c r="O100" s="1">
        <v>62.664707</v>
      </c>
      <c r="P100" s="1">
        <v>132.06407200000001</v>
      </c>
      <c r="R100" s="5">
        <f t="shared" si="26"/>
        <v>62.253027451520957</v>
      </c>
      <c r="S100" s="5">
        <f t="shared" si="27"/>
        <v>61.670776789104501</v>
      </c>
      <c r="T100" s="5">
        <f t="shared" si="28"/>
        <v>62.190432546602551</v>
      </c>
      <c r="U100" s="5">
        <f t="shared" si="29"/>
        <v>62.468768825747176</v>
      </c>
      <c r="V100" s="5"/>
      <c r="W100" s="5">
        <f>0.15*P99+(1-0.15)*W99</f>
        <v>129.81419046651723</v>
      </c>
      <c r="X100" s="5">
        <f>0.35*P99+(1-0.35)*X99</f>
        <v>128.01704669099419</v>
      </c>
      <c r="Y100" s="5">
        <f>0.55*P99+(1-0.55)*Y99</f>
        <v>129.77768415042448</v>
      </c>
      <c r="Z100" s="5">
        <f>0.75*P99+(1-0.75)*Z99</f>
        <v>130.13893624434141</v>
      </c>
      <c r="AB100" s="5">
        <f t="shared" si="19"/>
        <v>0.65695599355318612</v>
      </c>
      <c r="AC100" s="5">
        <f t="shared" si="20"/>
        <v>1.5861084468096198</v>
      </c>
      <c r="AD100" s="5">
        <f t="shared" si="21"/>
        <v>0.75684460376946916</v>
      </c>
      <c r="AE100" s="5">
        <f t="shared" si="22"/>
        <v>0.31267707715097698</v>
      </c>
      <c r="AG100" s="5">
        <f>ABS((P100-W100)/P100)*100</f>
        <v>1.7036287761010263</v>
      </c>
      <c r="AH100" s="5">
        <f>ABS((P100-X100)/P100)*100</f>
        <v>3.0644408034047426</v>
      </c>
      <c r="AI100" s="5">
        <f>ABS((P100-Y100)/P100)*100</f>
        <v>1.7312716584837191</v>
      </c>
      <c r="AJ100" s="5">
        <f>ABS((P100-Z100)/P100)*100</f>
        <v>1.4577286058986589</v>
      </c>
      <c r="AL100" s="5">
        <f>0.15*(T100-T99)+(1-0.15)*AL99</f>
        <v>-1.2910199139425371E-2</v>
      </c>
      <c r="AM100" s="5">
        <f>0.25*(T100-T99)+(1-0.25)*AM99</f>
        <v>0.3166398624488595</v>
      </c>
      <c r="AN100" s="5">
        <f>0.45*(T100-T99)+(1-0.45)*AN99</f>
        <v>0.57105074803698241</v>
      </c>
      <c r="AO100" s="5">
        <f>0.85*(T100-T99)+(1-0.85)*AO99</f>
        <v>0.60686215951729794</v>
      </c>
      <c r="AP100" s="5">
        <f>T100+AL100</f>
        <v>62.177522347463125</v>
      </c>
      <c r="AQ100" s="5">
        <f t="shared" si="23"/>
        <v>62.50707240905141</v>
      </c>
      <c r="AR100" s="5">
        <f t="shared" si="24"/>
        <v>62.761483294639532</v>
      </c>
      <c r="AS100" s="5">
        <f t="shared" si="25"/>
        <v>62.79729470611985</v>
      </c>
      <c r="AT100" s="5">
        <f t="shared" si="30"/>
        <v>0.48718465253687526</v>
      </c>
      <c r="AU100" s="5">
        <f t="shared" si="31"/>
        <v>69.556999590948607</v>
      </c>
      <c r="AV100" s="5">
        <f t="shared" si="32"/>
        <v>62.761483294639532</v>
      </c>
      <c r="AW100" s="5">
        <f t="shared" si="32"/>
        <v>0.54426725459889269</v>
      </c>
      <c r="AY100" s="5">
        <f>0.15*(Y100-Y99)+(1-0.15)*AY99</f>
        <v>-7.5294276941371002E-3</v>
      </c>
      <c r="AZ100" s="5">
        <f>0.25*(Y100-Y99)+(1-0.25)*AZ99</f>
        <v>1.1377728665173799</v>
      </c>
      <c r="BA100" s="5">
        <f>0.45*(Y100-Y99)+(1-0.45)*BA99</f>
        <v>1.740529357661831</v>
      </c>
      <c r="BB100" s="5">
        <f>0.85*(Y100-Y99)+(1-0.85)*BB99</f>
        <v>0.47658134668416607</v>
      </c>
      <c r="BC100" s="5">
        <f>Y100+AY100</f>
        <v>129.77015472273035</v>
      </c>
      <c r="BD100" s="5">
        <f>Y100+AZ100</f>
        <v>130.91545701694184</v>
      </c>
      <c r="BE100" s="5">
        <f>Y100+BA100</f>
        <v>131.51821350808632</v>
      </c>
      <c r="BF100" s="5">
        <f>Y100+BB100</f>
        <v>130.25426549710863</v>
      </c>
      <c r="BG100" s="5">
        <f t="shared" si="33"/>
        <v>2.2939172772696566</v>
      </c>
      <c r="BH100" s="5">
        <f t="shared" si="34"/>
        <v>1.1486149830581667</v>
      </c>
      <c r="BI100" s="5">
        <f t="shared" si="35"/>
        <v>0.54585849191369107</v>
      </c>
      <c r="BJ100" s="5">
        <f t="shared" si="36"/>
        <v>1.8098065028913766</v>
      </c>
    </row>
    <row r="101" spans="13:62" x14ac:dyDescent="0.35">
      <c r="M101" s="2">
        <v>99</v>
      </c>
      <c r="N101" s="3">
        <v>43922</v>
      </c>
      <c r="O101" s="1">
        <v>59.367474000000001</v>
      </c>
      <c r="P101" s="1">
        <v>128.03671299999999</v>
      </c>
      <c r="R101" s="5">
        <f t="shared" si="26"/>
        <v>62.314779383792811</v>
      </c>
      <c r="S101" s="5">
        <f t="shared" si="27"/>
        <v>62.018652362917926</v>
      </c>
      <c r="T101" s="5">
        <f t="shared" si="28"/>
        <v>62.451283495971147</v>
      </c>
      <c r="U101" s="5">
        <f t="shared" si="29"/>
        <v>62.615722456436799</v>
      </c>
      <c r="V101" s="5"/>
      <c r="W101" s="5">
        <f>0.15*P100+(1-0.15)*W100</f>
        <v>130.15167269653966</v>
      </c>
      <c r="X101" s="5">
        <f>0.35*P100+(1-0.35)*X100</f>
        <v>129.43350554914622</v>
      </c>
      <c r="Y101" s="5">
        <f>0.55*P100+(1-0.55)*Y100</f>
        <v>131.03519746769101</v>
      </c>
      <c r="Z101" s="5">
        <f>0.75*P100+(1-0.75)*Z100</f>
        <v>131.58278806108535</v>
      </c>
      <c r="AB101" s="5">
        <f t="shared" si="19"/>
        <v>4.9645120218401226</v>
      </c>
      <c r="AC101" s="5">
        <f t="shared" si="20"/>
        <v>4.4657085509784782</v>
      </c>
      <c r="AD101" s="5">
        <f t="shared" si="21"/>
        <v>5.1944428290331937</v>
      </c>
      <c r="AE101" s="5">
        <f t="shared" si="22"/>
        <v>5.4714277660471087</v>
      </c>
      <c r="AG101" s="5">
        <f>ABS((P101-W101)/P101)*100</f>
        <v>1.6518384820919849</v>
      </c>
      <c r="AH101" s="5">
        <f>ABS((P101-X101)/P101)*100</f>
        <v>1.0909312777704836</v>
      </c>
      <c r="AI101" s="5">
        <f>ABS((P101-Y101)/P101)*100</f>
        <v>2.3418942875322131</v>
      </c>
      <c r="AJ101" s="5">
        <f>ABS((P101-Z101)/P101)*100</f>
        <v>2.7695767705981025</v>
      </c>
      <c r="AL101" s="5">
        <f>0.15*(T101-T100)+(1-0.15)*AL100</f>
        <v>2.8153973136777796E-2</v>
      </c>
      <c r="AM101" s="5">
        <f>0.25*(T101-T100)+(1-0.25)*AM100</f>
        <v>0.30269263417879355</v>
      </c>
      <c r="AN101" s="5">
        <f>0.45*(T101-T100)+(1-0.45)*AN100</f>
        <v>0.43146083863620843</v>
      </c>
      <c r="AO101" s="5">
        <f>0.85*(T101-T100)+(1-0.85)*AO100</f>
        <v>0.31275263089090111</v>
      </c>
      <c r="AP101" s="5">
        <f>T101+AL101</f>
        <v>62.479437469107921</v>
      </c>
      <c r="AQ101" s="5">
        <f t="shared" si="23"/>
        <v>62.753976130149944</v>
      </c>
      <c r="AR101" s="5">
        <f t="shared" si="24"/>
        <v>62.882744334607352</v>
      </c>
      <c r="AS101" s="5">
        <f t="shared" si="25"/>
        <v>62.764036126862045</v>
      </c>
      <c r="AT101" s="5">
        <f t="shared" si="30"/>
        <v>3.1119634691079199</v>
      </c>
      <c r="AU101" s="5">
        <f t="shared" si="31"/>
        <v>65.282736869850055</v>
      </c>
      <c r="AV101" s="5">
        <f t="shared" si="32"/>
        <v>62.882744334607352</v>
      </c>
      <c r="AW101" s="5">
        <f t="shared" si="32"/>
        <v>0.44925674306923469</v>
      </c>
      <c r="AY101" s="5">
        <f>0.15*(Y101-Y100)+(1-0.15)*AY100</f>
        <v>0.18222698404996279</v>
      </c>
      <c r="AZ101" s="5">
        <f>0.25*(Y101-Y100)+(1-0.25)*AZ100</f>
        <v>1.1677079792046672</v>
      </c>
      <c r="BA101" s="5">
        <f>0.45*(Y101-Y100)+(1-0.45)*BA100</f>
        <v>1.5231721394839453</v>
      </c>
      <c r="BB101" s="5">
        <f>0.85*(Y101-Y100)+(1-0.85)*BB100</f>
        <v>1.1403735216791744</v>
      </c>
      <c r="BC101" s="5">
        <f>Y101+AY101</f>
        <v>131.21742445174098</v>
      </c>
      <c r="BD101" s="5">
        <f>Y101+AZ101</f>
        <v>132.20290544689567</v>
      </c>
      <c r="BE101" s="5">
        <f>Y101+BA101</f>
        <v>132.55836960717494</v>
      </c>
      <c r="BF101" s="5">
        <f>Y101+BB101</f>
        <v>132.17557098937019</v>
      </c>
      <c r="BG101" s="5">
        <f t="shared" si="33"/>
        <v>3.18071145174099</v>
      </c>
      <c r="BH101" s="5">
        <f t="shared" si="34"/>
        <v>4.1661924468956784</v>
      </c>
      <c r="BI101" s="5">
        <f t="shared" si="35"/>
        <v>4.5216566071749469</v>
      </c>
      <c r="BJ101" s="5">
        <f t="shared" si="36"/>
        <v>4.1388579893701944</v>
      </c>
    </row>
    <row r="102" spans="13:62" x14ac:dyDescent="0.35">
      <c r="M102" s="2">
        <v>100</v>
      </c>
      <c r="N102" s="3">
        <v>43923</v>
      </c>
      <c r="O102" s="1">
        <v>60.35812</v>
      </c>
      <c r="P102" s="1">
        <v>131.09671</v>
      </c>
      <c r="R102" s="5">
        <f t="shared" si="26"/>
        <v>61.872683576223892</v>
      </c>
      <c r="S102" s="5">
        <f t="shared" si="27"/>
        <v>61.09073993589665</v>
      </c>
      <c r="T102" s="5">
        <f t="shared" si="28"/>
        <v>60.755188273187017</v>
      </c>
      <c r="U102" s="5">
        <f t="shared" si="29"/>
        <v>60.179536114109197</v>
      </c>
      <c r="V102" s="5"/>
      <c r="W102" s="5">
        <f>0.15*P101+(1-0.15)*W101</f>
        <v>129.83442874205869</v>
      </c>
      <c r="X102" s="5">
        <f>0.35*P101+(1-0.35)*X101</f>
        <v>128.94462815694504</v>
      </c>
      <c r="Y102" s="5">
        <f>0.55*P101+(1-0.55)*Y101</f>
        <v>129.38603101046095</v>
      </c>
      <c r="Z102" s="5">
        <f>0.75*P101+(1-0.75)*Z101</f>
        <v>128.92323176527134</v>
      </c>
      <c r="AB102" s="5">
        <f t="shared" si="19"/>
        <v>2.509295478758935</v>
      </c>
      <c r="AC102" s="5">
        <f t="shared" si="20"/>
        <v>1.2137885273707176</v>
      </c>
      <c r="AD102" s="5">
        <f t="shared" si="21"/>
        <v>0.65785394440220635</v>
      </c>
      <c r="AE102" s="5">
        <f t="shared" si="22"/>
        <v>0.29587383750653967</v>
      </c>
      <c r="AG102" s="5">
        <f>ABS((P102-W102)/P102)*100</f>
        <v>0.96286265150461114</v>
      </c>
      <c r="AH102" s="5">
        <f>ABS((P102-X102)/P102)*100</f>
        <v>1.6415986664005209</v>
      </c>
      <c r="AI102" s="5">
        <f>ABS((P102-Y102)/P102)*100</f>
        <v>1.304898490235985</v>
      </c>
      <c r="AJ102" s="5">
        <f>ABS((P102-Z102)/P102)*100</f>
        <v>1.6579197408757722</v>
      </c>
      <c r="AL102" s="5">
        <f>0.15*(T102-T101)+(1-0.15)*AL101</f>
        <v>-0.23048340625135844</v>
      </c>
      <c r="AM102" s="5">
        <f>0.25*(T102-T101)+(1-0.25)*AM101</f>
        <v>-0.19700433006193743</v>
      </c>
      <c r="AN102" s="5">
        <f>0.45*(T102-T101)+(1-0.45)*AN101</f>
        <v>-0.52593938900294401</v>
      </c>
      <c r="AO102" s="5">
        <f>0.85*(T102-T101)+(1-0.85)*AO101</f>
        <v>-1.3947680447328756</v>
      </c>
      <c r="AP102" s="5">
        <f>T102+AL102</f>
        <v>60.524704866935657</v>
      </c>
      <c r="AQ102" s="5">
        <f t="shared" si="23"/>
        <v>60.55818394312508</v>
      </c>
      <c r="AR102" s="5">
        <f t="shared" si="24"/>
        <v>60.229248884184074</v>
      </c>
      <c r="AS102" s="5">
        <f t="shared" si="25"/>
        <v>59.360420228454139</v>
      </c>
      <c r="AT102" s="5">
        <f t="shared" si="30"/>
        <v>0.16658486693565777</v>
      </c>
      <c r="AU102" s="5">
        <f t="shared" si="31"/>
        <v>70.538526056874929</v>
      </c>
      <c r="AV102" s="5">
        <f t="shared" si="32"/>
        <v>60.229248884184074</v>
      </c>
      <c r="AW102" s="5">
        <f t="shared" si="32"/>
        <v>2.5122633477697534</v>
      </c>
      <c r="AY102" s="5">
        <f>0.15*(Y102-Y101)+(1-0.15)*AY101</f>
        <v>-9.2482032142039428E-2</v>
      </c>
      <c r="AZ102" s="5">
        <f>0.25*(Y102-Y101)+(1-0.25)*AZ101</f>
        <v>0.46348937009598734</v>
      </c>
      <c r="BA102" s="5">
        <f>0.45*(Y102-Y101)+(1-0.45)*BA101</f>
        <v>9.56197709626464E-2</v>
      </c>
      <c r="BB102" s="5">
        <f>0.85*(Y102-Y101)+(1-0.85)*BB101</f>
        <v>-1.230735460393668</v>
      </c>
      <c r="BC102" s="5">
        <f>Y102+AY102</f>
        <v>129.29354897831891</v>
      </c>
      <c r="BD102" s="5">
        <f>Y102+AZ102</f>
        <v>129.84952038055695</v>
      </c>
      <c r="BE102" s="5">
        <f>Y102+BA102</f>
        <v>129.48165078142361</v>
      </c>
      <c r="BF102" s="5">
        <f>Y102+BB102</f>
        <v>128.15529555006728</v>
      </c>
      <c r="BG102" s="5">
        <f t="shared" si="33"/>
        <v>1.8031610216810918</v>
      </c>
      <c r="BH102" s="5">
        <f t="shared" si="34"/>
        <v>1.2471896194430485</v>
      </c>
      <c r="BI102" s="5">
        <f t="shared" si="35"/>
        <v>1.6150592185763912</v>
      </c>
      <c r="BJ102" s="5">
        <f t="shared" si="36"/>
        <v>2.9414144499327222</v>
      </c>
    </row>
    <row r="103" spans="13:62" x14ac:dyDescent="0.35">
      <c r="M103" s="2">
        <v>101</v>
      </c>
      <c r="N103" s="3">
        <v>43924</v>
      </c>
      <c r="O103" s="1">
        <v>59.490692000000003</v>
      </c>
      <c r="P103" s="1">
        <v>125.805862</v>
      </c>
      <c r="R103" s="5">
        <f t="shared" si="26"/>
        <v>61.645499039790309</v>
      </c>
      <c r="S103" s="5">
        <f t="shared" si="27"/>
        <v>60.83432295833282</v>
      </c>
      <c r="T103" s="5">
        <f t="shared" si="28"/>
        <v>60.53680072293416</v>
      </c>
      <c r="U103" s="5">
        <f t="shared" si="29"/>
        <v>60.313474028527303</v>
      </c>
      <c r="V103" s="5"/>
      <c r="W103" s="5">
        <f>0.15*P102+(1-0.15)*W102</f>
        <v>130.02377093074989</v>
      </c>
      <c r="X103" s="5">
        <f>0.35*P102+(1-0.35)*X102</f>
        <v>129.69785680201429</v>
      </c>
      <c r="Y103" s="5">
        <f>0.55*P102+(1-0.55)*Y102</f>
        <v>130.32690445470743</v>
      </c>
      <c r="Z103" s="5">
        <f>0.75*P102+(1-0.75)*Z102</f>
        <v>130.55334044131783</v>
      </c>
      <c r="AB103" s="5">
        <f t="shared" si="19"/>
        <v>3.6220910655910781</v>
      </c>
      <c r="AC103" s="5">
        <f t="shared" si="20"/>
        <v>2.2585566130796004</v>
      </c>
      <c r="AD103" s="5">
        <f t="shared" si="21"/>
        <v>1.7584410060890823</v>
      </c>
      <c r="AE103" s="5">
        <f t="shared" si="22"/>
        <v>1.3830432978108571</v>
      </c>
      <c r="AG103" s="5">
        <f>ABS((P103-W103)/P103)*100</f>
        <v>3.3527125554371109</v>
      </c>
      <c r="AH103" s="5">
        <f>ABS((P103-X103)/P103)*100</f>
        <v>3.0936513928216485</v>
      </c>
      <c r="AI103" s="5">
        <f>ABS((P103-Y103)/P103)*100</f>
        <v>3.5936659729794043</v>
      </c>
      <c r="AJ103" s="5">
        <f>ABS((P103-Z103)/P103)*100</f>
        <v>3.7736543956257176</v>
      </c>
      <c r="AL103" s="5">
        <f>0.15*(T103-T102)+(1-0.15)*AL102</f>
        <v>-0.22866902785158313</v>
      </c>
      <c r="AM103" s="5">
        <f>0.25*(T103-T102)+(1-0.25)*AM102</f>
        <v>-0.20235013510966721</v>
      </c>
      <c r="AN103" s="5">
        <f>0.45*(T103-T102)+(1-0.45)*AN102</f>
        <v>-0.38754106156540463</v>
      </c>
      <c r="AO103" s="5">
        <f>0.85*(T103-T102)+(1-0.85)*AO102</f>
        <v>-0.3948446244248594</v>
      </c>
      <c r="AP103" s="5">
        <f>T103+AL103</f>
        <v>60.308131695082579</v>
      </c>
      <c r="AQ103" s="5">
        <f t="shared" si="23"/>
        <v>60.334450587824492</v>
      </c>
      <c r="AR103" s="5">
        <f t="shared" si="24"/>
        <v>60.149259661368752</v>
      </c>
      <c r="AS103" s="5">
        <f t="shared" si="25"/>
        <v>60.141956098509297</v>
      </c>
      <c r="AT103" s="5">
        <f t="shared" si="30"/>
        <v>0.81743969508257663</v>
      </c>
      <c r="AU103" s="5">
        <f t="shared" si="31"/>
        <v>65.471411412175513</v>
      </c>
      <c r="AV103" s="5">
        <f t="shared" si="32"/>
        <v>60.149259661368752</v>
      </c>
      <c r="AW103" s="5">
        <f t="shared" si="32"/>
        <v>1.5035429412810117</v>
      </c>
      <c r="AY103" s="5">
        <f>0.15*(Y103-Y102)+(1-0.15)*AY102</f>
        <v>6.2521289316238127E-2</v>
      </c>
      <c r="AZ103" s="5">
        <f>0.25*(Y103-Y102)+(1-0.25)*AZ102</f>
        <v>0.58283538863360995</v>
      </c>
      <c r="BA103" s="5">
        <f>0.45*(Y103-Y102)+(1-0.45)*BA102</f>
        <v>0.47598392394037048</v>
      </c>
      <c r="BB103" s="5">
        <f>0.85*(Y103-Y102)+(1-0.85)*BB102</f>
        <v>0.61513210855045575</v>
      </c>
      <c r="BC103" s="5">
        <f>Y103+AY103</f>
        <v>130.38942574402367</v>
      </c>
      <c r="BD103" s="5">
        <f>Y103+AZ103</f>
        <v>130.90973984334104</v>
      </c>
      <c r="BE103" s="5">
        <f>Y103+BA103</f>
        <v>130.80288837864779</v>
      </c>
      <c r="BF103" s="5">
        <f>Y103+BB103</f>
        <v>130.94203656325789</v>
      </c>
      <c r="BG103" s="5">
        <f t="shared" si="33"/>
        <v>4.5835637440236638</v>
      </c>
      <c r="BH103" s="5">
        <f t="shared" si="34"/>
        <v>5.1038778433410386</v>
      </c>
      <c r="BI103" s="5">
        <f t="shared" si="35"/>
        <v>4.9970263786477886</v>
      </c>
      <c r="BJ103" s="5">
        <f t="shared" si="36"/>
        <v>5.1361745632578817</v>
      </c>
    </row>
    <row r="104" spans="13:62" x14ac:dyDescent="0.35">
      <c r="M104" s="2">
        <v>102</v>
      </c>
      <c r="N104" s="3">
        <v>43927</v>
      </c>
      <c r="O104" s="1">
        <v>64.680503999999999</v>
      </c>
      <c r="P104" s="1">
        <v>132.27136200000001</v>
      </c>
      <c r="R104" s="5">
        <f t="shared" si="26"/>
        <v>61.322277983821763</v>
      </c>
      <c r="S104" s="5">
        <f t="shared" si="27"/>
        <v>60.364052122916334</v>
      </c>
      <c r="T104" s="5">
        <f t="shared" si="28"/>
        <v>59.961440925320375</v>
      </c>
      <c r="U104" s="5">
        <f t="shared" si="29"/>
        <v>59.696387507131831</v>
      </c>
      <c r="V104" s="5"/>
      <c r="W104" s="5">
        <f>0.15*P103+(1-0.15)*W103</f>
        <v>129.3910845911374</v>
      </c>
      <c r="X104" s="5">
        <f>0.35*P103+(1-0.35)*X103</f>
        <v>128.33565862130928</v>
      </c>
      <c r="Y104" s="5">
        <f>0.55*P103+(1-0.55)*Y103</f>
        <v>127.84033110461834</v>
      </c>
      <c r="Z104" s="5">
        <f>0.75*P103+(1-0.75)*Z103</f>
        <v>126.99273161032946</v>
      </c>
      <c r="AB104" s="5">
        <f t="shared" si="19"/>
        <v>5.192022029046397</v>
      </c>
      <c r="AC104" s="5">
        <f t="shared" si="20"/>
        <v>6.6734975922322208</v>
      </c>
      <c r="AD104" s="5">
        <f t="shared" si="21"/>
        <v>7.2959590337756559</v>
      </c>
      <c r="AE104" s="5">
        <f t="shared" si="22"/>
        <v>7.7057477673151213</v>
      </c>
      <c r="AG104" s="5">
        <f>ABS((P104-W104)/P104)*100</f>
        <v>2.1775517884684747</v>
      </c>
      <c r="AH104" s="5">
        <f>ABS((P104-X104)/P104)*100</f>
        <v>2.9754765651318626</v>
      </c>
      <c r="AI104" s="5">
        <f>ABS((P104-Y104)/P104)*100</f>
        <v>3.3499548416093781</v>
      </c>
      <c r="AJ104" s="5">
        <f>ABS((P104-Z104)/P104)*100</f>
        <v>3.9907583242928673</v>
      </c>
      <c r="AL104" s="5">
        <f>0.15*(T104-T103)+(1-0.15)*AL103</f>
        <v>-0.28067264331591346</v>
      </c>
      <c r="AM104" s="5">
        <f>0.25*(T104-T103)+(1-0.25)*AM103</f>
        <v>-0.29560255073569675</v>
      </c>
      <c r="AN104" s="5">
        <f>0.45*(T104-T103)+(1-0.45)*AN103</f>
        <v>-0.47205949278717607</v>
      </c>
      <c r="AO104" s="5">
        <f>0.85*(T104-T103)+(1-0.85)*AO103</f>
        <v>-0.54828252163544655</v>
      </c>
      <c r="AP104" s="5">
        <f>T104+AL104</f>
        <v>59.680768282004465</v>
      </c>
      <c r="AQ104" s="5">
        <f t="shared" si="23"/>
        <v>59.665838374584681</v>
      </c>
      <c r="AR104" s="5">
        <f t="shared" si="24"/>
        <v>59.4893814325332</v>
      </c>
      <c r="AS104" s="5">
        <f t="shared" si="25"/>
        <v>59.413158403684925</v>
      </c>
      <c r="AT104" s="5">
        <f t="shared" si="30"/>
        <v>4.9997357179955344</v>
      </c>
      <c r="AU104" s="5">
        <f t="shared" si="31"/>
        <v>72.60552362541533</v>
      </c>
      <c r="AV104" s="5">
        <f t="shared" si="32"/>
        <v>59.4893814325332</v>
      </c>
      <c r="AW104" s="5">
        <f t="shared" si="32"/>
        <v>1.9091195801368386</v>
      </c>
      <c r="AY104" s="5">
        <f>0.15*(Y104-Y103)+(1-0.15)*AY103</f>
        <v>-0.31984290659456083</v>
      </c>
      <c r="AZ104" s="5">
        <f>0.25*(Y104-Y103)+(1-0.25)*AZ103</f>
        <v>-0.18451679604706461</v>
      </c>
      <c r="BA104" s="5">
        <f>0.45*(Y104-Y103)+(1-0.45)*BA103</f>
        <v>-0.85716684937288601</v>
      </c>
      <c r="BB104" s="5">
        <f>0.85*(Y104-Y103)+(1-0.85)*BB103</f>
        <v>-2.0213175312931564</v>
      </c>
      <c r="BC104" s="5">
        <f>Y104+AY104</f>
        <v>127.52048819802378</v>
      </c>
      <c r="BD104" s="5">
        <f>Y104+AZ104</f>
        <v>127.65581430857128</v>
      </c>
      <c r="BE104" s="5">
        <f>Y104+BA104</f>
        <v>126.98316425524546</v>
      </c>
      <c r="BF104" s="5">
        <f>Y104+BB104</f>
        <v>125.81901357332519</v>
      </c>
      <c r="BG104" s="5">
        <f t="shared" si="33"/>
        <v>4.7508738019762262</v>
      </c>
      <c r="BH104" s="5">
        <f t="shared" si="34"/>
        <v>4.6155476914287306</v>
      </c>
      <c r="BI104" s="5">
        <f t="shared" si="35"/>
        <v>5.2881977447545552</v>
      </c>
      <c r="BJ104" s="5">
        <f t="shared" si="36"/>
        <v>6.452348426674817</v>
      </c>
    </row>
    <row r="105" spans="13:62" x14ac:dyDescent="0.35">
      <c r="M105" s="2">
        <v>103</v>
      </c>
      <c r="N105" s="3">
        <v>43928</v>
      </c>
      <c r="O105" s="1">
        <v>63.931355000000003</v>
      </c>
      <c r="P105" s="1">
        <v>133.495361</v>
      </c>
      <c r="R105" s="5">
        <f t="shared" si="26"/>
        <v>61.826011886248502</v>
      </c>
      <c r="S105" s="5">
        <f t="shared" si="27"/>
        <v>61.87481027989562</v>
      </c>
      <c r="T105" s="5">
        <f t="shared" si="28"/>
        <v>62.556925616394167</v>
      </c>
      <c r="U105" s="5">
        <f t="shared" si="29"/>
        <v>63.434474876782957</v>
      </c>
      <c r="V105" s="5"/>
      <c r="W105" s="5">
        <f>0.15*P104+(1-0.15)*W104</f>
        <v>129.8231262024668</v>
      </c>
      <c r="X105" s="5">
        <f>0.35*P104+(1-0.35)*X104</f>
        <v>129.71315480385104</v>
      </c>
      <c r="Y105" s="5">
        <f>0.55*P104+(1-0.55)*Y104</f>
        <v>130.27739809707828</v>
      </c>
      <c r="Z105" s="5">
        <f>0.75*P104+(1-0.75)*Z104</f>
        <v>130.95170440258238</v>
      </c>
      <c r="AB105" s="5">
        <f t="shared" si="19"/>
        <v>3.293130755247565</v>
      </c>
      <c r="AC105" s="5">
        <f t="shared" si="20"/>
        <v>3.2168013959728894</v>
      </c>
      <c r="AD105" s="5">
        <f t="shared" si="21"/>
        <v>2.1498517958923848</v>
      </c>
      <c r="AE105" s="5">
        <f t="shared" si="22"/>
        <v>0.77720880969447037</v>
      </c>
      <c r="AG105" s="5">
        <f>ABS((P105-W105)/P105)*100</f>
        <v>2.7508332649351064</v>
      </c>
      <c r="AH105" s="5">
        <f>ABS((P105-X105)/P105)*100</f>
        <v>2.8332117069962921</v>
      </c>
      <c r="AI105" s="5">
        <f>ABS((P105-Y105)/P105)*100</f>
        <v>2.4105428674197347</v>
      </c>
      <c r="AJ105" s="5">
        <f>ABS((P105-Z105)/P105)*100</f>
        <v>1.905426958932021</v>
      </c>
      <c r="AL105" s="5">
        <f>0.15*(T105-T104)+(1-0.15)*AL104</f>
        <v>0.15075095684254247</v>
      </c>
      <c r="AM105" s="5">
        <f>0.25*(T105-T104)+(1-0.25)*AM104</f>
        <v>0.42716925971667563</v>
      </c>
      <c r="AN105" s="5">
        <f>0.45*(T105-T104)+(1-0.45)*AN104</f>
        <v>0.90833538995025986</v>
      </c>
      <c r="AO105" s="5">
        <f>0.85*(T105-T104)+(1-0.85)*AO104</f>
        <v>2.1239196091674071</v>
      </c>
      <c r="AP105" s="5">
        <f>T105+AL105</f>
        <v>62.707676573236711</v>
      </c>
      <c r="AQ105" s="5">
        <f t="shared" si="23"/>
        <v>62.984094876110845</v>
      </c>
      <c r="AR105" s="5">
        <f t="shared" si="24"/>
        <v>63.465261006344427</v>
      </c>
      <c r="AS105" s="5">
        <f t="shared" si="25"/>
        <v>64.680845225561569</v>
      </c>
      <c r="AT105" s="5">
        <f t="shared" si="30"/>
        <v>1.2236784267632927</v>
      </c>
      <c r="AU105" s="5">
        <f t="shared" si="31"/>
        <v>70.511266123889158</v>
      </c>
      <c r="AV105" s="5">
        <f t="shared" si="32"/>
        <v>63.465261006344427</v>
      </c>
      <c r="AW105" s="5">
        <f t="shared" si="32"/>
        <v>2.8548333393130676</v>
      </c>
      <c r="AY105" s="5">
        <f>0.15*(Y105-Y104)+(1-0.15)*AY104</f>
        <v>9.3693578263613186E-2</v>
      </c>
      <c r="AZ105" s="5">
        <f>0.25*(Y105-Y104)+(1-0.25)*AZ104</f>
        <v>0.4708791510796847</v>
      </c>
      <c r="BA105" s="5">
        <f>0.45*(Y105-Y104)+(1-0.45)*BA104</f>
        <v>0.62523837945188243</v>
      </c>
      <c r="BB105" s="5">
        <f>0.85*(Y105-Y104)+(1-0.85)*BB104</f>
        <v>1.768309313896969</v>
      </c>
      <c r="BC105" s="5">
        <f>Y105+AY105</f>
        <v>130.37109167534189</v>
      </c>
      <c r="BD105" s="5">
        <f>Y105+AZ105</f>
        <v>130.74827724815796</v>
      </c>
      <c r="BE105" s="5">
        <f>Y105+BA105</f>
        <v>130.90263647653015</v>
      </c>
      <c r="BF105" s="5">
        <f>Y105+BB105</f>
        <v>132.04570741097524</v>
      </c>
      <c r="BG105" s="5">
        <f t="shared" si="33"/>
        <v>3.1242693246581155</v>
      </c>
      <c r="BH105" s="5">
        <f t="shared" si="34"/>
        <v>2.747083751842041</v>
      </c>
      <c r="BI105" s="5">
        <f t="shared" si="35"/>
        <v>2.5927245234698546</v>
      </c>
      <c r="BJ105" s="5">
        <f t="shared" si="36"/>
        <v>1.4496535890247628</v>
      </c>
    </row>
    <row r="106" spans="13:62" x14ac:dyDescent="0.35">
      <c r="M106" s="2">
        <v>104</v>
      </c>
      <c r="N106" s="3">
        <v>43929</v>
      </c>
      <c r="O106" s="1">
        <v>65.567656999999997</v>
      </c>
      <c r="P106" s="1">
        <v>137.453644</v>
      </c>
      <c r="R106" s="5">
        <f t="shared" si="26"/>
        <v>62.141813353311221</v>
      </c>
      <c r="S106" s="5">
        <f t="shared" si="27"/>
        <v>62.594600931932156</v>
      </c>
      <c r="T106" s="5">
        <f t="shared" si="28"/>
        <v>63.312861777377378</v>
      </c>
      <c r="U106" s="5">
        <f t="shared" si="29"/>
        <v>63.807134969195744</v>
      </c>
      <c r="V106" s="5"/>
      <c r="W106" s="5">
        <f>0.15*P105+(1-0.15)*W105</f>
        <v>130.37396142209678</v>
      </c>
      <c r="X106" s="5">
        <f>0.35*P105+(1-0.35)*X105</f>
        <v>131.03692697250318</v>
      </c>
      <c r="Y106" s="5">
        <f>0.55*P105+(1-0.55)*Y105</f>
        <v>132.04727769368523</v>
      </c>
      <c r="Z106" s="5">
        <f>0.75*P105+(1-0.75)*Z105</f>
        <v>132.85944685064561</v>
      </c>
      <c r="AB106" s="5">
        <f t="shared" si="19"/>
        <v>5.2248986824232198</v>
      </c>
      <c r="AC106" s="5">
        <f t="shared" si="20"/>
        <v>4.534333243092461</v>
      </c>
      <c r="AD106" s="5">
        <f t="shared" si="21"/>
        <v>3.4388833241709689</v>
      </c>
      <c r="AE106" s="5">
        <f t="shared" si="22"/>
        <v>2.6850464258685549</v>
      </c>
      <c r="AG106" s="5">
        <f>ABS((P106-W106)/P106)*100</f>
        <v>5.1505965006669552</v>
      </c>
      <c r="AH106" s="5">
        <f>ABS((P106-X106)/P106)*100</f>
        <v>4.6682771302133075</v>
      </c>
      <c r="AI106" s="5">
        <f>ABS((P106-Y106)/P106)*100</f>
        <v>3.9332287955310705</v>
      </c>
      <c r="AJ106" s="5">
        <f>ABS((P106-Z106)/P106)*100</f>
        <v>3.3423611158350859</v>
      </c>
      <c r="AL106" s="5">
        <f>0.15*(T106-T105)+(1-0.15)*AL105</f>
        <v>0.24152873746364273</v>
      </c>
      <c r="AM106" s="5">
        <f>0.25*(T106-T105)+(1-0.25)*AM105</f>
        <v>0.5093609850333094</v>
      </c>
      <c r="AN106" s="5">
        <f>0.45*(T106-T105)+(1-0.45)*AN105</f>
        <v>0.83975573691508787</v>
      </c>
      <c r="AO106" s="5">
        <f>0.85*(T106-T105)+(1-0.85)*AO105</f>
        <v>0.96113367821084039</v>
      </c>
      <c r="AP106" s="5">
        <f>T106+AL106</f>
        <v>63.554390514841018</v>
      </c>
      <c r="AQ106" s="5">
        <f t="shared" si="23"/>
        <v>63.822222762410689</v>
      </c>
      <c r="AR106" s="5">
        <f t="shared" si="24"/>
        <v>64.152617514292473</v>
      </c>
      <c r="AS106" s="5">
        <f t="shared" si="25"/>
        <v>64.273995455588221</v>
      </c>
      <c r="AT106" s="5">
        <f t="shared" si="30"/>
        <v>2.0132664851589794</v>
      </c>
      <c r="AU106" s="5">
        <f t="shared" si="31"/>
        <v>73.631421237589308</v>
      </c>
      <c r="AV106" s="5">
        <f t="shared" si="32"/>
        <v>64.152617514292473</v>
      </c>
      <c r="AW106" s="5">
        <f t="shared" si="32"/>
        <v>2.1321821022769996</v>
      </c>
      <c r="AY106" s="5">
        <f>0.15*(Y106-Y105)+(1-0.15)*AY105</f>
        <v>0.34512148101511453</v>
      </c>
      <c r="AZ106" s="5">
        <f>0.25*(Y106-Y105)+(1-0.25)*AZ105</f>
        <v>0.79562926246150234</v>
      </c>
      <c r="BA106" s="5">
        <f>0.45*(Y106-Y105)+(1-0.45)*BA105</f>
        <v>1.1403269271716652</v>
      </c>
      <c r="BB106" s="5">
        <f>0.85*(Y106-Y105)+(1-0.85)*BB105</f>
        <v>1.7696440542004575</v>
      </c>
      <c r="BC106" s="5">
        <f>Y106+AY106</f>
        <v>132.39239917470036</v>
      </c>
      <c r="BD106" s="5">
        <f>Y106+AZ106</f>
        <v>132.84290695614672</v>
      </c>
      <c r="BE106" s="5">
        <f>Y106+BA106</f>
        <v>133.18760462085689</v>
      </c>
      <c r="BF106" s="5">
        <f>Y106+BB106</f>
        <v>133.81692174788569</v>
      </c>
      <c r="BG106" s="5">
        <f t="shared" si="33"/>
        <v>5.0612448252996387</v>
      </c>
      <c r="BH106" s="5">
        <f t="shared" si="34"/>
        <v>4.6107370438532769</v>
      </c>
      <c r="BI106" s="5">
        <f t="shared" si="35"/>
        <v>4.266039379143109</v>
      </c>
      <c r="BJ106" s="5">
        <f t="shared" si="36"/>
        <v>3.6367222521143105</v>
      </c>
    </row>
    <row r="107" spans="13:62" x14ac:dyDescent="0.35">
      <c r="M107" s="2">
        <v>105</v>
      </c>
      <c r="N107" s="3">
        <v>43930</v>
      </c>
      <c r="O107" s="1">
        <v>66.040801999999999</v>
      </c>
      <c r="P107" s="1">
        <v>141.579712</v>
      </c>
      <c r="R107" s="5">
        <f t="shared" si="26"/>
        <v>62.655689900314535</v>
      </c>
      <c r="S107" s="5">
        <f t="shared" si="27"/>
        <v>63.635170555755899</v>
      </c>
      <c r="T107" s="5">
        <f t="shared" si="28"/>
        <v>64.552999149819811</v>
      </c>
      <c r="U107" s="5">
        <f t="shared" si="29"/>
        <v>65.127526492298927</v>
      </c>
      <c r="V107" s="5"/>
      <c r="W107" s="5">
        <f>0.15*P106+(1-0.15)*W106</f>
        <v>131.43591380878226</v>
      </c>
      <c r="X107" s="5">
        <f>0.35*P106+(1-0.35)*X106</f>
        <v>133.28277793212709</v>
      </c>
      <c r="Y107" s="5">
        <f>0.55*P106+(1-0.55)*Y106</f>
        <v>135.02077916215836</v>
      </c>
      <c r="Z107" s="5">
        <f>0.75*P106+(1-0.75)*Z106</f>
        <v>136.3050947126614</v>
      </c>
      <c r="AB107" s="5">
        <f t="shared" si="19"/>
        <v>5.1257889019661889</v>
      </c>
      <c r="AC107" s="5">
        <f t="shared" si="20"/>
        <v>3.642644200844352</v>
      </c>
      <c r="AD107" s="5">
        <f t="shared" si="21"/>
        <v>2.2528540010464861</v>
      </c>
      <c r="AE107" s="5">
        <f t="shared" si="22"/>
        <v>1.382895846269512</v>
      </c>
      <c r="AG107" s="5">
        <f>ABS((P107-W107)/P107)*100</f>
        <v>7.1647258268315595</v>
      </c>
      <c r="AH107" s="5">
        <f>ABS((P107-X107)/P107)*100</f>
        <v>5.8602563535889312</v>
      </c>
      <c r="AI107" s="5">
        <f>ABS((P107-Y107)/P107)*100</f>
        <v>4.6326784715041933</v>
      </c>
      <c r="AJ107" s="5">
        <f>ABS((P107-Z107)/P107)*100</f>
        <v>3.7255459930152988</v>
      </c>
      <c r="AL107" s="5">
        <f>0.15*(T107-T106)+(1-0.15)*AL106</f>
        <v>0.39132003271046129</v>
      </c>
      <c r="AM107" s="5">
        <f>0.25*(T107-T106)+(1-0.25)*AM106</f>
        <v>0.6920550818855904</v>
      </c>
      <c r="AN107" s="5">
        <f>0.45*(T107-T106)+(1-0.45)*AN106</f>
        <v>1.0199274729023933</v>
      </c>
      <c r="AO107" s="5">
        <f>0.85*(T107-T106)+(1-0.85)*AO106</f>
        <v>1.1982868183076942</v>
      </c>
      <c r="AP107" s="5">
        <f>T107+AL107</f>
        <v>64.944319182530279</v>
      </c>
      <c r="AQ107" s="5">
        <f t="shared" si="23"/>
        <v>65.245054231705396</v>
      </c>
      <c r="AR107" s="5">
        <f t="shared" si="24"/>
        <v>65.572926622722207</v>
      </c>
      <c r="AS107" s="5">
        <f t="shared" si="25"/>
        <v>65.751285968127505</v>
      </c>
      <c r="AT107" s="5">
        <f t="shared" si="30"/>
        <v>1.0964828174697203</v>
      </c>
      <c r="AU107" s="5">
        <f t="shared" si="31"/>
        <v>76.334657768294605</v>
      </c>
      <c r="AV107" s="5">
        <f t="shared" si="32"/>
        <v>65.572926622722207</v>
      </c>
      <c r="AW107" s="5">
        <f t="shared" si="32"/>
        <v>3.0955960678129699</v>
      </c>
      <c r="AY107" s="5">
        <f>0.15*(Y107-Y106)+(1-0.15)*AY106</f>
        <v>0.73937847913381693</v>
      </c>
      <c r="AZ107" s="5">
        <f>0.25*(Y107-Y106)+(1-0.25)*AZ106</f>
        <v>1.3400973139644097</v>
      </c>
      <c r="BA107" s="5">
        <f>0.45*(Y107-Y106)+(1-0.45)*BA106</f>
        <v>1.9652554707573249</v>
      </c>
      <c r="BB107" s="5">
        <f>0.85*(Y107-Y106)+(1-0.85)*BB106</f>
        <v>2.7929228563322304</v>
      </c>
      <c r="BC107" s="5">
        <f>Y107+AY107</f>
        <v>135.76015764129218</v>
      </c>
      <c r="BD107" s="5">
        <f>Y107+AZ107</f>
        <v>136.36087647612277</v>
      </c>
      <c r="BE107" s="5">
        <f>Y107+BA107</f>
        <v>136.98603463291568</v>
      </c>
      <c r="BF107" s="5">
        <f>Y107+BB107</f>
        <v>137.8137020184906</v>
      </c>
      <c r="BG107" s="5">
        <f t="shared" si="33"/>
        <v>5.8195543587078191</v>
      </c>
      <c r="BH107" s="5">
        <f t="shared" si="34"/>
        <v>5.2188355238772317</v>
      </c>
      <c r="BI107" s="5">
        <f t="shared" si="35"/>
        <v>4.5936773670843252</v>
      </c>
      <c r="BJ107" s="5">
        <f t="shared" si="36"/>
        <v>3.7660099815093986</v>
      </c>
    </row>
    <row r="108" spans="13:62" x14ac:dyDescent="0.35">
      <c r="M108" s="2">
        <v>106</v>
      </c>
      <c r="N108" s="3">
        <v>43934</v>
      </c>
      <c r="O108" s="1">
        <v>67.337029000000001</v>
      </c>
      <c r="P108" s="1">
        <v>136.160538</v>
      </c>
      <c r="R108" s="5">
        <f t="shared" si="26"/>
        <v>63.163456715267351</v>
      </c>
      <c r="S108" s="5">
        <f t="shared" si="27"/>
        <v>64.477141561241339</v>
      </c>
      <c r="T108" s="5">
        <f t="shared" si="28"/>
        <v>65.371290717418916</v>
      </c>
      <c r="U108" s="5">
        <f t="shared" si="29"/>
        <v>65.812483123074742</v>
      </c>
      <c r="V108" s="5"/>
      <c r="W108" s="5">
        <f>0.15*P107+(1-0.15)*W107</f>
        <v>132.95748353746492</v>
      </c>
      <c r="X108" s="5">
        <f>0.35*P107+(1-0.35)*X107</f>
        <v>136.18670485588262</v>
      </c>
      <c r="Y108" s="5">
        <f>0.55*P107+(1-0.55)*Y107</f>
        <v>138.62819222297128</v>
      </c>
      <c r="Z108" s="5">
        <f>0.75*P107+(1-0.75)*Z107</f>
        <v>140.26105767816534</v>
      </c>
      <c r="AB108" s="5">
        <f t="shared" si="19"/>
        <v>6.1980344941156371</v>
      </c>
      <c r="AC108" s="5">
        <f t="shared" si="20"/>
        <v>4.2471244740522511</v>
      </c>
      <c r="AD108" s="5">
        <f t="shared" si="21"/>
        <v>2.9192530644336649</v>
      </c>
      <c r="AE108" s="5">
        <f t="shared" si="22"/>
        <v>2.2640527798238015</v>
      </c>
      <c r="AG108" s="5">
        <f>ABS((P108-W108)/P108)*100</f>
        <v>2.3524102574676067</v>
      </c>
      <c r="AH108" s="5">
        <f>ABS((P108-X108)/P108)*100</f>
        <v>1.9217650184829304E-2</v>
      </c>
      <c r="AI108" s="5">
        <f>ABS((P108-Y108)/P108)*100</f>
        <v>1.8123123330867543</v>
      </c>
      <c r="AJ108" s="5">
        <f>ABS((P108-Z108)/P108)*100</f>
        <v>3.0115331052564884</v>
      </c>
      <c r="AL108" s="5">
        <f>0.15*(T108-T107)+(1-0.15)*AL107</f>
        <v>0.45536576294375769</v>
      </c>
      <c r="AM108" s="5">
        <f>0.25*(T108-T107)+(1-0.25)*AM107</f>
        <v>0.72361420331396875</v>
      </c>
      <c r="AN108" s="5">
        <f>0.45*(T108-T107)+(1-0.45)*AN107</f>
        <v>0.92919131551591305</v>
      </c>
      <c r="AO108" s="5">
        <f>0.85*(T108-T107)+(1-0.85)*AO107</f>
        <v>0.87529085520539263</v>
      </c>
      <c r="AP108" s="5">
        <f>T108+AL108</f>
        <v>65.826656480362672</v>
      </c>
      <c r="AQ108" s="5">
        <f t="shared" si="23"/>
        <v>66.094904920732887</v>
      </c>
      <c r="AR108" s="5">
        <f t="shared" si="24"/>
        <v>66.300482032934823</v>
      </c>
      <c r="AS108" s="5">
        <f t="shared" si="25"/>
        <v>66.246581572624308</v>
      </c>
      <c r="AT108" s="5">
        <f t="shared" si="30"/>
        <v>1.510372519637329</v>
      </c>
      <c r="AU108" s="5">
        <f t="shared" si="31"/>
        <v>70.065633079267116</v>
      </c>
      <c r="AV108" s="5">
        <f t="shared" si="32"/>
        <v>66.300482032934823</v>
      </c>
      <c r="AW108" s="5">
        <f t="shared" si="32"/>
        <v>3.0831248573569567</v>
      </c>
      <c r="AY108" s="5">
        <f>0.15*(Y108-Y107)+(1-0.15)*AY107</f>
        <v>1.1695836663856818</v>
      </c>
      <c r="AZ108" s="5">
        <f>0.25*(Y108-Y107)+(1-0.25)*AZ107</f>
        <v>1.9069262506765363</v>
      </c>
      <c r="BA108" s="5">
        <f>0.45*(Y108-Y107)+(1-0.45)*BA107</f>
        <v>2.7042263862823415</v>
      </c>
      <c r="BB108" s="5">
        <f>0.85*(Y108-Y107)+(1-0.85)*BB107</f>
        <v>3.4852395301408134</v>
      </c>
      <c r="BC108" s="5">
        <f>Y108+AY108</f>
        <v>139.79777588935696</v>
      </c>
      <c r="BD108" s="5">
        <f>Y108+AZ108</f>
        <v>140.53511847364783</v>
      </c>
      <c r="BE108" s="5">
        <f>Y108+BA108</f>
        <v>141.33241860925361</v>
      </c>
      <c r="BF108" s="5">
        <f>Y108+BB108</f>
        <v>142.11343175311208</v>
      </c>
      <c r="BG108" s="5">
        <f t="shared" si="33"/>
        <v>3.6372378893569532</v>
      </c>
      <c r="BH108" s="5">
        <f t="shared" si="34"/>
        <v>4.3745804736478249</v>
      </c>
      <c r="BI108" s="5">
        <f t="shared" si="35"/>
        <v>5.1718806092536056</v>
      </c>
      <c r="BJ108" s="5">
        <f t="shared" si="36"/>
        <v>5.9528937531120789</v>
      </c>
    </row>
    <row r="109" spans="13:62" x14ac:dyDescent="0.35">
      <c r="M109" s="2">
        <v>107</v>
      </c>
      <c r="N109" s="3">
        <v>43935</v>
      </c>
      <c r="O109" s="1">
        <v>70.737755000000007</v>
      </c>
      <c r="P109" s="1">
        <v>138.77633700000001</v>
      </c>
      <c r="R109" s="5">
        <f t="shared" si="26"/>
        <v>63.78949255797724</v>
      </c>
      <c r="S109" s="5">
        <f t="shared" si="27"/>
        <v>65.47810216480687</v>
      </c>
      <c r="T109" s="5">
        <f t="shared" si="28"/>
        <v>66.452446772838513</v>
      </c>
      <c r="U109" s="5">
        <f t="shared" si="29"/>
        <v>66.955892530768693</v>
      </c>
      <c r="V109" s="5"/>
      <c r="W109" s="5">
        <f>0.15*P108+(1-0.15)*W108</f>
        <v>133.43794170684518</v>
      </c>
      <c r="X109" s="5">
        <f>0.35*P108+(1-0.35)*X108</f>
        <v>136.17754645632371</v>
      </c>
      <c r="Y109" s="5">
        <f>0.55*P108+(1-0.55)*Y108</f>
        <v>137.27098240033706</v>
      </c>
      <c r="Z109" s="5">
        <f>0.75*P108+(1-0.75)*Z108</f>
        <v>137.18566791954134</v>
      </c>
      <c r="AB109" s="5">
        <f t="shared" si="19"/>
        <v>9.8225656751797761</v>
      </c>
      <c r="AC109" s="5">
        <f t="shared" si="20"/>
        <v>7.4354251632570705</v>
      </c>
      <c r="AD109" s="5">
        <f t="shared" si="21"/>
        <v>6.0580212464496412</v>
      </c>
      <c r="AE109" s="5">
        <f t="shared" si="22"/>
        <v>5.3463139581278956</v>
      </c>
      <c r="AG109" s="5">
        <f>ABS((P109-W109)/P109)*100</f>
        <v>3.8467619253812932</v>
      </c>
      <c r="AH109" s="5">
        <f>ABS((P109-X109)/P109)*100</f>
        <v>1.8726467349230447</v>
      </c>
      <c r="AI109" s="5">
        <f>ABS((P109-Y109)/P109)*100</f>
        <v>1.084734351839068</v>
      </c>
      <c r="AJ109" s="5">
        <f>ABS((P109-Z109)/P109)*100</f>
        <v>1.1462105967378771</v>
      </c>
      <c r="AL109" s="5">
        <f>0.15*(T109-T108)+(1-0.15)*AL108</f>
        <v>0.54923430681513374</v>
      </c>
      <c r="AM109" s="5">
        <f>0.25*(T109-T108)+(1-0.25)*AM108</f>
        <v>0.81299966634037601</v>
      </c>
      <c r="AN109" s="5">
        <f>0.45*(T109-T108)+(1-0.45)*AN108</f>
        <v>0.99757544847257118</v>
      </c>
      <c r="AO109" s="5">
        <f>0.85*(T109-T108)+(1-0.85)*AO108</f>
        <v>1.050276275387467</v>
      </c>
      <c r="AP109" s="5">
        <f>T109+AL109</f>
        <v>67.00168107965365</v>
      </c>
      <c r="AQ109" s="5">
        <f t="shared" si="23"/>
        <v>67.265446439178888</v>
      </c>
      <c r="AR109" s="5">
        <f t="shared" si="24"/>
        <v>67.450022221311087</v>
      </c>
      <c r="AS109" s="5">
        <f t="shared" si="25"/>
        <v>67.502723048225974</v>
      </c>
      <c r="AT109" s="5">
        <f t="shared" si="30"/>
        <v>3.7360739203463567</v>
      </c>
      <c r="AU109" s="5">
        <f t="shared" si="31"/>
        <v>71.510890560821124</v>
      </c>
      <c r="AV109" s="5">
        <f t="shared" si="32"/>
        <v>67.450022221311087</v>
      </c>
      <c r="AW109" s="5">
        <f t="shared" si="32"/>
        <v>3.7132304902487334</v>
      </c>
      <c r="AY109" s="5">
        <f>0.15*(Y109-Y108)+(1-0.15)*AY108</f>
        <v>0.7905646430326968</v>
      </c>
      <c r="AZ109" s="5">
        <f>0.25*(Y109-Y108)+(1-0.25)*AZ108</f>
        <v>1.0908922323488479</v>
      </c>
      <c r="BA109" s="5">
        <f>0.45*(Y109-Y108)+(1-0.45)*BA108</f>
        <v>0.87658009226988987</v>
      </c>
      <c r="BB109" s="5">
        <f>0.85*(Y109-Y108)+(1-0.85)*BB108</f>
        <v>-0.63084241971796295</v>
      </c>
      <c r="BC109" s="5">
        <f>Y109+AY109</f>
        <v>138.06154704336976</v>
      </c>
      <c r="BD109" s="5">
        <f>Y109+AZ109</f>
        <v>138.3618746326859</v>
      </c>
      <c r="BE109" s="5">
        <f>Y109+BA109</f>
        <v>138.14756249260694</v>
      </c>
      <c r="BF109" s="5">
        <f>Y109+BB109</f>
        <v>136.6401399806191</v>
      </c>
      <c r="BG109" s="5">
        <f t="shared" si="33"/>
        <v>0.71478995663025557</v>
      </c>
      <c r="BH109" s="5">
        <f t="shared" si="34"/>
        <v>0.41446236731411545</v>
      </c>
      <c r="BI109" s="5">
        <f t="shared" si="35"/>
        <v>0.62877450739307506</v>
      </c>
      <c r="BJ109" s="5">
        <f t="shared" si="36"/>
        <v>2.1361970193809157</v>
      </c>
    </row>
    <row r="110" spans="13:62" x14ac:dyDescent="0.35">
      <c r="M110" s="2">
        <v>108</v>
      </c>
      <c r="N110" s="3">
        <v>43936</v>
      </c>
      <c r="O110" s="1">
        <v>70.092110000000005</v>
      </c>
      <c r="P110" s="1">
        <v>133.100525</v>
      </c>
      <c r="R110" s="5">
        <f t="shared" si="26"/>
        <v>64.831731924280646</v>
      </c>
      <c r="S110" s="5">
        <f t="shared" si="27"/>
        <v>67.31898065712447</v>
      </c>
      <c r="T110" s="5">
        <f t="shared" si="28"/>
        <v>68.809366297777331</v>
      </c>
      <c r="U110" s="5">
        <f t="shared" si="29"/>
        <v>69.792289382692189</v>
      </c>
      <c r="V110" s="5"/>
      <c r="W110" s="5">
        <f>0.15*P109+(1-0.15)*W109</f>
        <v>134.23870100081839</v>
      </c>
      <c r="X110" s="5">
        <f>0.35*P109+(1-0.35)*X109</f>
        <v>137.08712314661042</v>
      </c>
      <c r="Y110" s="5">
        <f>0.55*P109+(1-0.55)*Y109</f>
        <v>138.09892743015169</v>
      </c>
      <c r="Z110" s="5">
        <f>0.75*P109+(1-0.75)*Z109</f>
        <v>138.37866972988536</v>
      </c>
      <c r="AB110" s="5">
        <f t="shared" si="19"/>
        <v>7.5049503798920574</v>
      </c>
      <c r="AC110" s="5">
        <f t="shared" si="20"/>
        <v>3.956407280185366</v>
      </c>
      <c r="AD110" s="5">
        <f t="shared" si="21"/>
        <v>1.8300828755514345</v>
      </c>
      <c r="AE110" s="5">
        <f t="shared" si="22"/>
        <v>0.42775230665450925</v>
      </c>
      <c r="AG110" s="5">
        <f>ABS((P110-W110)/P110)*100</f>
        <v>0.85512510248805573</v>
      </c>
      <c r="AH110" s="5">
        <f>ABS((P110-X110)/P110)*100</f>
        <v>2.995178378605508</v>
      </c>
      <c r="AI110" s="5">
        <f>ABS((P110-Y110)/P110)*100</f>
        <v>3.7553589139875179</v>
      </c>
      <c r="AJ110" s="5">
        <f>ABS((P110-Z110)/P110)*100</f>
        <v>3.9655326152059542</v>
      </c>
      <c r="AL110" s="5">
        <f>0.15*(T110-T109)+(1-0.15)*AL109</f>
        <v>0.82038708953368622</v>
      </c>
      <c r="AM110" s="5">
        <f>0.25*(T110-T109)+(1-0.25)*AM109</f>
        <v>1.1989796309899863</v>
      </c>
      <c r="AN110" s="5">
        <f>0.45*(T110-T109)+(1-0.45)*AN109</f>
        <v>1.609280282882382</v>
      </c>
      <c r="AO110" s="5">
        <f>0.85*(T110-T109)+(1-0.85)*AO109</f>
        <v>2.1609230375061146</v>
      </c>
      <c r="AP110" s="5">
        <f>T110+AL110</f>
        <v>69.629753387311013</v>
      </c>
      <c r="AQ110" s="5">
        <f t="shared" si="23"/>
        <v>70.008345928767312</v>
      </c>
      <c r="AR110" s="5">
        <f t="shared" si="24"/>
        <v>70.418646580659711</v>
      </c>
      <c r="AS110" s="5">
        <f t="shared" si="25"/>
        <v>70.970289335283439</v>
      </c>
      <c r="AT110" s="5">
        <f t="shared" si="30"/>
        <v>0.46235661268899264</v>
      </c>
      <c r="AU110" s="5">
        <f t="shared" si="31"/>
        <v>63.092179071232692</v>
      </c>
      <c r="AV110" s="5">
        <f t="shared" si="32"/>
        <v>70.418646580659711</v>
      </c>
      <c r="AW110" s="5">
        <f t="shared" si="32"/>
        <v>6.1385574110027932</v>
      </c>
      <c r="AY110" s="5">
        <f>0.15*(Y110-Y109)+(1-0.15)*AY109</f>
        <v>0.79617170104998658</v>
      </c>
      <c r="AZ110" s="5">
        <f>0.25*(Y110-Y109)+(1-0.25)*AZ109</f>
        <v>1.0251554317152931</v>
      </c>
      <c r="BA110" s="5">
        <f>0.45*(Y110-Y109)+(1-0.45)*BA109</f>
        <v>0.8546943141650224</v>
      </c>
      <c r="BB110" s="5">
        <f>0.85*(Y110-Y109)+(1-0.85)*BB109</f>
        <v>0.60912691238473993</v>
      </c>
      <c r="BC110" s="5">
        <f>Y110+AY110</f>
        <v>138.89509913120168</v>
      </c>
      <c r="BD110" s="5">
        <f>Y110+AZ110</f>
        <v>139.12408286186698</v>
      </c>
      <c r="BE110" s="5">
        <f>Y110+BA110</f>
        <v>138.95362174431671</v>
      </c>
      <c r="BF110" s="5">
        <f>Y110+BB110</f>
        <v>138.70805434253643</v>
      </c>
      <c r="BG110" s="5">
        <f t="shared" si="33"/>
        <v>5.7945741312016708</v>
      </c>
      <c r="BH110" s="5">
        <f t="shared" si="34"/>
        <v>6.0235578618669763</v>
      </c>
      <c r="BI110" s="5">
        <f t="shared" si="35"/>
        <v>5.8530967443167015</v>
      </c>
      <c r="BJ110" s="5">
        <f t="shared" si="36"/>
        <v>5.6075293425364237</v>
      </c>
    </row>
    <row r="111" spans="13:62" x14ac:dyDescent="0.35">
      <c r="M111" s="2">
        <v>109</v>
      </c>
      <c r="N111" s="3">
        <v>43937</v>
      </c>
      <c r="O111" s="1">
        <v>70.649039999999999</v>
      </c>
      <c r="P111" s="1">
        <v>130.62290999999999</v>
      </c>
      <c r="R111" s="5">
        <f t="shared" si="26"/>
        <v>65.620788635638547</v>
      </c>
      <c r="S111" s="5">
        <f t="shared" si="27"/>
        <v>68.289575927130912</v>
      </c>
      <c r="T111" s="5">
        <f t="shared" si="28"/>
        <v>69.514875333999811</v>
      </c>
      <c r="U111" s="5">
        <f t="shared" si="29"/>
        <v>70.017154845673048</v>
      </c>
      <c r="V111" s="5"/>
      <c r="W111" s="5">
        <f>0.15*P110+(1-0.15)*W110</f>
        <v>134.06797460069563</v>
      </c>
      <c r="X111" s="5">
        <f>0.35*P110+(1-0.35)*X110</f>
        <v>135.69181379529678</v>
      </c>
      <c r="Y111" s="5">
        <f>0.55*P110+(1-0.55)*Y110</f>
        <v>135.34980609356825</v>
      </c>
      <c r="Z111" s="5">
        <f>0.75*P110+(1-0.75)*Z110</f>
        <v>134.42006118247133</v>
      </c>
      <c r="AB111" s="5">
        <f t="shared" si="19"/>
        <v>7.1172253216200136</v>
      </c>
      <c r="AC111" s="5">
        <f t="shared" si="20"/>
        <v>3.339697287987335</v>
      </c>
      <c r="AD111" s="5">
        <f t="shared" si="21"/>
        <v>1.6053504279749429</v>
      </c>
      <c r="AE111" s="5">
        <f t="shared" si="22"/>
        <v>0.89440019896512635</v>
      </c>
      <c r="AG111" s="5">
        <f>ABS((P111-W111)/P111)*100</f>
        <v>2.6374122278363306</v>
      </c>
      <c r="AH111" s="5">
        <f>ABS((P111-X111)/P111)*100</f>
        <v>3.8805626021475033</v>
      </c>
      <c r="AI111" s="5">
        <f>ABS((P111-Y111)/P111)*100</f>
        <v>3.6187343350169257</v>
      </c>
      <c r="AJ111" s="5">
        <f>ABS((P111-Z111)/P111)*100</f>
        <v>2.906956507454427</v>
      </c>
      <c r="AL111" s="5">
        <f>0.15*(T111-T110)+(1-0.15)*AL110</f>
        <v>0.80315538153700528</v>
      </c>
      <c r="AM111" s="5">
        <f>0.25*(T111-T110)+(1-0.25)*AM110</f>
        <v>1.0756119822981098</v>
      </c>
      <c r="AN111" s="5">
        <f>0.45*(T111-T110)+(1-0.45)*AN110</f>
        <v>1.2025832218854262</v>
      </c>
      <c r="AO111" s="5">
        <f>0.85*(T111-T110)+(1-0.85)*AO110</f>
        <v>0.9238211364150255</v>
      </c>
      <c r="AP111" s="5">
        <f>T111+AL111</f>
        <v>70.318030715536821</v>
      </c>
      <c r="AQ111" s="5">
        <f t="shared" si="23"/>
        <v>70.590487316297924</v>
      </c>
      <c r="AR111" s="5">
        <f t="shared" si="24"/>
        <v>70.71745855588523</v>
      </c>
      <c r="AS111" s="5">
        <f t="shared" si="25"/>
        <v>70.43869647041484</v>
      </c>
      <c r="AT111" s="5">
        <f t="shared" si="30"/>
        <v>0.33100928446317823</v>
      </c>
      <c r="AU111" s="5">
        <f t="shared" si="31"/>
        <v>60.032422683702066</v>
      </c>
      <c r="AV111" s="5">
        <f t="shared" si="32"/>
        <v>70.71745855588523</v>
      </c>
      <c r="AW111" s="5">
        <f t="shared" si="32"/>
        <v>4.8179078347762925</v>
      </c>
      <c r="AY111" s="5">
        <f>0.15*(Y111-Y110)+(1-0.15)*AY110</f>
        <v>0.26437774540497222</v>
      </c>
      <c r="AZ111" s="5">
        <f>0.25*(Y111-Y110)+(1-0.25)*AZ110</f>
        <v>8.1586239640609182E-2</v>
      </c>
      <c r="BA111" s="5">
        <f>0.45*(Y111-Y110)+(1-0.45)*BA110</f>
        <v>-0.767022728671787</v>
      </c>
      <c r="BB111" s="5">
        <f>0.85*(Y111-Y110)+(1-0.85)*BB110</f>
        <v>-2.245384099238215</v>
      </c>
      <c r="BC111" s="5">
        <f>Y111+AY111</f>
        <v>135.61418383897322</v>
      </c>
      <c r="BD111" s="5">
        <f>Y111+AZ111</f>
        <v>135.43139233320886</v>
      </c>
      <c r="BE111" s="5">
        <f>Y111+BA111</f>
        <v>134.58278336489647</v>
      </c>
      <c r="BF111" s="5">
        <f>Y111+BB111</f>
        <v>133.10442199433004</v>
      </c>
      <c r="BG111" s="5">
        <f t="shared" si="33"/>
        <v>4.9912738389732283</v>
      </c>
      <c r="BH111" s="5">
        <f t="shared" si="34"/>
        <v>4.8084823332088718</v>
      </c>
      <c r="BI111" s="5">
        <f t="shared" si="35"/>
        <v>3.959873364896481</v>
      </c>
      <c r="BJ111" s="5">
        <f t="shared" si="36"/>
        <v>2.4815119943300488</v>
      </c>
    </row>
    <row r="112" spans="13:62" x14ac:dyDescent="0.35">
      <c r="M112" s="2">
        <v>110</v>
      </c>
      <c r="N112" s="3">
        <v>43938</v>
      </c>
      <c r="O112" s="1">
        <v>69.690421999999998</v>
      </c>
      <c r="P112" s="1">
        <v>136.53564499999999</v>
      </c>
      <c r="R112" s="5">
        <f t="shared" si="26"/>
        <v>66.375026340292763</v>
      </c>
      <c r="S112" s="5">
        <f t="shared" si="27"/>
        <v>69.115388352635094</v>
      </c>
      <c r="T112" s="5">
        <f t="shared" si="28"/>
        <v>70.138665900299912</v>
      </c>
      <c r="U112" s="5">
        <f t="shared" si="29"/>
        <v>70.491068711418251</v>
      </c>
      <c r="V112" s="5"/>
      <c r="W112" s="5">
        <f>0.15*P111+(1-0.15)*W111</f>
        <v>133.55121491059128</v>
      </c>
      <c r="X112" s="5">
        <f>0.35*P111+(1-0.35)*X111</f>
        <v>133.91769746694291</v>
      </c>
      <c r="Y112" s="5">
        <f>0.55*P111+(1-0.55)*Y111</f>
        <v>132.75001324210569</v>
      </c>
      <c r="Z112" s="5">
        <f>0.75*P111+(1-0.75)*Z111</f>
        <v>131.57219779561783</v>
      </c>
      <c r="AB112" s="5">
        <f t="shared" si="19"/>
        <v>4.757318960856967</v>
      </c>
      <c r="AC112" s="5">
        <f t="shared" si="20"/>
        <v>0.82512579327601765</v>
      </c>
      <c r="AD112" s="5">
        <f t="shared" si="21"/>
        <v>0.6431929775083215</v>
      </c>
      <c r="AE112" s="5">
        <f t="shared" si="22"/>
        <v>1.1488619073339126</v>
      </c>
      <c r="AG112" s="5">
        <f>ABS((P112-W112)/P112)*100</f>
        <v>2.1858248733572134</v>
      </c>
      <c r="AH112" s="5">
        <f>ABS((P112-X112)/P112)*100</f>
        <v>1.9174095768596375</v>
      </c>
      <c r="AI112" s="5">
        <f>ABS((P112-Y112)/P112)*100</f>
        <v>2.7726325663121112</v>
      </c>
      <c r="AJ112" s="5">
        <f>ABS((P112-Z112)/P112)*100</f>
        <v>3.635275758489414</v>
      </c>
      <c r="AL112" s="5">
        <f>0.15*(T112-T111)+(1-0.15)*AL111</f>
        <v>0.77625065925146963</v>
      </c>
      <c r="AM112" s="5">
        <f>0.25*(T112-T111)+(1-0.25)*AM111</f>
        <v>0.96265662829860776</v>
      </c>
      <c r="AN112" s="5">
        <f>0.45*(T112-T111)+(1-0.45)*AN111</f>
        <v>0.94212652687203025</v>
      </c>
      <c r="AO112" s="5">
        <f>0.85*(T112-T111)+(1-0.85)*AO111</f>
        <v>0.66879515181734006</v>
      </c>
      <c r="AP112" s="5">
        <f>T112+AL112</f>
        <v>70.914916559551386</v>
      </c>
      <c r="AQ112" s="5">
        <f t="shared" si="23"/>
        <v>71.101322528598516</v>
      </c>
      <c r="AR112" s="5">
        <f t="shared" si="24"/>
        <v>71.080792427171943</v>
      </c>
      <c r="AS112" s="5">
        <f t="shared" si="25"/>
        <v>70.807461052117247</v>
      </c>
      <c r="AT112" s="5">
        <f t="shared" si="30"/>
        <v>1.2244945595513883</v>
      </c>
      <c r="AU112" s="5">
        <f t="shared" si="31"/>
        <v>65.434322471401472</v>
      </c>
      <c r="AV112" s="5">
        <f t="shared" si="32"/>
        <v>71.080792427171943</v>
      </c>
      <c r="AW112" s="5">
        <f t="shared" si="32"/>
        <v>4.4324347118244845</v>
      </c>
      <c r="AY112" s="5">
        <f>0.15*(Y112-Y111)+(1-0.15)*AY111</f>
        <v>-0.16524784412515653</v>
      </c>
      <c r="AZ112" s="5">
        <f>0.25*(Y112-Y111)+(1-0.25)*AZ111</f>
        <v>-0.58875853313518134</v>
      </c>
      <c r="BA112" s="5">
        <f>0.45*(Y112-Y111)+(1-0.45)*BA111</f>
        <v>-1.5917692839276318</v>
      </c>
      <c r="BB112" s="5">
        <f>0.85*(Y112-Y111)+(1-0.85)*BB111</f>
        <v>-2.546631538628902</v>
      </c>
      <c r="BC112" s="5">
        <f>Y112+AY112</f>
        <v>132.58476539798053</v>
      </c>
      <c r="BD112" s="5">
        <f>Y112+AZ112</f>
        <v>132.16125470897052</v>
      </c>
      <c r="BE112" s="5">
        <f>Y112+BA112</f>
        <v>131.15824395817808</v>
      </c>
      <c r="BF112" s="5">
        <f>Y112+BB112</f>
        <v>130.20338170347679</v>
      </c>
      <c r="BG112" s="5">
        <f t="shared" si="33"/>
        <v>3.9508796020194552</v>
      </c>
      <c r="BH112" s="5">
        <f t="shared" si="34"/>
        <v>4.3743902910294707</v>
      </c>
      <c r="BI112" s="5">
        <f t="shared" si="35"/>
        <v>5.377401041821912</v>
      </c>
      <c r="BJ112" s="5">
        <f t="shared" si="36"/>
        <v>6.3322632965231946</v>
      </c>
    </row>
    <row r="113" spans="13:62" x14ac:dyDescent="0.35">
      <c r="M113" s="2">
        <v>111</v>
      </c>
      <c r="N113" s="3">
        <v>43941</v>
      </c>
      <c r="O113" s="1">
        <v>68.243881000000002</v>
      </c>
      <c r="P113" s="1">
        <v>133.949432</v>
      </c>
      <c r="R113" s="5">
        <f t="shared" si="26"/>
        <v>66.872335689248843</v>
      </c>
      <c r="S113" s="5">
        <f t="shared" si="27"/>
        <v>69.316650129212803</v>
      </c>
      <c r="T113" s="5">
        <f t="shared" si="28"/>
        <v>69.892131755134955</v>
      </c>
      <c r="U113" s="5">
        <f t="shared" si="29"/>
        <v>69.890583677854551</v>
      </c>
      <c r="V113" s="5"/>
      <c r="W113" s="5">
        <f>0.15*P112+(1-0.15)*W112</f>
        <v>133.99887942400258</v>
      </c>
      <c r="X113" s="5">
        <f>0.35*P112+(1-0.35)*X112</f>
        <v>134.83397910351289</v>
      </c>
      <c r="Y113" s="5">
        <f>0.55*P112+(1-0.55)*Y112</f>
        <v>134.83211070894757</v>
      </c>
      <c r="Z113" s="5">
        <f>0.75*P112+(1-0.75)*Z112</f>
        <v>135.29478319890444</v>
      </c>
      <c r="AB113" s="5">
        <f t="shared" si="19"/>
        <v>2.0097703862287069</v>
      </c>
      <c r="AC113" s="5">
        <f t="shared" si="20"/>
        <v>1.571963835428412</v>
      </c>
      <c r="AD113" s="5">
        <f t="shared" si="21"/>
        <v>2.4152359610599414</v>
      </c>
      <c r="AE113" s="5">
        <f t="shared" si="22"/>
        <v>2.4129675125811629</v>
      </c>
      <c r="AG113" s="5">
        <f>ABS((P113-W113)/P113)*100</f>
        <v>3.6914993415260999E-2</v>
      </c>
      <c r="AH113" s="5">
        <f>ABS((P113-X113)/P113)*100</f>
        <v>0.66035898047920549</v>
      </c>
      <c r="AI113" s="5">
        <f>ABS((P113-Y113)/P113)*100</f>
        <v>0.65896412979755359</v>
      </c>
      <c r="AJ113" s="5">
        <f>ABS((P113-Z113)/P113)*100</f>
        <v>1.0043724551996895</v>
      </c>
      <c r="AL113" s="5">
        <f>0.15*(T113-T112)+(1-0.15)*AL112</f>
        <v>0.62283293858900557</v>
      </c>
      <c r="AM113" s="5">
        <f>0.25*(T113-T112)+(1-0.25)*AM112</f>
        <v>0.66035893493271636</v>
      </c>
      <c r="AN113" s="5">
        <f>0.45*(T113-T112)+(1-0.45)*AN112</f>
        <v>0.40722922445538567</v>
      </c>
      <c r="AO113" s="5">
        <f>0.85*(T113-T112)+(1-0.85)*AO112</f>
        <v>-0.10923475061761315</v>
      </c>
      <c r="AP113" s="5">
        <f>T113+AL113</f>
        <v>70.514964693723954</v>
      </c>
      <c r="AQ113" s="5">
        <f t="shared" si="23"/>
        <v>70.552490690067671</v>
      </c>
      <c r="AR113" s="5">
        <f t="shared" si="24"/>
        <v>70.299360979590347</v>
      </c>
      <c r="AS113" s="5">
        <f t="shared" si="25"/>
        <v>69.782897004517338</v>
      </c>
      <c r="AT113" s="5">
        <f t="shared" si="30"/>
        <v>2.271083693723952</v>
      </c>
      <c r="AU113" s="5">
        <f t="shared" si="31"/>
        <v>63.39694130993233</v>
      </c>
      <c r="AV113" s="5">
        <f t="shared" si="32"/>
        <v>70.299360979590347</v>
      </c>
      <c r="AW113" s="5">
        <f t="shared" si="32"/>
        <v>2.9105613152684953</v>
      </c>
      <c r="AY113" s="5">
        <f>0.15*(Y113-Y112)+(1-0.15)*AY112</f>
        <v>0.17185395251989785</v>
      </c>
      <c r="AZ113" s="5">
        <f>0.25*(Y113-Y112)+(1-0.25)*AZ112</f>
        <v>7.8955466859082168E-2</v>
      </c>
      <c r="BA113" s="5">
        <f>0.45*(Y113-Y112)+(1-0.45)*BA112</f>
        <v>6.1470753918645205E-2</v>
      </c>
      <c r="BB113" s="5">
        <f>0.85*(Y113-Y112)+(1-0.85)*BB112</f>
        <v>1.3877881160212564</v>
      </c>
      <c r="BC113" s="5">
        <f>Y113+AY113</f>
        <v>135.00396466146748</v>
      </c>
      <c r="BD113" s="5">
        <f>Y113+AZ113</f>
        <v>134.91106617580664</v>
      </c>
      <c r="BE113" s="5">
        <f>Y113+BA113</f>
        <v>134.89358146286622</v>
      </c>
      <c r="BF113" s="5">
        <f>Y113+BB113</f>
        <v>136.21989882496882</v>
      </c>
      <c r="BG113" s="5">
        <f t="shared" si="33"/>
        <v>1.0545326614674764</v>
      </c>
      <c r="BH113" s="5">
        <f t="shared" si="34"/>
        <v>0.9616341758066369</v>
      </c>
      <c r="BI113" s="5">
        <f t="shared" si="35"/>
        <v>0.94414946286622126</v>
      </c>
      <c r="BJ113" s="5">
        <f t="shared" si="36"/>
        <v>2.2704668249688211</v>
      </c>
    </row>
    <row r="114" spans="13:62" x14ac:dyDescent="0.35">
      <c r="M114" s="2">
        <v>112</v>
      </c>
      <c r="N114" s="3">
        <v>43942</v>
      </c>
      <c r="O114" s="1">
        <v>66.134438000000003</v>
      </c>
      <c r="P114" s="1">
        <v>130.29716500000001</v>
      </c>
      <c r="R114" s="5">
        <f t="shared" si="26"/>
        <v>67.07806748586151</v>
      </c>
      <c r="S114" s="5">
        <f t="shared" si="27"/>
        <v>68.941180933988321</v>
      </c>
      <c r="T114" s="5">
        <f t="shared" si="28"/>
        <v>68.985593839810733</v>
      </c>
      <c r="U114" s="5">
        <f t="shared" si="29"/>
        <v>68.655556669463635</v>
      </c>
      <c r="V114" s="5"/>
      <c r="W114" s="5">
        <f>0.15*P113+(1-0.15)*W113</f>
        <v>133.9914623104022</v>
      </c>
      <c r="X114" s="5">
        <f>0.35*P113+(1-0.35)*X113</f>
        <v>134.52438761728337</v>
      </c>
      <c r="Y114" s="5">
        <f>0.55*P113+(1-0.55)*Y113</f>
        <v>134.34663741902639</v>
      </c>
      <c r="Z114" s="5">
        <f>0.75*P113+(1-0.75)*Z113</f>
        <v>134.2857697997261</v>
      </c>
      <c r="AB114" s="5">
        <f t="shared" si="19"/>
        <v>1.42683526827809</v>
      </c>
      <c r="AC114" s="5">
        <f t="shared" si="20"/>
        <v>4.2439960463386983</v>
      </c>
      <c r="AD114" s="5">
        <f t="shared" si="21"/>
        <v>4.3111515362249389</v>
      </c>
      <c r="AE114" s="5">
        <f t="shared" si="22"/>
        <v>3.8121117313548996</v>
      </c>
      <c r="AG114" s="5">
        <f>ABS((P114-W114)/P114)*100</f>
        <v>2.835286025142751</v>
      </c>
      <c r="AH114" s="5">
        <f>ABS((P114-X114)/P114)*100</f>
        <v>3.2442936247180509</v>
      </c>
      <c r="AI114" s="5">
        <f>ABS((P114-Y114)/P114)*100</f>
        <v>3.1078745412660256</v>
      </c>
      <c r="AJ114" s="5">
        <f>ABS((P114-Z114)/P114)*100</f>
        <v>3.0611600795198348</v>
      </c>
      <c r="AL114" s="5">
        <f>0.15*(T114-T113)+(1-0.15)*AL113</f>
        <v>0.39342731050202145</v>
      </c>
      <c r="AM114" s="5">
        <f>0.25*(T114-T113)+(1-0.25)*AM113</f>
        <v>0.26863472236848179</v>
      </c>
      <c r="AN114" s="5">
        <f>0.45*(T114-T113)+(1-0.45)*AN113</f>
        <v>-0.18396598844543774</v>
      </c>
      <c r="AO114" s="5">
        <f>0.85*(T114-T113)+(1-0.85)*AO113</f>
        <v>-0.7869424406182306</v>
      </c>
      <c r="AP114" s="5">
        <f>T114+AL114</f>
        <v>69.379021150312752</v>
      </c>
      <c r="AQ114" s="5">
        <f t="shared" si="23"/>
        <v>69.254228562179208</v>
      </c>
      <c r="AR114" s="5">
        <f t="shared" si="24"/>
        <v>68.801627851365296</v>
      </c>
      <c r="AS114" s="5">
        <f t="shared" si="25"/>
        <v>68.198651399192499</v>
      </c>
      <c r="AT114" s="5">
        <f t="shared" si="30"/>
        <v>3.2445831503127494</v>
      </c>
      <c r="AU114" s="5">
        <f t="shared" si="31"/>
        <v>61.042936437820799</v>
      </c>
      <c r="AV114" s="5">
        <f t="shared" si="32"/>
        <v>68.801627851365296</v>
      </c>
      <c r="AW114" s="5">
        <f t="shared" si="32"/>
        <v>1.1205839133309894</v>
      </c>
      <c r="AY114" s="5">
        <f>0.15*(Y114-Y113)+(1-0.15)*AY113</f>
        <v>7.3254866153737067E-2</v>
      </c>
      <c r="AZ114" s="5">
        <f>0.25*(Y114-Y113)+(1-0.25)*AZ113</f>
        <v>-6.2151722335981874E-2</v>
      </c>
      <c r="BA114" s="5">
        <f>0.45*(Y114-Y113)+(1-0.45)*BA113</f>
        <v>-0.18465406580927343</v>
      </c>
      <c r="BB114" s="5">
        <f>0.85*(Y114-Y113)+(1-0.85)*BB113</f>
        <v>-0.20448407902980939</v>
      </c>
      <c r="BC114" s="5">
        <f>Y114+AY114</f>
        <v>134.41989228518014</v>
      </c>
      <c r="BD114" s="5">
        <f>Y114+AZ114</f>
        <v>134.28448569669041</v>
      </c>
      <c r="BE114" s="5">
        <f>Y114+BA114</f>
        <v>134.16198335321712</v>
      </c>
      <c r="BF114" s="5">
        <f>Y114+BB114</f>
        <v>134.14215333999658</v>
      </c>
      <c r="BG114" s="5">
        <f t="shared" si="33"/>
        <v>4.1227272851801331</v>
      </c>
      <c r="BH114" s="5">
        <f t="shared" si="34"/>
        <v>3.9873206966904036</v>
      </c>
      <c r="BI114" s="5">
        <f t="shared" si="35"/>
        <v>3.8648183532171174</v>
      </c>
      <c r="BJ114" s="5">
        <f t="shared" si="36"/>
        <v>3.8449883399965756</v>
      </c>
    </row>
    <row r="115" spans="13:62" x14ac:dyDescent="0.35">
      <c r="M115" s="2">
        <v>113</v>
      </c>
      <c r="N115" s="3">
        <v>43943</v>
      </c>
      <c r="O115" s="1">
        <v>68.039351999999994</v>
      </c>
      <c r="P115" s="1">
        <v>131.313873</v>
      </c>
      <c r="R115" s="5">
        <f t="shared" si="26"/>
        <v>66.936523062982289</v>
      </c>
      <c r="S115" s="5">
        <f t="shared" si="27"/>
        <v>67.958820907092417</v>
      </c>
      <c r="T115" s="5">
        <f t="shared" si="28"/>
        <v>67.417458127914841</v>
      </c>
      <c r="U115" s="5">
        <f t="shared" si="29"/>
        <v>66.764717667365915</v>
      </c>
      <c r="V115" s="5"/>
      <c r="W115" s="5">
        <f>0.15*P114+(1-0.15)*W114</f>
        <v>133.43731771384188</v>
      </c>
      <c r="X115" s="5">
        <f>0.35*P114+(1-0.35)*X114</f>
        <v>133.0448597012342</v>
      </c>
      <c r="Y115" s="5">
        <f>0.55*P114+(1-0.55)*Y114</f>
        <v>132.11942758856188</v>
      </c>
      <c r="Z115" s="5">
        <f>0.75*P114+(1-0.75)*Z114</f>
        <v>131.29431619993153</v>
      </c>
      <c r="AB115" s="5">
        <f t="shared" si="19"/>
        <v>1.6208692537484852</v>
      </c>
      <c r="AC115" s="5">
        <f t="shared" si="20"/>
        <v>0.11835958241868225</v>
      </c>
      <c r="AD115" s="5">
        <f t="shared" si="21"/>
        <v>0.91402086264012716</v>
      </c>
      <c r="AE115" s="5">
        <f t="shared" si="22"/>
        <v>1.8733781189363463</v>
      </c>
      <c r="AG115" s="5">
        <f>ABS((P115-W115)/P115)*100</f>
        <v>1.6170756869244709</v>
      </c>
      <c r="AH115" s="5">
        <f>ABS((P115-X115)/P115)*100</f>
        <v>1.3182055038725429</v>
      </c>
      <c r="AI115" s="5">
        <f>ABS((P115-Y115)/P115)*100</f>
        <v>0.61345733711005201</v>
      </c>
      <c r="AJ115" s="5">
        <f>ABS((P115-Z115)/P115)*100</f>
        <v>1.4893171316690662E-2</v>
      </c>
      <c r="AL115" s="5">
        <f>0.15*(T115-T114)+(1-0.15)*AL114</f>
        <v>9.9192857142334556E-2</v>
      </c>
      <c r="AM115" s="5">
        <f>0.25*(T115-T114)+(1-0.25)*AM114</f>
        <v>-0.19055788619761149</v>
      </c>
      <c r="AN115" s="5">
        <f>0.45*(T115-T114)+(1-0.45)*AN114</f>
        <v>-0.80684236399814191</v>
      </c>
      <c r="AO115" s="5">
        <f>0.85*(T115-T114)+(1-0.85)*AO114</f>
        <v>-1.4509567212042422</v>
      </c>
      <c r="AP115" s="5">
        <f>T115+AL115</f>
        <v>67.516650985057183</v>
      </c>
      <c r="AQ115" s="5">
        <f t="shared" si="23"/>
        <v>67.226900241717232</v>
      </c>
      <c r="AR115" s="5">
        <f t="shared" si="24"/>
        <v>66.610615763916698</v>
      </c>
      <c r="AS115" s="5">
        <f t="shared" si="25"/>
        <v>65.966501406710606</v>
      </c>
      <c r="AT115" s="5">
        <f t="shared" si="30"/>
        <v>0.52270101494281107</v>
      </c>
      <c r="AU115" s="5">
        <f t="shared" si="31"/>
        <v>64.086972758282769</v>
      </c>
      <c r="AV115" s="5">
        <f t="shared" si="32"/>
        <v>66.610615763916698</v>
      </c>
      <c r="AW115" s="5">
        <f t="shared" si="32"/>
        <v>0.97002165627168324</v>
      </c>
      <c r="AY115" s="5">
        <f>0.15*(Y115-Y114)+(1-0.15)*AY114</f>
        <v>-0.271814838339001</v>
      </c>
      <c r="AZ115" s="5">
        <f>0.25*(Y115-Y114)+(1-0.25)*AZ114</f>
        <v>-0.60341624936811566</v>
      </c>
      <c r="BA115" s="5">
        <f>0.45*(Y115-Y114)+(1-0.45)*BA114</f>
        <v>-1.1038041599041331</v>
      </c>
      <c r="BB115" s="5">
        <f>0.85*(Y115-Y114)+(1-0.85)*BB114</f>
        <v>-1.9238009677493106</v>
      </c>
      <c r="BC115" s="5">
        <f>Y115+AY115</f>
        <v>131.84761275022288</v>
      </c>
      <c r="BD115" s="5">
        <f>Y115+AZ115</f>
        <v>131.51601133919377</v>
      </c>
      <c r="BE115" s="5">
        <f>Y115+BA115</f>
        <v>131.01562342865773</v>
      </c>
      <c r="BF115" s="5">
        <f>Y115+BB115</f>
        <v>130.19562662081256</v>
      </c>
      <c r="BG115" s="5">
        <f t="shared" si="33"/>
        <v>0.53373975022287823</v>
      </c>
      <c r="BH115" s="5">
        <f t="shared" si="34"/>
        <v>0.20213833919376611</v>
      </c>
      <c r="BI115" s="5">
        <f t="shared" si="35"/>
        <v>0.29824957134226793</v>
      </c>
      <c r="BJ115" s="5">
        <f t="shared" si="36"/>
        <v>1.1182463791874397</v>
      </c>
    </row>
    <row r="116" spans="13:62" x14ac:dyDescent="0.35">
      <c r="M116" s="2">
        <v>114</v>
      </c>
      <c r="N116" s="3">
        <v>43944</v>
      </c>
      <c r="O116" s="1">
        <v>67.775672999999998</v>
      </c>
      <c r="P116" s="1">
        <v>132.94258099999999</v>
      </c>
      <c r="R116" s="5">
        <f t="shared" si="26"/>
        <v>67.10194740353495</v>
      </c>
      <c r="S116" s="5">
        <f t="shared" si="27"/>
        <v>67.987006789610064</v>
      </c>
      <c r="T116" s="5">
        <f t="shared" si="28"/>
        <v>67.759499757561684</v>
      </c>
      <c r="U116" s="5">
        <f t="shared" si="29"/>
        <v>67.72069341684147</v>
      </c>
      <c r="V116" s="5"/>
      <c r="W116" s="5">
        <f>0.15*P115+(1-0.15)*W115</f>
        <v>133.11880100676558</v>
      </c>
      <c r="X116" s="5">
        <f>0.35*P115+(1-0.35)*X115</f>
        <v>132.43901435580221</v>
      </c>
      <c r="Y116" s="5">
        <f>0.55*P115+(1-0.55)*Y115</f>
        <v>131.67637256485284</v>
      </c>
      <c r="Z116" s="5">
        <f>0.75*P115+(1-0.75)*Z115</f>
        <v>131.30898379998288</v>
      </c>
      <c r="AB116" s="5">
        <f t="shared" si="19"/>
        <v>0.99405224122975111</v>
      </c>
      <c r="AC116" s="5">
        <f t="shared" si="20"/>
        <v>0.31181363497499465</v>
      </c>
      <c r="AD116" s="5">
        <f t="shared" si="21"/>
        <v>2.3862902015466814E-2</v>
      </c>
      <c r="AE116" s="5">
        <f t="shared" si="22"/>
        <v>8.1119936881375018E-2</v>
      </c>
      <c r="AG116" s="5">
        <f>ABS((P116-W116)/P116)*100</f>
        <v>0.13255347191250161</v>
      </c>
      <c r="AH116" s="5">
        <f>ABS((P116-X116)/P116)*100</f>
        <v>0.37878506676335355</v>
      </c>
      <c r="AI116" s="5">
        <f>ABS((P116-Y116)/P116)*100</f>
        <v>0.95244760980467902</v>
      </c>
      <c r="AJ116" s="5">
        <f>ABS((P116-Z116)/P116)*100</f>
        <v>1.2287990707936587</v>
      </c>
      <c r="AL116" s="5">
        <f>0.15*(T116-T115)+(1-0.15)*AL115</f>
        <v>0.13562017301801083</v>
      </c>
      <c r="AM116" s="5">
        <f>0.25*(T116-T115)+(1-0.25)*AM115</f>
        <v>-5.7408007236497832E-2</v>
      </c>
      <c r="AN116" s="5">
        <f>0.45*(T116-T115)+(1-0.45)*AN115</f>
        <v>-0.28984456685789867</v>
      </c>
      <c r="AO116" s="5">
        <f>0.85*(T116-T115)+(1-0.85)*AO115</f>
        <v>7.3091877019180296E-2</v>
      </c>
      <c r="AP116" s="5">
        <f>T116+AL116</f>
        <v>67.895119930579696</v>
      </c>
      <c r="AQ116" s="5">
        <f t="shared" si="23"/>
        <v>67.702091750325181</v>
      </c>
      <c r="AR116" s="5">
        <f t="shared" si="24"/>
        <v>67.46965519070379</v>
      </c>
      <c r="AS116" s="5">
        <f t="shared" si="25"/>
        <v>67.832591634580865</v>
      </c>
      <c r="AT116" s="5">
        <f t="shared" si="30"/>
        <v>0.11944693057969857</v>
      </c>
      <c r="AU116" s="5">
        <f t="shared" si="31"/>
        <v>65.240489249674809</v>
      </c>
      <c r="AV116" s="5">
        <f t="shared" si="32"/>
        <v>67.46965519070379</v>
      </c>
      <c r="AW116" s="5">
        <f t="shared" si="32"/>
        <v>0.73064423104591469</v>
      </c>
      <c r="AY116" s="5">
        <f>0.15*(Y116-Y115)+(1-0.15)*AY115</f>
        <v>-0.29750086614450622</v>
      </c>
      <c r="AZ116" s="5">
        <f>0.25*(Y116-Y115)+(1-0.25)*AZ115</f>
        <v>-0.5633259429533457</v>
      </c>
      <c r="BA116" s="5">
        <f>0.45*(Y116-Y115)+(1-0.45)*BA115</f>
        <v>-0.80646704861633933</v>
      </c>
      <c r="BB116" s="5">
        <f>0.85*(Y116-Y115)+(1-0.85)*BB115</f>
        <v>-0.6651669153150771</v>
      </c>
      <c r="BC116" s="5">
        <f>Y116+AY116</f>
        <v>131.37887169870834</v>
      </c>
      <c r="BD116" s="5">
        <f>Y116+AZ116</f>
        <v>131.11304662189949</v>
      </c>
      <c r="BE116" s="5">
        <f>Y116+BA116</f>
        <v>130.86990551623651</v>
      </c>
      <c r="BF116" s="5">
        <f>Y116+BB116</f>
        <v>131.01120564953777</v>
      </c>
      <c r="BG116" s="5">
        <f t="shared" si="33"/>
        <v>1.5637093012916523</v>
      </c>
      <c r="BH116" s="5">
        <f t="shared" si="34"/>
        <v>1.8295343781005045</v>
      </c>
      <c r="BI116" s="5">
        <f t="shared" si="35"/>
        <v>2.0726754837634758</v>
      </c>
      <c r="BJ116" s="5">
        <f t="shared" si="36"/>
        <v>1.9313753504622184</v>
      </c>
    </row>
    <row r="117" spans="13:62" x14ac:dyDescent="0.35">
      <c r="M117" s="2">
        <v>115</v>
      </c>
      <c r="N117" s="3">
        <v>43945</v>
      </c>
      <c r="O117" s="1">
        <v>69.732322999999994</v>
      </c>
      <c r="P117" s="1">
        <v>133.771759</v>
      </c>
      <c r="R117" s="5">
        <f t="shared" si="26"/>
        <v>67.203006243004708</v>
      </c>
      <c r="S117" s="5">
        <f t="shared" si="27"/>
        <v>67.913039963246547</v>
      </c>
      <c r="T117" s="5">
        <f t="shared" si="28"/>
        <v>67.76839504090276</v>
      </c>
      <c r="U117" s="5">
        <f t="shared" si="29"/>
        <v>67.761928104210369</v>
      </c>
      <c r="V117" s="5"/>
      <c r="W117" s="5">
        <f>0.15*P116+(1-0.15)*W116</f>
        <v>133.09236800575076</v>
      </c>
      <c r="X117" s="5">
        <f>0.35*P116+(1-0.35)*X116</f>
        <v>132.61526268127145</v>
      </c>
      <c r="Y117" s="5">
        <f>0.55*P116+(1-0.55)*Y116</f>
        <v>132.37278720418377</v>
      </c>
      <c r="Z117" s="5">
        <f>0.75*P116+(1-0.75)*Z116</f>
        <v>132.53418169999571</v>
      </c>
      <c r="AB117" s="5">
        <f t="shared" si="19"/>
        <v>3.6271798330815481</v>
      </c>
      <c r="AC117" s="5">
        <f t="shared" si="20"/>
        <v>2.6089522885297352</v>
      </c>
      <c r="AD117" s="5">
        <f t="shared" si="21"/>
        <v>2.816381090727802</v>
      </c>
      <c r="AE117" s="5">
        <f t="shared" si="22"/>
        <v>2.825655034881922</v>
      </c>
      <c r="AG117" s="5">
        <f>ABS((P117-W117)/P117)*100</f>
        <v>0.50787326064034655</v>
      </c>
      <c r="AH117" s="5">
        <f>ABS((P117-X117)/P117)*100</f>
        <v>0.86452949962970671</v>
      </c>
      <c r="AI117" s="5">
        <f>ABS((P117-Y117)/P117)*100</f>
        <v>1.0457900877391</v>
      </c>
      <c r="AJ117" s="5">
        <f>ABS((P117-Z117)/P117)*100</f>
        <v>0.92514093352416027</v>
      </c>
      <c r="AL117" s="5">
        <f>0.15*(T117-T116)+(1-0.15)*AL116</f>
        <v>0.11661143956647058</v>
      </c>
      <c r="AM117" s="5">
        <f>0.25*(T117-T116)+(1-0.25)*AM116</f>
        <v>-4.0832184592104422E-2</v>
      </c>
      <c r="AN117" s="5">
        <f>0.45*(T117-T116)+(1-0.45)*AN116</f>
        <v>-0.15541163426836019</v>
      </c>
      <c r="AO117" s="5">
        <f>0.85*(T117-T116)+(1-0.85)*AO116</f>
        <v>1.8524772392791485E-2</v>
      </c>
      <c r="AP117" s="5">
        <f>T117+AL117</f>
        <v>67.885006480469229</v>
      </c>
      <c r="AQ117" s="5">
        <f t="shared" si="23"/>
        <v>67.727562856310655</v>
      </c>
      <c r="AR117" s="5">
        <f t="shared" si="24"/>
        <v>67.612983406634399</v>
      </c>
      <c r="AS117" s="5">
        <f t="shared" si="25"/>
        <v>67.786919813295555</v>
      </c>
      <c r="AT117" s="5">
        <f t="shared" si="30"/>
        <v>1.8473165195307644</v>
      </c>
      <c r="AU117" s="5">
        <f t="shared" si="31"/>
        <v>66.044196143689348</v>
      </c>
      <c r="AV117" s="5">
        <f t="shared" si="32"/>
        <v>67.612983406634399</v>
      </c>
      <c r="AW117" s="5">
        <f t="shared" si="32"/>
        <v>0.58391357029084645</v>
      </c>
      <c r="AY117" s="5">
        <f>0.15*(Y117-Y116)+(1-0.15)*AY116</f>
        <v>-0.14841354032319154</v>
      </c>
      <c r="AZ117" s="5">
        <f>0.25*(Y117-Y116)+(1-0.25)*AZ116</f>
        <v>-0.24839079738227804</v>
      </c>
      <c r="BA117" s="5">
        <f>0.45*(Y117-Y116)+(1-0.45)*BA116</f>
        <v>-0.13017028904007044</v>
      </c>
      <c r="BB117" s="5">
        <f>0.85*(Y117-Y116)+(1-0.85)*BB116</f>
        <v>0.49217740613402461</v>
      </c>
      <c r="BC117" s="5">
        <f>Y117+AY117</f>
        <v>132.22437366386058</v>
      </c>
      <c r="BD117" s="5">
        <f>Y117+AZ117</f>
        <v>132.12439640680148</v>
      </c>
      <c r="BE117" s="5">
        <f>Y117+BA117</f>
        <v>132.24261691514369</v>
      </c>
      <c r="BF117" s="5">
        <f>Y117+BB117</f>
        <v>132.8649646103178</v>
      </c>
      <c r="BG117" s="5">
        <f t="shared" si="33"/>
        <v>1.5473853361394276</v>
      </c>
      <c r="BH117" s="5">
        <f t="shared" si="34"/>
        <v>1.6473625931985225</v>
      </c>
      <c r="BI117" s="5">
        <f t="shared" si="35"/>
        <v>1.5291420848563178</v>
      </c>
      <c r="BJ117" s="5">
        <f t="shared" si="36"/>
        <v>0.90679438968220438</v>
      </c>
    </row>
    <row r="118" spans="13:62" x14ac:dyDescent="0.35">
      <c r="M118" s="2">
        <v>116</v>
      </c>
      <c r="N118" s="3">
        <v>43948</v>
      </c>
      <c r="O118" s="1">
        <v>69.781609000000003</v>
      </c>
      <c r="P118" s="1">
        <v>138.07551599999999</v>
      </c>
      <c r="R118" s="5">
        <f t="shared" si="26"/>
        <v>67.582403756554001</v>
      </c>
      <c r="S118" s="5">
        <f t="shared" si="27"/>
        <v>68.549789026110261</v>
      </c>
      <c r="T118" s="5">
        <f t="shared" si="28"/>
        <v>68.848555418406235</v>
      </c>
      <c r="U118" s="5">
        <f t="shared" si="29"/>
        <v>69.239724276052584</v>
      </c>
      <c r="V118" s="5"/>
      <c r="W118" s="5">
        <f>0.15*P117+(1-0.15)*W117</f>
        <v>133.19427665488814</v>
      </c>
      <c r="X118" s="5">
        <f>0.35*P117+(1-0.35)*X117</f>
        <v>133.02003639282646</v>
      </c>
      <c r="Y118" s="5">
        <f>0.55*P117+(1-0.55)*Y117</f>
        <v>133.1422216918827</v>
      </c>
      <c r="Z118" s="5">
        <f>0.75*P117+(1-0.75)*Z117</f>
        <v>133.46236467499892</v>
      </c>
      <c r="AB118" s="5">
        <f t="shared" si="19"/>
        <v>3.1515542203189986</v>
      </c>
      <c r="AC118" s="5">
        <f t="shared" si="20"/>
        <v>1.7652501734228312</v>
      </c>
      <c r="AD118" s="5">
        <f t="shared" si="21"/>
        <v>1.3371052845654046</v>
      </c>
      <c r="AE118" s="5">
        <f t="shared" si="22"/>
        <v>0.77654375087197969</v>
      </c>
      <c r="AG118" s="5">
        <f>ABS((P118-W118)/P118)*100</f>
        <v>3.5351954397996614</v>
      </c>
      <c r="AH118" s="5">
        <f>ABS((P118-X118)/P118)*100</f>
        <v>3.6613874448048693</v>
      </c>
      <c r="AI118" s="5">
        <f>ABS((P118-Y118)/P118)*100</f>
        <v>3.5728957971935427</v>
      </c>
      <c r="AJ118" s="5">
        <f>ABS((P118-Z118)/P118)*100</f>
        <v>3.3410350065257557</v>
      </c>
      <c r="AL118" s="5">
        <f>0.15*(T118-T117)+(1-0.15)*AL117</f>
        <v>0.26114378025702123</v>
      </c>
      <c r="AM118" s="5">
        <f>0.25*(T118-T117)+(1-0.25)*AM117</f>
        <v>0.23941595593179041</v>
      </c>
      <c r="AN118" s="5">
        <f>0.45*(T118-T117)+(1-0.45)*AN117</f>
        <v>0.4005957710289656</v>
      </c>
      <c r="AO118" s="5">
        <f>0.85*(T118-T117)+(1-0.85)*AO117</f>
        <v>0.92091503673687247</v>
      </c>
      <c r="AP118" s="5">
        <f>T118+AL118</f>
        <v>69.10969919866325</v>
      </c>
      <c r="AQ118" s="5">
        <f t="shared" si="23"/>
        <v>69.087971374338025</v>
      </c>
      <c r="AR118" s="5">
        <f t="shared" si="24"/>
        <v>69.249151189435196</v>
      </c>
      <c r="AS118" s="5">
        <f t="shared" si="25"/>
        <v>69.769470455143107</v>
      </c>
      <c r="AT118" s="5">
        <f t="shared" si="30"/>
        <v>0.67190980133675282</v>
      </c>
      <c r="AU118" s="5">
        <f t="shared" si="31"/>
        <v>68.987544625661968</v>
      </c>
      <c r="AV118" s="5">
        <f t="shared" si="32"/>
        <v>69.249151189435196</v>
      </c>
      <c r="AW118" s="5">
        <f t="shared" si="32"/>
        <v>2.1870666985891063</v>
      </c>
      <c r="AY118" s="5">
        <f>0.15*(Y118-Y117)+(1-0.15)*AY117</f>
        <v>-1.0736336119873235E-2</v>
      </c>
      <c r="AZ118" s="5">
        <f>0.25*(Y118-Y117)+(1-0.25)*AZ117</f>
        <v>6.0655238880241158E-3</v>
      </c>
      <c r="BA118" s="5">
        <f>0.45*(Y118-Y117)+(1-0.45)*BA117</f>
        <v>0.27465186049248003</v>
      </c>
      <c r="BB118" s="5">
        <f>0.85*(Y118-Y117)+(1-0.85)*BB117</f>
        <v>0.72784592546419458</v>
      </c>
      <c r="BC118" s="5">
        <f>Y118+AY118</f>
        <v>133.13148535576283</v>
      </c>
      <c r="BD118" s="5">
        <f>Y118+AZ118</f>
        <v>133.14828721577072</v>
      </c>
      <c r="BE118" s="5">
        <f>Y118+BA118</f>
        <v>133.41687355237516</v>
      </c>
      <c r="BF118" s="5">
        <f>Y118+BB118</f>
        <v>133.8700676173469</v>
      </c>
      <c r="BG118" s="5">
        <f t="shared" si="33"/>
        <v>4.9440306442371593</v>
      </c>
      <c r="BH118" s="5">
        <f t="shared" si="34"/>
        <v>4.9272287842292712</v>
      </c>
      <c r="BI118" s="5">
        <f t="shared" si="35"/>
        <v>4.6586424476248283</v>
      </c>
      <c r="BJ118" s="5">
        <f t="shared" si="36"/>
        <v>4.2054483826530884</v>
      </c>
    </row>
    <row r="119" spans="13:62" x14ac:dyDescent="0.35">
      <c r="M119" s="2">
        <v>117</v>
      </c>
      <c r="N119" s="3">
        <v>43949</v>
      </c>
      <c r="O119" s="1">
        <v>68.650490000000005</v>
      </c>
      <c r="P119" s="1">
        <v>140.91835</v>
      </c>
      <c r="R119" s="5">
        <f t="shared" si="26"/>
        <v>67.912284543070896</v>
      </c>
      <c r="S119" s="5">
        <f t="shared" si="27"/>
        <v>68.980926016971665</v>
      </c>
      <c r="T119" s="5">
        <f t="shared" si="28"/>
        <v>69.361734888282811</v>
      </c>
      <c r="U119" s="5">
        <f t="shared" si="29"/>
        <v>69.646137819013148</v>
      </c>
      <c r="V119" s="5"/>
      <c r="W119" s="5">
        <f>0.15*P118+(1-0.15)*W118</f>
        <v>133.92646255665491</v>
      </c>
      <c r="X119" s="5">
        <f>0.35*P118+(1-0.35)*X118</f>
        <v>134.7894542553372</v>
      </c>
      <c r="Y119" s="5">
        <f>0.55*P118+(1-0.55)*Y118</f>
        <v>135.85553356134722</v>
      </c>
      <c r="Z119" s="5">
        <f>0.75*P118+(1-0.75)*Z118</f>
        <v>136.92222816874971</v>
      </c>
      <c r="AB119" s="5">
        <f t="shared" si="19"/>
        <v>1.0753098148740214</v>
      </c>
      <c r="AC119" s="5">
        <f t="shared" si="20"/>
        <v>0.48133089359108761</v>
      </c>
      <c r="AD119" s="5">
        <f t="shared" si="21"/>
        <v>1.0360375989782538</v>
      </c>
      <c r="AE119" s="5">
        <f t="shared" si="22"/>
        <v>1.4503142206459756</v>
      </c>
      <c r="AG119" s="5">
        <f>ABS((P119-W119)/P119)*100</f>
        <v>4.9616586082260348</v>
      </c>
      <c r="AH119" s="5">
        <f>ABS((P119-X119)/P119)*100</f>
        <v>4.3492531275471213</v>
      </c>
      <c r="AI119" s="5">
        <f>ABS((P119-Y119)/P119)*100</f>
        <v>3.5927304276929077</v>
      </c>
      <c r="AJ119" s="5">
        <f>ABS((P119-Z119)/P119)*100</f>
        <v>2.8357710910256131</v>
      </c>
      <c r="AL119" s="5">
        <f>0.15*(T119-T118)+(1-0.15)*AL118</f>
        <v>0.29894913369995446</v>
      </c>
      <c r="AM119" s="5">
        <f>0.25*(T119-T118)+(1-0.25)*AM118</f>
        <v>0.30785683441798678</v>
      </c>
      <c r="AN119" s="5">
        <f>0.45*(T119-T118)+(1-0.45)*AN118</f>
        <v>0.45125843551039024</v>
      </c>
      <c r="AO119" s="5">
        <f>0.85*(T119-T118)+(1-0.85)*AO118</f>
        <v>0.57433980490562042</v>
      </c>
      <c r="AP119" s="5">
        <f>T119+AL119</f>
        <v>69.66068402198276</v>
      </c>
      <c r="AQ119" s="5">
        <f t="shared" si="23"/>
        <v>69.669591722700801</v>
      </c>
      <c r="AR119" s="5">
        <f t="shared" si="24"/>
        <v>69.812993323793208</v>
      </c>
      <c r="AS119" s="5">
        <f t="shared" si="25"/>
        <v>69.936074693188431</v>
      </c>
      <c r="AT119" s="5">
        <f t="shared" si="30"/>
        <v>1.0101940219827554</v>
      </c>
      <c r="AU119" s="5">
        <f t="shared" si="31"/>
        <v>71.248758277299203</v>
      </c>
      <c r="AV119" s="5">
        <f t="shared" si="32"/>
        <v>69.812993323793208</v>
      </c>
      <c r="AW119" s="5">
        <f t="shared" si="32"/>
        <v>2.0237901501175344</v>
      </c>
      <c r="AY119" s="5">
        <f>0.15*(Y119-Y118)+(1-0.15)*AY118</f>
        <v>0.39787089471778558</v>
      </c>
      <c r="AZ119" s="5">
        <f>0.25*(Y119-Y118)+(1-0.25)*AZ118</f>
        <v>0.68287711028214781</v>
      </c>
      <c r="BA119" s="5">
        <f>0.45*(Y119-Y118)+(1-0.45)*BA118</f>
        <v>1.3720488645298978</v>
      </c>
      <c r="BB119" s="5">
        <f>0.85*(Y119-Y118)+(1-0.85)*BB118</f>
        <v>2.4154919778644701</v>
      </c>
      <c r="BC119" s="5">
        <f>Y119+AY119</f>
        <v>136.253404456065</v>
      </c>
      <c r="BD119" s="5">
        <f>Y119+AZ119</f>
        <v>136.53841067162935</v>
      </c>
      <c r="BE119" s="5">
        <f>Y119+BA119</f>
        <v>137.2275824258771</v>
      </c>
      <c r="BF119" s="5">
        <f>Y119+BB119</f>
        <v>138.27102553921168</v>
      </c>
      <c r="BG119" s="5">
        <f t="shared" si="33"/>
        <v>4.6649455439350049</v>
      </c>
      <c r="BH119" s="5">
        <f t="shared" si="34"/>
        <v>4.3799393283706536</v>
      </c>
      <c r="BI119" s="5">
        <f t="shared" si="35"/>
        <v>3.6907675741229014</v>
      </c>
      <c r="BJ119" s="5">
        <f t="shared" si="36"/>
        <v>2.647324460788326</v>
      </c>
    </row>
    <row r="120" spans="13:62" x14ac:dyDescent="0.35">
      <c r="M120" s="2">
        <v>118</v>
      </c>
      <c r="N120" s="3">
        <v>43950</v>
      </c>
      <c r="O120" s="1">
        <v>70.905333999999996</v>
      </c>
      <c r="P120" s="1">
        <v>144.274506</v>
      </c>
      <c r="R120" s="5">
        <f t="shared" si="26"/>
        <v>68.023015361610263</v>
      </c>
      <c r="S120" s="5">
        <f t="shared" si="27"/>
        <v>68.865273411031581</v>
      </c>
      <c r="T120" s="5">
        <f t="shared" si="28"/>
        <v>68.970550199727271</v>
      </c>
      <c r="U120" s="5">
        <f t="shared" si="29"/>
        <v>68.899401954753301</v>
      </c>
      <c r="V120" s="5"/>
      <c r="W120" s="5">
        <f>0.15*P119+(1-0.15)*W119</f>
        <v>134.97524567315668</v>
      </c>
      <c r="X120" s="5">
        <f>0.35*P119+(1-0.35)*X119</f>
        <v>136.93456776596918</v>
      </c>
      <c r="Y120" s="5">
        <f>0.55*P119+(1-0.55)*Y119</f>
        <v>138.64008260260624</v>
      </c>
      <c r="Z120" s="5">
        <f>0.75*P119+(1-0.75)*Z119</f>
        <v>139.91931954218742</v>
      </c>
      <c r="AB120" s="5">
        <f t="shared" si="19"/>
        <v>4.0650237094852892</v>
      </c>
      <c r="AC120" s="5">
        <f t="shared" si="20"/>
        <v>2.8771609607937476</v>
      </c>
      <c r="AD120" s="5">
        <f t="shared" si="21"/>
        <v>2.7286858281673503</v>
      </c>
      <c r="AE120" s="5">
        <f t="shared" si="22"/>
        <v>2.829028413076363</v>
      </c>
      <c r="AG120" s="5">
        <f>ABS((P120-W120)/P120)*100</f>
        <v>6.4455326063243117</v>
      </c>
      <c r="AH120" s="5">
        <f>ABS((P120-X120)/P120)*100</f>
        <v>5.0874811063507126</v>
      </c>
      <c r="AI120" s="5">
        <f>ABS((P120-Y120)/P120)*100</f>
        <v>3.9053492911587306</v>
      </c>
      <c r="AJ120" s="5">
        <f>ABS((P120-Z120)/P120)*100</f>
        <v>3.0186805545621338</v>
      </c>
      <c r="AL120" s="5">
        <f>0.15*(T120-T119)+(1-0.15)*AL119</f>
        <v>0.19542906036163019</v>
      </c>
      <c r="AM120" s="5">
        <f>0.25*(T120-T119)+(1-0.25)*AM119</f>
        <v>0.13309645367460493</v>
      </c>
      <c r="AN120" s="5">
        <f>0.45*(T120-T119)+(1-0.45)*AN119</f>
        <v>7.2159029680721382E-2</v>
      </c>
      <c r="AO120" s="5">
        <f>0.85*(T120-T119)+(1-0.85)*AO119</f>
        <v>-0.24635601453636638</v>
      </c>
      <c r="AP120" s="5">
        <f>T120+AL120</f>
        <v>69.165979260088903</v>
      </c>
      <c r="AQ120" s="5">
        <f t="shared" si="23"/>
        <v>69.103646653401881</v>
      </c>
      <c r="AR120" s="5">
        <f t="shared" si="24"/>
        <v>69.04270922940799</v>
      </c>
      <c r="AS120" s="5">
        <f t="shared" si="25"/>
        <v>68.72419418519091</v>
      </c>
      <c r="AT120" s="5">
        <f t="shared" si="30"/>
        <v>1.7393547399110929</v>
      </c>
      <c r="AU120" s="5">
        <f t="shared" si="31"/>
        <v>75.170859346598121</v>
      </c>
      <c r="AV120" s="5">
        <f t="shared" si="32"/>
        <v>69.04270922940799</v>
      </c>
      <c r="AW120" s="5">
        <f t="shared" si="32"/>
        <v>0.70117882358064776</v>
      </c>
      <c r="AY120" s="5">
        <f>0.15*(Y120-Y119)+(1-0.15)*AY119</f>
        <v>0.75587261669897177</v>
      </c>
      <c r="AZ120" s="5">
        <f>0.25*(Y120-Y119)+(1-0.25)*AZ119</f>
        <v>1.2082950930263676</v>
      </c>
      <c r="BA120" s="5">
        <f>0.45*(Y120-Y119)+(1-0.45)*BA119</f>
        <v>2.007673944058006</v>
      </c>
      <c r="BB120" s="5">
        <f>0.85*(Y120-Y119)+(1-0.85)*BB119</f>
        <v>2.7291904817498431</v>
      </c>
      <c r="BC120" s="5">
        <f>Y120+AY120</f>
        <v>139.39595521930522</v>
      </c>
      <c r="BD120" s="5">
        <f>Y120+AZ120</f>
        <v>139.84837769563262</v>
      </c>
      <c r="BE120" s="5">
        <f>Y120+BA120</f>
        <v>140.64775654666425</v>
      </c>
      <c r="BF120" s="5">
        <f>Y120+BB120</f>
        <v>141.36927308435608</v>
      </c>
      <c r="BG120" s="5">
        <f t="shared" si="33"/>
        <v>4.8785507806947805</v>
      </c>
      <c r="BH120" s="5">
        <f t="shared" si="34"/>
        <v>4.4261283043673814</v>
      </c>
      <c r="BI120" s="5">
        <f t="shared" si="35"/>
        <v>3.6267494533357478</v>
      </c>
      <c r="BJ120" s="5">
        <f t="shared" si="36"/>
        <v>2.9052329156439214</v>
      </c>
    </row>
    <row r="121" spans="13:62" x14ac:dyDescent="0.35">
      <c r="M121" s="2">
        <v>119</v>
      </c>
      <c r="N121" s="3">
        <v>43951</v>
      </c>
      <c r="O121" s="1">
        <v>72.401154000000005</v>
      </c>
      <c r="P121" s="1">
        <v>140.06944300000001</v>
      </c>
      <c r="R121" s="5">
        <f t="shared" si="26"/>
        <v>68.455363157368723</v>
      </c>
      <c r="S121" s="5">
        <f t="shared" si="27"/>
        <v>69.579294617170532</v>
      </c>
      <c r="T121" s="5">
        <f t="shared" si="28"/>
        <v>70.03468128987727</v>
      </c>
      <c r="U121" s="5">
        <f t="shared" si="29"/>
        <v>70.403850988688333</v>
      </c>
      <c r="V121" s="5"/>
      <c r="W121" s="5">
        <f>0.15*P120+(1-0.15)*W120</f>
        <v>136.37013472218317</v>
      </c>
      <c r="X121" s="5">
        <f>0.35*P120+(1-0.35)*X120</f>
        <v>139.50354614787997</v>
      </c>
      <c r="Y121" s="5">
        <f>0.55*P120+(1-0.55)*Y120</f>
        <v>141.73901547117282</v>
      </c>
      <c r="Z121" s="5">
        <f>0.75*P120+(1-0.75)*Z120</f>
        <v>143.18570938554686</v>
      </c>
      <c r="AB121" s="5">
        <f t="shared" si="19"/>
        <v>5.4499004845023364</v>
      </c>
      <c r="AC121" s="5">
        <f t="shared" si="20"/>
        <v>3.8975337089647391</v>
      </c>
      <c r="AD121" s="5">
        <f t="shared" si="21"/>
        <v>3.2685566173748217</v>
      </c>
      <c r="AE121" s="5">
        <f t="shared" si="22"/>
        <v>2.7586618457927781</v>
      </c>
      <c r="AG121" s="5">
        <f>ABS((P121-W121)/P121)*100</f>
        <v>2.6410530366832683</v>
      </c>
      <c r="AH121" s="5">
        <f>ABS((P121-X121)/P121)*100</f>
        <v>0.40401163879835911</v>
      </c>
      <c r="AI121" s="5">
        <f>ABS((P121-Y121)/P121)*100</f>
        <v>1.1919605271599554</v>
      </c>
      <c r="AJ121" s="5">
        <f>ABS((P121-Z121)/P121)*100</f>
        <v>2.2248010121285704</v>
      </c>
      <c r="AL121" s="5">
        <f>0.15*(T121-T120)+(1-0.15)*AL120</f>
        <v>0.32573436482988549</v>
      </c>
      <c r="AM121" s="5">
        <f>0.25*(T121-T120)+(1-0.25)*AM120</f>
        <v>0.36585511279345351</v>
      </c>
      <c r="AN121" s="5">
        <f>0.45*(T121-T120)+(1-0.45)*AN120</f>
        <v>0.51854645689189638</v>
      </c>
      <c r="AO121" s="5">
        <f>0.85*(T121-T120)+(1-0.85)*AO120</f>
        <v>0.86755802444704433</v>
      </c>
      <c r="AP121" s="5">
        <f>T121+AL121</f>
        <v>70.360415654707154</v>
      </c>
      <c r="AQ121" s="5">
        <f t="shared" si="23"/>
        <v>70.400536402670724</v>
      </c>
      <c r="AR121" s="5">
        <f t="shared" si="24"/>
        <v>70.553227746769167</v>
      </c>
      <c r="AS121" s="5">
        <f t="shared" si="25"/>
        <v>70.902239314324319</v>
      </c>
      <c r="AT121" s="5">
        <f t="shared" si="30"/>
        <v>2.0407383452928514</v>
      </c>
      <c r="AU121" s="5">
        <f t="shared" si="31"/>
        <v>69.668906597329283</v>
      </c>
      <c r="AV121" s="5">
        <f t="shared" si="32"/>
        <v>70.553227746769167</v>
      </c>
      <c r="AW121" s="5">
        <f t="shared" si="32"/>
        <v>2.4468761569555966</v>
      </c>
      <c r="AY121" s="5">
        <f>0.15*(Y121-Y120)+(1-0.15)*AY120</f>
        <v>1.1073316544791127</v>
      </c>
      <c r="AZ121" s="5">
        <f>0.25*(Y121-Y120)+(1-0.25)*AZ120</f>
        <v>1.6809545369114203</v>
      </c>
      <c r="BA121" s="5">
        <f>0.45*(Y121-Y120)+(1-0.45)*BA120</f>
        <v>2.4987404600868635</v>
      </c>
      <c r="BB121" s="5">
        <f>0.85*(Y121-Y120)+(1-0.85)*BB120</f>
        <v>3.0434715105440677</v>
      </c>
      <c r="BC121" s="5">
        <f>Y121+AY121</f>
        <v>142.84634712565193</v>
      </c>
      <c r="BD121" s="5">
        <f>Y121+AZ121</f>
        <v>143.41997000808425</v>
      </c>
      <c r="BE121" s="5">
        <f>Y121+BA121</f>
        <v>144.23775593125967</v>
      </c>
      <c r="BF121" s="5">
        <f>Y121+BB121</f>
        <v>144.78248698171689</v>
      </c>
      <c r="BG121" s="5">
        <f t="shared" si="33"/>
        <v>2.7769041256519245</v>
      </c>
      <c r="BH121" s="5">
        <f t="shared" si="34"/>
        <v>3.3505270080842422</v>
      </c>
      <c r="BI121" s="5">
        <f t="shared" si="35"/>
        <v>4.1683129312596634</v>
      </c>
      <c r="BJ121" s="5">
        <f t="shared" si="36"/>
        <v>4.7130439817168792</v>
      </c>
    </row>
    <row r="122" spans="13:62" x14ac:dyDescent="0.35">
      <c r="M122" s="2">
        <v>120</v>
      </c>
      <c r="N122" s="3">
        <v>43952</v>
      </c>
      <c r="O122" s="1">
        <v>71.235541999999995</v>
      </c>
      <c r="P122" s="1">
        <v>135.47943100000001</v>
      </c>
      <c r="R122" s="5">
        <f t="shared" si="26"/>
        <v>69.047231783763408</v>
      </c>
      <c r="S122" s="5">
        <f t="shared" si="27"/>
        <v>70.566945401160851</v>
      </c>
      <c r="T122" s="5">
        <f t="shared" si="28"/>
        <v>71.336241280444767</v>
      </c>
      <c r="U122" s="5">
        <f t="shared" si="29"/>
        <v>71.901828247172091</v>
      </c>
      <c r="V122" s="5"/>
      <c r="W122" s="5">
        <f>0.15*P121+(1-0.15)*W121</f>
        <v>136.92503096385568</v>
      </c>
      <c r="X122" s="5">
        <f>0.35*P121+(1-0.35)*X121</f>
        <v>139.701610046122</v>
      </c>
      <c r="Y122" s="5">
        <f>0.55*P121+(1-0.55)*Y121</f>
        <v>140.82075061202778</v>
      </c>
      <c r="Z122" s="5">
        <f>0.75*P121+(1-0.75)*Z121</f>
        <v>140.84850959638672</v>
      </c>
      <c r="AB122" s="5">
        <f t="shared" si="19"/>
        <v>3.0719359392767553</v>
      </c>
      <c r="AC122" s="5">
        <f t="shared" si="20"/>
        <v>0.93857164565287443</v>
      </c>
      <c r="AD122" s="5">
        <f t="shared" si="21"/>
        <v>0.14136100830786399</v>
      </c>
      <c r="AE122" s="5">
        <f t="shared" si="22"/>
        <v>0.93532838870250423</v>
      </c>
      <c r="AG122" s="5">
        <f>ABS((P122-W122)/P122)*100</f>
        <v>1.0670254172057088</v>
      </c>
      <c r="AH122" s="5">
        <f>ABS((P122-X122)/P122)*100</f>
        <v>3.116472378838079</v>
      </c>
      <c r="AI122" s="5">
        <f>ABS((P122-Y122)/P122)*100</f>
        <v>3.9425317722420714</v>
      </c>
      <c r="AJ122" s="5">
        <f>ABS((P122-Z122)/P122)*100</f>
        <v>3.9630212178752906</v>
      </c>
      <c r="AL122" s="5">
        <f>0.15*(T122-T121)+(1-0.15)*AL121</f>
        <v>0.47210820869052728</v>
      </c>
      <c r="AM122" s="5">
        <f>0.25*(T122-T121)+(1-0.25)*AM121</f>
        <v>0.5997813322369645</v>
      </c>
      <c r="AN122" s="5">
        <f>0.45*(T122-T121)+(1-0.45)*AN121</f>
        <v>0.87090254704591685</v>
      </c>
      <c r="AO122" s="5">
        <f>0.85*(T122-T121)+(1-0.85)*AO121</f>
        <v>1.2364596956494296</v>
      </c>
      <c r="AP122" s="5">
        <f>T122+AL122</f>
        <v>71.808349489135296</v>
      </c>
      <c r="AQ122" s="5">
        <f t="shared" si="23"/>
        <v>71.936022612681725</v>
      </c>
      <c r="AR122" s="5">
        <f t="shared" si="24"/>
        <v>72.207143827490682</v>
      </c>
      <c r="AS122" s="5">
        <f t="shared" si="25"/>
        <v>72.572700976094197</v>
      </c>
      <c r="AT122" s="5">
        <f t="shared" si="30"/>
        <v>0.57280748913530033</v>
      </c>
      <c r="AU122" s="5">
        <f t="shared" si="31"/>
        <v>63.54340838731828</v>
      </c>
      <c r="AV122" s="5">
        <f t="shared" si="32"/>
        <v>72.207143827490682</v>
      </c>
      <c r="AW122" s="5">
        <f t="shared" si="32"/>
        <v>3.5254691923307888</v>
      </c>
      <c r="AY122" s="5">
        <f>0.15*(Y122-Y121)+(1-0.15)*AY121</f>
        <v>0.80349217743548984</v>
      </c>
      <c r="AZ122" s="5">
        <f>0.25*(Y122-Y121)+(1-0.25)*AZ121</f>
        <v>1.0311496878973052</v>
      </c>
      <c r="BA122" s="5">
        <f>0.45*(Y122-Y121)+(1-0.45)*BA121</f>
        <v>0.96108806643250677</v>
      </c>
      <c r="BB122" s="5">
        <f>0.85*(Y122-Y121)+(1-0.85)*BB121</f>
        <v>-0.32400440369167394</v>
      </c>
      <c r="BC122" s="5">
        <f>Y122+AY122</f>
        <v>141.62424278946327</v>
      </c>
      <c r="BD122" s="5">
        <f>Y122+AZ122</f>
        <v>141.85190029992509</v>
      </c>
      <c r="BE122" s="5">
        <f>Y122+BA122</f>
        <v>141.78183867846028</v>
      </c>
      <c r="BF122" s="5">
        <f>Y122+BB122</f>
        <v>140.49674620833611</v>
      </c>
      <c r="BG122" s="5">
        <f t="shared" si="33"/>
        <v>6.1448117894632617</v>
      </c>
      <c r="BH122" s="5">
        <f t="shared" si="34"/>
        <v>6.3724692999250863</v>
      </c>
      <c r="BI122" s="5">
        <f t="shared" si="35"/>
        <v>6.3024076784602698</v>
      </c>
      <c r="BJ122" s="5">
        <f t="shared" si="36"/>
        <v>5.0173152083361003</v>
      </c>
    </row>
    <row r="123" spans="13:62" x14ac:dyDescent="0.35">
      <c r="M123" s="2">
        <v>121</v>
      </c>
      <c r="N123" s="3">
        <v>43955</v>
      </c>
      <c r="O123" s="1">
        <v>72.243446000000006</v>
      </c>
      <c r="P123" s="1">
        <v>133.45588699999999</v>
      </c>
      <c r="R123" s="5">
        <f t="shared" si="26"/>
        <v>69.375478316198894</v>
      </c>
      <c r="S123" s="5">
        <f t="shared" si="27"/>
        <v>70.800954210754554</v>
      </c>
      <c r="T123" s="5">
        <f t="shared" si="28"/>
        <v>71.280856676200131</v>
      </c>
      <c r="U123" s="5">
        <f t="shared" si="29"/>
        <v>71.402113561793016</v>
      </c>
      <c r="V123" s="5"/>
      <c r="W123" s="5">
        <f>0.15*P122+(1-0.15)*W122</f>
        <v>136.70819096927733</v>
      </c>
      <c r="X123" s="5">
        <f>0.35*P122+(1-0.35)*X122</f>
        <v>138.2238473799793</v>
      </c>
      <c r="Y123" s="5">
        <f>0.55*P122+(1-0.55)*Y122</f>
        <v>137.88302482541252</v>
      </c>
      <c r="Z123" s="5">
        <f>0.75*P122+(1-0.75)*Z122</f>
        <v>136.8217006490967</v>
      </c>
      <c r="AB123" s="5">
        <f t="shared" si="19"/>
        <v>3.9698655623391934</v>
      </c>
      <c r="AC123" s="5">
        <f t="shared" si="20"/>
        <v>1.9967095551414471</v>
      </c>
      <c r="AD123" s="5">
        <f t="shared" si="21"/>
        <v>1.3324244303073183</v>
      </c>
      <c r="AE123" s="5">
        <f t="shared" si="22"/>
        <v>1.1645796051962833</v>
      </c>
      <c r="AG123" s="5">
        <f>ABS((P123-W123)/P123)*100</f>
        <v>2.4369880133330764</v>
      </c>
      <c r="AH123" s="5">
        <f>ABS((P123-X123)/P123)*100</f>
        <v>3.5726864413102395</v>
      </c>
      <c r="AI123" s="5">
        <f>ABS((P123-Y123)/P123)*100</f>
        <v>3.3173042605550478</v>
      </c>
      <c r="AJ123" s="5">
        <f>ABS((P123-Z123)/P123)*100</f>
        <v>2.522042095525324</v>
      </c>
      <c r="AL123" s="5">
        <f>0.15*(T123-T122)+(1-0.15)*AL122</f>
        <v>0.39298428675025265</v>
      </c>
      <c r="AM123" s="5">
        <f>0.25*(T123-T122)+(1-0.25)*AM122</f>
        <v>0.43598984811656422</v>
      </c>
      <c r="AN123" s="5">
        <f>0.45*(T123-T122)+(1-0.45)*AN122</f>
        <v>0.45407332896516783</v>
      </c>
      <c r="AO123" s="5">
        <f>0.85*(T123-T122)+(1-0.85)*AO122</f>
        <v>0.13839204073947334</v>
      </c>
      <c r="AP123" s="5">
        <f>T123+AL123</f>
        <v>71.673840962950379</v>
      </c>
      <c r="AQ123" s="5">
        <f t="shared" si="23"/>
        <v>71.716846524316693</v>
      </c>
      <c r="AR123" s="5">
        <f t="shared" si="24"/>
        <v>71.734930005165296</v>
      </c>
      <c r="AS123" s="5">
        <f t="shared" si="25"/>
        <v>71.419248716939606</v>
      </c>
      <c r="AT123" s="5">
        <f t="shared" si="30"/>
        <v>0.56960503704962662</v>
      </c>
      <c r="AU123" s="5">
        <f t="shared" si="31"/>
        <v>61.739040475683296</v>
      </c>
      <c r="AV123" s="5">
        <f t="shared" si="32"/>
        <v>71.734930005165296</v>
      </c>
      <c r="AW123" s="5">
        <f t="shared" si="32"/>
        <v>2.043770400740712</v>
      </c>
      <c r="AY123" s="5">
        <f>0.15*(Y123-Y122)+(1-0.15)*AY122</f>
        <v>0.24230948282787734</v>
      </c>
      <c r="AZ123" s="5">
        <f>0.25*(Y123-Y122)+(1-0.25)*AZ122</f>
        <v>3.8930819269163752E-2</v>
      </c>
      <c r="BA123" s="5">
        <f>0.45*(Y123-Y122)+(1-0.45)*BA122</f>
        <v>-0.79337816743898848</v>
      </c>
      <c r="BB123" s="5">
        <f>0.85*(Y123-Y122)+(1-0.85)*BB122</f>
        <v>-2.5456675791767225</v>
      </c>
      <c r="BC123" s="5">
        <f>Y123+AY123</f>
        <v>138.12533430824038</v>
      </c>
      <c r="BD123" s="5">
        <f>Y123+AZ123</f>
        <v>137.92195564468167</v>
      </c>
      <c r="BE123" s="5">
        <f>Y123+BA123</f>
        <v>137.08964665797353</v>
      </c>
      <c r="BF123" s="5">
        <f>Y123+BB123</f>
        <v>135.3373572462358</v>
      </c>
      <c r="BG123" s="5">
        <f t="shared" si="33"/>
        <v>4.6694473082403931</v>
      </c>
      <c r="BH123" s="5">
        <f t="shared" si="34"/>
        <v>4.466068644681684</v>
      </c>
      <c r="BI123" s="5">
        <f t="shared" si="35"/>
        <v>3.6337596579735418</v>
      </c>
      <c r="BJ123" s="5">
        <f t="shared" si="36"/>
        <v>1.8814702462358071</v>
      </c>
    </row>
    <row r="124" spans="13:62" x14ac:dyDescent="0.35">
      <c r="M124" s="2">
        <v>122</v>
      </c>
      <c r="N124" s="3">
        <v>43956</v>
      </c>
      <c r="O124" s="1">
        <v>73.327736000000002</v>
      </c>
      <c r="P124" s="1">
        <v>133.13014200000001</v>
      </c>
      <c r="R124" s="5">
        <f t="shared" si="26"/>
        <v>69.805673468769058</v>
      </c>
      <c r="S124" s="5">
        <f t="shared" si="27"/>
        <v>71.305826336990464</v>
      </c>
      <c r="T124" s="5">
        <f t="shared" si="28"/>
        <v>71.810280804290073</v>
      </c>
      <c r="U124" s="5">
        <f t="shared" si="29"/>
        <v>72.033112890448251</v>
      </c>
      <c r="V124" s="5"/>
      <c r="W124" s="5">
        <f>0.15*P123+(1-0.15)*W123</f>
        <v>136.22034537388572</v>
      </c>
      <c r="X124" s="5">
        <f>0.35*P123+(1-0.35)*X123</f>
        <v>136.55506124698655</v>
      </c>
      <c r="Y124" s="5">
        <f>0.55*P123+(1-0.55)*Y123</f>
        <v>135.44809902143561</v>
      </c>
      <c r="Z124" s="5">
        <f>0.75*P123+(1-0.75)*Z123</f>
        <v>134.29734041227417</v>
      </c>
      <c r="AB124" s="5">
        <f t="shared" si="19"/>
        <v>4.8031791561530595</v>
      </c>
      <c r="AC124" s="5">
        <f t="shared" si="20"/>
        <v>2.7573600022364495</v>
      </c>
      <c r="AD124" s="5">
        <f t="shared" si="21"/>
        <v>2.069415037864974</v>
      </c>
      <c r="AE124" s="5">
        <f t="shared" si="22"/>
        <v>1.7655299074715063</v>
      </c>
      <c r="AG124" s="5">
        <f>ABS((P124-W124)/P124)*100</f>
        <v>2.3211898729032483</v>
      </c>
      <c r="AH124" s="5">
        <f>ABS((P124-X124)/P124)*100</f>
        <v>2.5726099255467991</v>
      </c>
      <c r="AI124" s="5">
        <f>ABS((P124-Y124)/P124)*100</f>
        <v>1.7411211214929847</v>
      </c>
      <c r="AJ124" s="5">
        <f>ABS((P124-Z124)/P124)*100</f>
        <v>0.87673489619966039</v>
      </c>
      <c r="AL124" s="5">
        <f>0.15*(T124-T123)+(1-0.15)*AL123</f>
        <v>0.41345026295120613</v>
      </c>
      <c r="AM124" s="5">
        <f>0.25*(T124-T123)+(1-0.25)*AM123</f>
        <v>0.45934841810990884</v>
      </c>
      <c r="AN124" s="5">
        <f>0.45*(T124-T123)+(1-0.45)*AN123</f>
        <v>0.48798118857131656</v>
      </c>
      <c r="AO124" s="5">
        <f>0.85*(T124-T123)+(1-0.85)*AO123</f>
        <v>0.47076931498737234</v>
      </c>
      <c r="AP124" s="5">
        <f>T124+AL124</f>
        <v>72.223731067241275</v>
      </c>
      <c r="AQ124" s="5">
        <f t="shared" si="23"/>
        <v>72.269629222399985</v>
      </c>
      <c r="AR124" s="5">
        <f t="shared" si="24"/>
        <v>72.298261992861384</v>
      </c>
      <c r="AS124" s="5">
        <f t="shared" si="25"/>
        <v>72.281050119277452</v>
      </c>
      <c r="AT124" s="5">
        <f t="shared" si="30"/>
        <v>1.1040049327587269</v>
      </c>
      <c r="AU124" s="5">
        <f t="shared" si="31"/>
        <v>60.860512777600022</v>
      </c>
      <c r="AV124" s="5">
        <f t="shared" si="32"/>
        <v>72.298261992861384</v>
      </c>
      <c r="AW124" s="5">
        <f t="shared" si="32"/>
        <v>2.4753766505083945</v>
      </c>
      <c r="AY124" s="5">
        <f>0.15*(Y124-Y123)+(1-0.15)*AY123</f>
        <v>-0.15927581019284068</v>
      </c>
      <c r="AZ124" s="5">
        <f>0.25*(Y124-Y123)+(1-0.25)*AZ123</f>
        <v>-0.57953333654235462</v>
      </c>
      <c r="BA124" s="5">
        <f>0.45*(Y124-Y123)+(1-0.45)*BA123</f>
        <v>-1.5320746038810531</v>
      </c>
      <c r="BB124" s="5">
        <f>0.85*(Y124-Y123)+(1-0.85)*BB123</f>
        <v>-2.4515370702568817</v>
      </c>
      <c r="BC124" s="5">
        <f>Y124+AY124</f>
        <v>135.28882321124277</v>
      </c>
      <c r="BD124" s="5">
        <f>Y124+AZ124</f>
        <v>134.86856568489324</v>
      </c>
      <c r="BE124" s="5">
        <f>Y124+BA124</f>
        <v>133.91602441755455</v>
      </c>
      <c r="BF124" s="5">
        <f>Y124+BB124</f>
        <v>132.99656195117873</v>
      </c>
      <c r="BG124" s="5">
        <f t="shared" si="33"/>
        <v>2.1586812112427651</v>
      </c>
      <c r="BH124" s="5">
        <f t="shared" si="34"/>
        <v>1.7384236848932346</v>
      </c>
      <c r="BI124" s="5">
        <f t="shared" si="35"/>
        <v>0.78588241755454646</v>
      </c>
      <c r="BJ124" s="5">
        <f t="shared" si="36"/>
        <v>0.13358004882127261</v>
      </c>
    </row>
    <row r="125" spans="13:62" x14ac:dyDescent="0.35">
      <c r="M125" s="2">
        <v>123</v>
      </c>
      <c r="N125" s="3">
        <v>43957</v>
      </c>
      <c r="O125" s="1">
        <v>74.084282000000002</v>
      </c>
      <c r="P125" s="1">
        <v>131.323746</v>
      </c>
      <c r="R125" s="5">
        <f t="shared" si="26"/>
        <v>70.333982848453701</v>
      </c>
      <c r="S125" s="5">
        <f t="shared" si="27"/>
        <v>72.013494719043806</v>
      </c>
      <c r="T125" s="5">
        <f t="shared" si="28"/>
        <v>72.644881161930527</v>
      </c>
      <c r="U125" s="5">
        <f t="shared" si="29"/>
        <v>73.00408022261206</v>
      </c>
      <c r="V125" s="5"/>
      <c r="W125" s="5">
        <f>0.15*P124+(1-0.15)*W124</f>
        <v>135.75681486780286</v>
      </c>
      <c r="X125" s="5">
        <f>0.35*P124+(1-0.35)*X124</f>
        <v>135.35633951054126</v>
      </c>
      <c r="Y125" s="5">
        <f>0.55*P124+(1-0.55)*Y124</f>
        <v>134.17322265964603</v>
      </c>
      <c r="Z125" s="5">
        <f>0.75*P124+(1-0.75)*Z124</f>
        <v>133.42194160306855</v>
      </c>
      <c r="AB125" s="5">
        <f t="shared" si="19"/>
        <v>5.0622062471312077</v>
      </c>
      <c r="AC125" s="5">
        <f t="shared" si="20"/>
        <v>2.7951776342466221</v>
      </c>
      <c r="AD125" s="5">
        <f t="shared" si="21"/>
        <v>1.9429233829511556</v>
      </c>
      <c r="AE125" s="5">
        <f t="shared" si="22"/>
        <v>1.4580714670190653</v>
      </c>
      <c r="AG125" s="5">
        <f>ABS((P125-W125)/P125)*100</f>
        <v>3.3756795726820492</v>
      </c>
      <c r="AH125" s="5">
        <f>ABS((P125-X125)/P125)*100</f>
        <v>3.0707268360599929</v>
      </c>
      <c r="AI125" s="5">
        <f>ABS((P125-Y125)/P125)*100</f>
        <v>2.1698106750975787</v>
      </c>
      <c r="AJ125" s="5">
        <f>ABS((P125-Z125)/P125)*100</f>
        <v>1.5977274993880746</v>
      </c>
      <c r="AL125" s="5">
        <f>0.15*(T125-T124)+(1-0.15)*AL124</f>
        <v>0.47662277715459334</v>
      </c>
      <c r="AM125" s="5">
        <f>0.25*(T125-T124)+(1-0.25)*AM124</f>
        <v>0.55316140299254513</v>
      </c>
      <c r="AN125" s="5">
        <f>0.45*(T125-T124)+(1-0.45)*AN124</f>
        <v>0.64395981465242857</v>
      </c>
      <c r="AO125" s="5">
        <f>0.85*(T125-T124)+(1-0.85)*AO124</f>
        <v>0.78002570124249182</v>
      </c>
      <c r="AP125" s="5">
        <f>T125+AL125</f>
        <v>73.121503939085116</v>
      </c>
      <c r="AQ125" s="5">
        <f t="shared" si="23"/>
        <v>73.198042564923071</v>
      </c>
      <c r="AR125" s="5">
        <f t="shared" si="24"/>
        <v>73.288840976582961</v>
      </c>
      <c r="AS125" s="5">
        <f t="shared" si="25"/>
        <v>73.424906863173021</v>
      </c>
      <c r="AT125" s="5">
        <f t="shared" si="30"/>
        <v>0.96277806091488571</v>
      </c>
      <c r="AU125" s="5">
        <f t="shared" si="31"/>
        <v>58.125703435076929</v>
      </c>
      <c r="AV125" s="5">
        <f t="shared" si="32"/>
        <v>73.288840976582961</v>
      </c>
      <c r="AW125" s="5">
        <f t="shared" si="32"/>
        <v>3.0909240147193202</v>
      </c>
      <c r="AY125" s="5">
        <f>0.15*(Y125-Y124)+(1-0.15)*AY124</f>
        <v>-0.3266158929323516</v>
      </c>
      <c r="AZ125" s="5">
        <f>0.25*(Y125-Y124)+(1-0.25)*AZ124</f>
        <v>-0.75336909285416109</v>
      </c>
      <c r="BA125" s="5">
        <f>0.45*(Y125-Y124)+(1-0.45)*BA124</f>
        <v>-1.4163353949398905</v>
      </c>
      <c r="BB125" s="5">
        <f>0.85*(Y125-Y124)+(1-0.85)*BB124</f>
        <v>-1.4513754680596758</v>
      </c>
      <c r="BC125" s="5">
        <f>Y125+AY125</f>
        <v>133.84660676671368</v>
      </c>
      <c r="BD125" s="5">
        <f>Y125+AZ125</f>
        <v>133.41985356679186</v>
      </c>
      <c r="BE125" s="5">
        <f>Y125+BA125</f>
        <v>132.75688726470614</v>
      </c>
      <c r="BF125" s="5">
        <f>Y125+BB125</f>
        <v>132.72184719158636</v>
      </c>
      <c r="BG125" s="5">
        <f t="shared" si="33"/>
        <v>2.5228607667136771</v>
      </c>
      <c r="BH125" s="5">
        <f t="shared" si="34"/>
        <v>2.0961075667918578</v>
      </c>
      <c r="BI125" s="5">
        <f t="shared" si="35"/>
        <v>1.433141264706137</v>
      </c>
      <c r="BJ125" s="5">
        <f t="shared" si="36"/>
        <v>1.3981011915863633</v>
      </c>
    </row>
    <row r="126" spans="13:62" x14ac:dyDescent="0.35">
      <c r="M126" s="2">
        <v>124</v>
      </c>
      <c r="N126" s="3">
        <v>43958</v>
      </c>
      <c r="O126" s="1">
        <v>74.850669999999994</v>
      </c>
      <c r="P126" s="1">
        <v>131.076965</v>
      </c>
      <c r="R126" s="5">
        <f t="shared" si="26"/>
        <v>70.896527721185649</v>
      </c>
      <c r="S126" s="5">
        <f t="shared" si="27"/>
        <v>72.738270267378482</v>
      </c>
      <c r="T126" s="5">
        <f t="shared" si="28"/>
        <v>73.436551622868734</v>
      </c>
      <c r="U126" s="5">
        <f t="shared" si="29"/>
        <v>73.814231555653009</v>
      </c>
      <c r="V126" s="5"/>
      <c r="W126" s="5">
        <f>0.15*P125+(1-0.15)*W125</f>
        <v>135.09185453763243</v>
      </c>
      <c r="X126" s="5">
        <f>0.35*P125+(1-0.35)*X125</f>
        <v>133.94493178185184</v>
      </c>
      <c r="Y126" s="5">
        <f>0.55*P125+(1-0.55)*Y125</f>
        <v>132.60601049684072</v>
      </c>
      <c r="Z126" s="5">
        <f>0.75*P125+(1-0.75)*Z125</f>
        <v>131.84829490076714</v>
      </c>
      <c r="AB126" s="5">
        <f t="shared" si="19"/>
        <v>5.2827079287524681</v>
      </c>
      <c r="AC126" s="5">
        <f t="shared" si="20"/>
        <v>2.8221520697430122</v>
      </c>
      <c r="AD126" s="5">
        <f t="shared" si="21"/>
        <v>1.8892527977789109</v>
      </c>
      <c r="AE126" s="5">
        <f t="shared" si="22"/>
        <v>1.3846749058451777</v>
      </c>
      <c r="AG126" s="5">
        <f>ABS((P126-W126)/P126)*100</f>
        <v>3.0630016018698845</v>
      </c>
      <c r="AH126" s="5">
        <f>ABS((P126-X126)/P126)*100</f>
        <v>2.1880021267290055</v>
      </c>
      <c r="AI126" s="5">
        <f>ABS((P126-Y126)/P126)*100</f>
        <v>1.1665249472634061</v>
      </c>
      <c r="AJ126" s="5">
        <f>ABS((P126-Z126)/P126)*100</f>
        <v>0.58845572200053786</v>
      </c>
      <c r="AL126" s="5">
        <f>0.15*(T126-T125)+(1-0.15)*AL125</f>
        <v>0.52387992972213526</v>
      </c>
      <c r="AM126" s="5">
        <f>0.25*(T126-T125)+(1-0.25)*AM125</f>
        <v>0.61278866747896044</v>
      </c>
      <c r="AN126" s="5">
        <f>0.45*(T126-T125)+(1-0.45)*AN125</f>
        <v>0.71042960548102874</v>
      </c>
      <c r="AO126" s="5">
        <f>0.85*(T126-T125)+(1-0.85)*AO125</f>
        <v>0.78992374698384937</v>
      </c>
      <c r="AP126" s="5">
        <f>T126+AL126</f>
        <v>73.960431552590876</v>
      </c>
      <c r="AQ126" s="5">
        <f t="shared" si="23"/>
        <v>74.0493402903477</v>
      </c>
      <c r="AR126" s="5">
        <f t="shared" si="24"/>
        <v>74.146981228349759</v>
      </c>
      <c r="AS126" s="5">
        <f t="shared" si="25"/>
        <v>74.226475369852579</v>
      </c>
      <c r="AT126" s="5">
        <f t="shared" si="30"/>
        <v>0.89023844740911784</v>
      </c>
      <c r="AU126" s="5">
        <f t="shared" si="31"/>
        <v>57.027624709652301</v>
      </c>
      <c r="AV126" s="5">
        <f t="shared" si="32"/>
        <v>74.146981228349759</v>
      </c>
      <c r="AW126" s="5">
        <f t="shared" si="32"/>
        <v>3.3299476486669306</v>
      </c>
      <c r="AY126" s="5">
        <f>0.15*(Y126-Y125)+(1-0.15)*AY125</f>
        <v>-0.51270533341329461</v>
      </c>
      <c r="AZ126" s="5">
        <f>0.25*(Y126-Y125)+(1-0.25)*AZ125</f>
        <v>-0.95682986034194706</v>
      </c>
      <c r="BA126" s="5">
        <f>0.45*(Y126-Y125)+(1-0.45)*BA125</f>
        <v>-1.4842299404793269</v>
      </c>
      <c r="BB126" s="5">
        <f>0.85*(Y126-Y125)+(1-0.85)*BB125</f>
        <v>-1.5498366585934604</v>
      </c>
      <c r="BC126" s="5">
        <f>Y126+AY126</f>
        <v>132.09330516342743</v>
      </c>
      <c r="BD126" s="5">
        <f>Y126+AZ126</f>
        <v>131.64918063649878</v>
      </c>
      <c r="BE126" s="5">
        <f>Y126+BA126</f>
        <v>131.12178055636139</v>
      </c>
      <c r="BF126" s="5">
        <f>Y126+BB126</f>
        <v>131.05617383824728</v>
      </c>
      <c r="BG126" s="5">
        <f t="shared" si="33"/>
        <v>1.0163401634274294</v>
      </c>
      <c r="BH126" s="5">
        <f t="shared" si="34"/>
        <v>0.57221563649878249</v>
      </c>
      <c r="BI126" s="5">
        <f t="shared" si="35"/>
        <v>4.4815556361385234E-2</v>
      </c>
      <c r="BJ126" s="5">
        <f t="shared" si="36"/>
        <v>2.0791161752725884E-2</v>
      </c>
    </row>
    <row r="127" spans="13:62" x14ac:dyDescent="0.35">
      <c r="M127" s="2">
        <v>125</v>
      </c>
      <c r="N127" s="3">
        <v>43959</v>
      </c>
      <c r="O127" s="1">
        <v>77.259674000000004</v>
      </c>
      <c r="P127" s="1">
        <v>135.14382900000001</v>
      </c>
      <c r="R127" s="5">
        <f t="shared" si="26"/>
        <v>71.489649063007803</v>
      </c>
      <c r="S127" s="5">
        <f t="shared" si="27"/>
        <v>73.477610173796009</v>
      </c>
      <c r="T127" s="5">
        <f t="shared" si="28"/>
        <v>74.214316730290932</v>
      </c>
      <c r="U127" s="5">
        <f t="shared" si="29"/>
        <v>74.591560388913251</v>
      </c>
      <c r="V127" s="5"/>
      <c r="W127" s="5">
        <f>0.15*P126+(1-0.15)*W126</f>
        <v>134.48962110698756</v>
      </c>
      <c r="X127" s="5">
        <f>0.35*P126+(1-0.35)*X126</f>
        <v>132.94114340820369</v>
      </c>
      <c r="Y127" s="5">
        <f>0.55*P126+(1-0.55)*Y126</f>
        <v>131.76503547357834</v>
      </c>
      <c r="Z127" s="5">
        <f>0.75*P126+(1-0.75)*Z126</f>
        <v>131.26979747519181</v>
      </c>
      <c r="AB127" s="5">
        <f t="shared" si="19"/>
        <v>7.4683526842116894</v>
      </c>
      <c r="AC127" s="5">
        <f t="shared" si="20"/>
        <v>4.895262470566462</v>
      </c>
      <c r="AD127" s="5">
        <f t="shared" si="21"/>
        <v>3.9417164376192839</v>
      </c>
      <c r="AE127" s="5">
        <f t="shared" si="22"/>
        <v>3.4534362791729523</v>
      </c>
      <c r="AG127" s="5">
        <f>ABS((P127-W127)/P127)*100</f>
        <v>0.48408269756250177</v>
      </c>
      <c r="AH127" s="5">
        <f>ABS((P127-X127)/P127)*100</f>
        <v>1.6298824800918765</v>
      </c>
      <c r="AI127" s="5">
        <f>ABS((P127-Y127)/P127)*100</f>
        <v>2.5001463636357926</v>
      </c>
      <c r="AJ127" s="5">
        <f>ABS((P127-Z127)/P127)*100</f>
        <v>2.8665989068640365</v>
      </c>
      <c r="AL127" s="5">
        <f>0.15*(T127-T126)+(1-0.15)*AL126</f>
        <v>0.56196270637714463</v>
      </c>
      <c r="AM127" s="5">
        <f>0.25*(T127-T126)+(1-0.25)*AM126</f>
        <v>0.65403277746476984</v>
      </c>
      <c r="AN127" s="5">
        <f>0.45*(T127-T126)+(1-0.45)*AN126</f>
        <v>0.74073058135455483</v>
      </c>
      <c r="AO127" s="5">
        <f>0.85*(T127-T126)+(1-0.85)*AO126</f>
        <v>0.77958890335644559</v>
      </c>
      <c r="AP127" s="5">
        <f>T127+AL127</f>
        <v>74.776279436668077</v>
      </c>
      <c r="AQ127" s="5">
        <f t="shared" si="23"/>
        <v>74.868349507755696</v>
      </c>
      <c r="AR127" s="5">
        <f t="shared" si="24"/>
        <v>74.955047311645487</v>
      </c>
      <c r="AS127" s="5">
        <f t="shared" si="25"/>
        <v>74.993905633647373</v>
      </c>
      <c r="AT127" s="5">
        <f t="shared" si="30"/>
        <v>2.4833945633319274</v>
      </c>
      <c r="AU127" s="5">
        <f t="shared" si="31"/>
        <v>60.275479492244315</v>
      </c>
      <c r="AV127" s="5">
        <f t="shared" si="32"/>
        <v>74.955047311645487</v>
      </c>
      <c r="AW127" s="5">
        <f t="shared" si="32"/>
        <v>3.5042565706395692</v>
      </c>
      <c r="AY127" s="5">
        <f>0.15*(Y127-Y126)+(1-0.15)*AY126</f>
        <v>-0.56194578689065855</v>
      </c>
      <c r="AZ127" s="5">
        <f>0.25*(Y127-Y126)+(1-0.25)*AZ126</f>
        <v>-0.92786615107205728</v>
      </c>
      <c r="BA127" s="5">
        <f>0.45*(Y127-Y126)+(1-0.45)*BA126</f>
        <v>-1.1947652277317045</v>
      </c>
      <c r="BB127" s="5">
        <f>0.85*(Y127-Y126)+(1-0.85)*BB126</f>
        <v>-0.94730426856204875</v>
      </c>
      <c r="BC127" s="5">
        <f>Y127+AY127</f>
        <v>131.20308968668769</v>
      </c>
      <c r="BD127" s="5">
        <f>Y127+AZ127</f>
        <v>130.83716932250627</v>
      </c>
      <c r="BE127" s="5">
        <f>Y127+BA127</f>
        <v>130.57027024584664</v>
      </c>
      <c r="BF127" s="5">
        <f>Y127+BB127</f>
        <v>130.81773120501629</v>
      </c>
      <c r="BG127" s="5">
        <f t="shared" si="33"/>
        <v>3.9407393133123207</v>
      </c>
      <c r="BH127" s="5">
        <f t="shared" si="34"/>
        <v>4.3066596774937409</v>
      </c>
      <c r="BI127" s="5">
        <f t="shared" si="35"/>
        <v>4.5735587541533675</v>
      </c>
      <c r="BJ127" s="5">
        <f t="shared" si="36"/>
        <v>4.326097794983724</v>
      </c>
    </row>
    <row r="128" spans="13:62" x14ac:dyDescent="0.35">
      <c r="M128" s="2">
        <v>126</v>
      </c>
      <c r="N128" s="3">
        <v>43962</v>
      </c>
      <c r="O128" s="1">
        <v>78.475371999999993</v>
      </c>
      <c r="P128" s="1">
        <v>132.54776000000001</v>
      </c>
      <c r="R128" s="5">
        <f t="shared" si="26"/>
        <v>72.355152803556635</v>
      </c>
      <c r="S128" s="5">
        <f t="shared" si="27"/>
        <v>74.801332512967406</v>
      </c>
      <c r="T128" s="5">
        <f t="shared" si="28"/>
        <v>75.889263228630909</v>
      </c>
      <c r="U128" s="5">
        <f t="shared" si="29"/>
        <v>76.592645597228312</v>
      </c>
      <c r="V128" s="5"/>
      <c r="W128" s="5">
        <f>0.15*P127+(1-0.15)*W127</f>
        <v>134.58775229093942</v>
      </c>
      <c r="X128" s="5">
        <f>0.35*P127+(1-0.35)*X127</f>
        <v>133.7120833653324</v>
      </c>
      <c r="Y128" s="5">
        <f>0.55*P127+(1-0.55)*Y127</f>
        <v>133.62337191311025</v>
      </c>
      <c r="Z128" s="5">
        <f>0.75*P127+(1-0.75)*Z127</f>
        <v>134.17532111879797</v>
      </c>
      <c r="AB128" s="5">
        <f t="shared" si="19"/>
        <v>7.7989043447202242</v>
      </c>
      <c r="AC128" s="5">
        <f t="shared" si="20"/>
        <v>4.6817739035790584</v>
      </c>
      <c r="AD128" s="5">
        <f t="shared" si="21"/>
        <v>3.2954399647434407</v>
      </c>
      <c r="AE128" s="5">
        <f t="shared" si="22"/>
        <v>2.3991302682473186</v>
      </c>
      <c r="AG128" s="5">
        <f>ABS((P128-W128)/P128)*100</f>
        <v>1.5390620640736661</v>
      </c>
      <c r="AH128" s="5">
        <f>ABS((P128-X128)/P128)*100</f>
        <v>0.87841798709566499</v>
      </c>
      <c r="AI128" s="5">
        <f>ABS((P128-Y128)/P128)*100</f>
        <v>0.81149007203911749</v>
      </c>
      <c r="AJ128" s="5">
        <f>ABS((P128-Z128)/P128)*100</f>
        <v>1.2279054122061031</v>
      </c>
      <c r="AL128" s="5">
        <f>0.15*(T128-T127)+(1-0.15)*AL127</f>
        <v>0.72891027517156948</v>
      </c>
      <c r="AM128" s="5">
        <f>0.25*(T128-T127)+(1-0.25)*AM127</f>
        <v>0.90926120768357177</v>
      </c>
      <c r="AN128" s="5">
        <f>0.45*(T128-T127)+(1-0.45)*AN127</f>
        <v>1.161127743997995</v>
      </c>
      <c r="AO128" s="5">
        <f>0.85*(T128-T127)+(1-0.85)*AO127</f>
        <v>1.5406428590924477</v>
      </c>
      <c r="AP128" s="5">
        <f>T128+AL128</f>
        <v>76.618173503802481</v>
      </c>
      <c r="AQ128" s="5">
        <f t="shared" si="23"/>
        <v>76.79852443631448</v>
      </c>
      <c r="AR128" s="5">
        <f t="shared" si="24"/>
        <v>77.050390972628904</v>
      </c>
      <c r="AS128" s="5">
        <f t="shared" si="25"/>
        <v>77.429906087723353</v>
      </c>
      <c r="AT128" s="5">
        <f t="shared" si="30"/>
        <v>1.8571984961975119</v>
      </c>
      <c r="AU128" s="5">
        <f t="shared" si="31"/>
        <v>55.749235563685531</v>
      </c>
      <c r="AV128" s="5">
        <f t="shared" si="32"/>
        <v>77.050390972628904</v>
      </c>
      <c r="AW128" s="5">
        <f t="shared" si="32"/>
        <v>5.074753284166718</v>
      </c>
      <c r="AY128" s="5">
        <f>0.15*(Y128-Y127)+(1-0.15)*AY127</f>
        <v>-0.19890345292727313</v>
      </c>
      <c r="AZ128" s="5">
        <f>0.25*(Y128-Y127)+(1-0.25)*AZ127</f>
        <v>-0.23131550342106522</v>
      </c>
      <c r="BA128" s="5">
        <f>0.45*(Y128-Y127)+(1-0.45)*BA127</f>
        <v>0.17913052253692241</v>
      </c>
      <c r="BB128" s="5">
        <f>0.85*(Y128-Y127)+(1-0.85)*BB127</f>
        <v>1.4374903333178168</v>
      </c>
      <c r="BC128" s="5">
        <f>Y128+AY128</f>
        <v>133.42446846018296</v>
      </c>
      <c r="BD128" s="5">
        <f>Y128+AZ128</f>
        <v>133.39205640968919</v>
      </c>
      <c r="BE128" s="5">
        <f>Y128+BA128</f>
        <v>133.80250243564717</v>
      </c>
      <c r="BF128" s="5">
        <f>Y128+BB128</f>
        <v>135.06086224642806</v>
      </c>
      <c r="BG128" s="5">
        <f t="shared" si="33"/>
        <v>0.87670846018295379</v>
      </c>
      <c r="BH128" s="5">
        <f t="shared" si="34"/>
        <v>0.84429640968917852</v>
      </c>
      <c r="BI128" s="5">
        <f t="shared" si="35"/>
        <v>1.2547424356471595</v>
      </c>
      <c r="BJ128" s="5">
        <f t="shared" si="36"/>
        <v>2.5131022464280477</v>
      </c>
    </row>
    <row r="129" spans="13:62" x14ac:dyDescent="0.35">
      <c r="M129" s="2">
        <v>127</v>
      </c>
      <c r="N129" s="3">
        <v>43963</v>
      </c>
      <c r="O129" s="1">
        <v>77.578536999999997</v>
      </c>
      <c r="P129" s="1">
        <v>125.944046</v>
      </c>
      <c r="R129" s="5">
        <f t="shared" si="26"/>
        <v>73.273185683023129</v>
      </c>
      <c r="S129" s="5">
        <f t="shared" si="27"/>
        <v>76.087246333428808</v>
      </c>
      <c r="T129" s="5">
        <f t="shared" si="28"/>
        <v>77.311623052883903</v>
      </c>
      <c r="U129" s="5">
        <f t="shared" si="29"/>
        <v>78.004690399307066</v>
      </c>
      <c r="V129" s="5"/>
      <c r="W129" s="5">
        <f>0.15*P128+(1-0.15)*W128</f>
        <v>134.28175344729851</v>
      </c>
      <c r="X129" s="5">
        <f>0.35*P128+(1-0.35)*X128</f>
        <v>133.30457018746608</v>
      </c>
      <c r="Y129" s="5">
        <f>0.55*P128+(1-0.55)*Y128</f>
        <v>133.03178536089962</v>
      </c>
      <c r="Z129" s="5">
        <f>0.75*P128+(1-0.75)*Z128</f>
        <v>132.95465027969948</v>
      </c>
      <c r="AB129" s="5">
        <f t="shared" si="19"/>
        <v>5.5496680956704143</v>
      </c>
      <c r="AC129" s="5">
        <f t="shared" si="20"/>
        <v>1.9222980017929299</v>
      </c>
      <c r="AD129" s="5">
        <f t="shared" si="21"/>
        <v>0.34405643292305788</v>
      </c>
      <c r="AE129" s="5">
        <f t="shared" si="22"/>
        <v>0.54931868502117864</v>
      </c>
      <c r="AG129" s="5">
        <f>ABS((P129-W129)/P129)*100</f>
        <v>6.6201680127844327</v>
      </c>
      <c r="AH129" s="5">
        <f>ABS((P129-X129)/P129)*100</f>
        <v>5.8442811877475203</v>
      </c>
      <c r="AI129" s="5">
        <f>ABS((P129-Y129)/P129)*100</f>
        <v>5.6276891095745958</v>
      </c>
      <c r="AJ129" s="5">
        <f>ABS((P129-Z129)/P129)*100</f>
        <v>5.5664435932918002</v>
      </c>
      <c r="AL129" s="5">
        <f>0.15*(T129-T128)+(1-0.15)*AL128</f>
        <v>0.83292770753378298</v>
      </c>
      <c r="AM129" s="5">
        <f>0.25*(T129-T128)+(1-0.25)*AM128</f>
        <v>1.0375358618259272</v>
      </c>
      <c r="AN129" s="5">
        <f>0.45*(T129-T128)+(1-0.45)*AN128</f>
        <v>1.2786821801127441</v>
      </c>
      <c r="AO129" s="5">
        <f>0.85*(T129-T128)+(1-0.85)*AO128</f>
        <v>1.4401022794789113</v>
      </c>
      <c r="AP129" s="5">
        <f>T129+AL129</f>
        <v>78.144550760417687</v>
      </c>
      <c r="AQ129" s="5">
        <f t="shared" si="23"/>
        <v>78.349158914709832</v>
      </c>
      <c r="AR129" s="5">
        <f t="shared" si="24"/>
        <v>78.590305232996641</v>
      </c>
      <c r="AS129" s="5">
        <f t="shared" si="25"/>
        <v>78.75172533236281</v>
      </c>
      <c r="AT129" s="5">
        <f t="shared" si="30"/>
        <v>0.56601376041768958</v>
      </c>
      <c r="AU129" s="5">
        <f t="shared" si="31"/>
        <v>47.594887085290168</v>
      </c>
      <c r="AV129" s="5">
        <f t="shared" si="32"/>
        <v>78.590305232996641</v>
      </c>
      <c r="AW129" s="5">
        <f t="shared" si="32"/>
        <v>5.4785396493396803</v>
      </c>
      <c r="AY129" s="5">
        <f>0.15*(Y129-Y128)+(1-0.15)*AY128</f>
        <v>-0.25780591781977646</v>
      </c>
      <c r="AZ129" s="5">
        <f>0.25*(Y129-Y128)+(1-0.25)*AZ128</f>
        <v>-0.32138326561845609</v>
      </c>
      <c r="BA129" s="5">
        <f>0.45*(Y129-Y128)+(1-0.45)*BA128</f>
        <v>-0.1676921610994756</v>
      </c>
      <c r="BB129" s="5">
        <f>0.85*(Y129-Y128)+(1-0.85)*BB128</f>
        <v>-0.28722501938136191</v>
      </c>
      <c r="BC129" s="5">
        <f>Y129+AY129</f>
        <v>132.77397944307984</v>
      </c>
      <c r="BD129" s="5">
        <f>Y129+AZ129</f>
        <v>132.71040209528115</v>
      </c>
      <c r="BE129" s="5">
        <f>Y129+BA129</f>
        <v>132.86409319980015</v>
      </c>
      <c r="BF129" s="5">
        <f>Y129+BB129</f>
        <v>132.74456034151825</v>
      </c>
      <c r="BG129" s="5">
        <f t="shared" si="33"/>
        <v>6.8299334430798382</v>
      </c>
      <c r="BH129" s="5">
        <f t="shared" si="34"/>
        <v>6.7663560952811537</v>
      </c>
      <c r="BI129" s="5">
        <f t="shared" si="35"/>
        <v>6.9200471998001518</v>
      </c>
      <c r="BJ129" s="5">
        <f t="shared" si="36"/>
        <v>6.8005143415182516</v>
      </c>
    </row>
    <row r="130" spans="13:62" x14ac:dyDescent="0.35">
      <c r="M130" s="2">
        <v>128</v>
      </c>
      <c r="N130" s="3">
        <v>43964</v>
      </c>
      <c r="O130" s="1">
        <v>76.641852999999998</v>
      </c>
      <c r="P130" s="1">
        <v>121.383652</v>
      </c>
      <c r="R130" s="5">
        <f t="shared" si="26"/>
        <v>73.918988380569658</v>
      </c>
      <c r="S130" s="5">
        <f t="shared" si="27"/>
        <v>76.609198066728723</v>
      </c>
      <c r="T130" s="5">
        <f t="shared" si="28"/>
        <v>77.45842572379776</v>
      </c>
      <c r="U130" s="5">
        <f t="shared" si="29"/>
        <v>77.685075349826775</v>
      </c>
      <c r="V130" s="5"/>
      <c r="W130" s="5">
        <f>0.15*P129+(1-0.15)*W129</f>
        <v>133.03109733020375</v>
      </c>
      <c r="X130" s="5">
        <f>0.35*P129+(1-0.35)*X129</f>
        <v>130.72838672185296</v>
      </c>
      <c r="Y130" s="5">
        <f>0.55*P129+(1-0.55)*Y129</f>
        <v>129.13352871240483</v>
      </c>
      <c r="Z130" s="5">
        <f>0.75*P129+(1-0.75)*Z129</f>
        <v>127.69669706992487</v>
      </c>
      <c r="AB130" s="5">
        <f t="shared" si="19"/>
        <v>3.5527124056229953</v>
      </c>
      <c r="AC130" s="5">
        <f t="shared" si="20"/>
        <v>4.2607181315507135E-2</v>
      </c>
      <c r="AD130" s="5">
        <f t="shared" si="21"/>
        <v>1.0654396936328798</v>
      </c>
      <c r="AE130" s="5">
        <f t="shared" si="22"/>
        <v>1.3611653541659248</v>
      </c>
      <c r="AG130" s="5">
        <f>ABS((P130-W130)/P130)*100</f>
        <v>9.5955634373265948</v>
      </c>
      <c r="AH130" s="5">
        <f>ABS((P130-X130)/P130)*100</f>
        <v>7.6985117582827041</v>
      </c>
      <c r="AI130" s="5">
        <f>ABS((P130-Y130)/P130)*100</f>
        <v>6.3846132363893844</v>
      </c>
      <c r="AJ130" s="5">
        <f>ABS((P130-Z130)/P130)*100</f>
        <v>5.2009022351089493</v>
      </c>
      <c r="AL130" s="5">
        <f>0.15*(T130-T129)+(1-0.15)*AL129</f>
        <v>0.73000895204079408</v>
      </c>
      <c r="AM130" s="5">
        <f>0.25*(T130-T129)+(1-0.25)*AM129</f>
        <v>0.81485256409790963</v>
      </c>
      <c r="AN130" s="5">
        <f>0.45*(T130-T129)+(1-0.45)*AN129</f>
        <v>0.76933640097324496</v>
      </c>
      <c r="AO130" s="5">
        <f>0.85*(T130-T129)+(1-0.85)*AO129</f>
        <v>0.34079761219861521</v>
      </c>
      <c r="AP130" s="5">
        <f>T130+AL130</f>
        <v>78.18843467583855</v>
      </c>
      <c r="AQ130" s="5">
        <f t="shared" si="23"/>
        <v>78.273278287895664</v>
      </c>
      <c r="AR130" s="5">
        <f t="shared" si="24"/>
        <v>78.227762124771004</v>
      </c>
      <c r="AS130" s="5">
        <f t="shared" si="25"/>
        <v>77.799223335996373</v>
      </c>
      <c r="AT130" s="5">
        <f t="shared" si="30"/>
        <v>1.5465816758385529</v>
      </c>
      <c r="AU130" s="5">
        <f t="shared" si="31"/>
        <v>43.110373712104334</v>
      </c>
      <c r="AV130" s="5">
        <f t="shared" si="32"/>
        <v>78.227762124771004</v>
      </c>
      <c r="AW130" s="5">
        <f t="shared" si="32"/>
        <v>3.8802349554267153</v>
      </c>
      <c r="AY130" s="5">
        <f>0.15*(Y130-Y129)+(1-0.15)*AY129</f>
        <v>-0.80387352742102902</v>
      </c>
      <c r="AZ130" s="5">
        <f>0.25*(Y130-Y129)+(1-0.25)*AZ129</f>
        <v>-1.2156016113375405</v>
      </c>
      <c r="BA130" s="5">
        <f>0.45*(Y130-Y129)+(1-0.45)*BA129</f>
        <v>-1.8464461804273689</v>
      </c>
      <c r="BB130" s="5">
        <f>0.85*(Y130-Y129)+(1-0.85)*BB129</f>
        <v>-3.3566019041277788</v>
      </c>
      <c r="BC130" s="5">
        <f>Y130+AY130</f>
        <v>128.32965518498381</v>
      </c>
      <c r="BD130" s="5">
        <f>Y130+AZ130</f>
        <v>127.91792710106728</v>
      </c>
      <c r="BE130" s="5">
        <f>Y130+BA130</f>
        <v>127.28708253197746</v>
      </c>
      <c r="BF130" s="5">
        <f>Y130+BB130</f>
        <v>125.77692680827704</v>
      </c>
      <c r="BG130" s="5">
        <f t="shared" si="33"/>
        <v>6.9460031849838089</v>
      </c>
      <c r="BH130" s="5">
        <f t="shared" si="34"/>
        <v>6.5342751010672799</v>
      </c>
      <c r="BI130" s="5">
        <f t="shared" si="35"/>
        <v>5.9034305319774631</v>
      </c>
      <c r="BJ130" s="5">
        <f t="shared" si="36"/>
        <v>4.3932748082770416</v>
      </c>
    </row>
    <row r="131" spans="13:62" x14ac:dyDescent="0.35">
      <c r="M131" s="2">
        <v>129</v>
      </c>
      <c r="N131" s="3">
        <v>43965</v>
      </c>
      <c r="O131" s="1">
        <v>77.112685999999997</v>
      </c>
      <c r="P131" s="1">
        <v>126.335655</v>
      </c>
      <c r="R131" s="5">
        <f t="shared" si="26"/>
        <v>74.32741807348421</v>
      </c>
      <c r="S131" s="5">
        <f t="shared" si="27"/>
        <v>76.620627293373673</v>
      </c>
      <c r="T131" s="5">
        <f t="shared" si="28"/>
        <v>77.009310725708986</v>
      </c>
      <c r="U131" s="5">
        <f t="shared" si="29"/>
        <v>76.902658587456699</v>
      </c>
      <c r="V131" s="5"/>
      <c r="W131" s="5">
        <f>0.15*P130+(1-0.15)*W130</f>
        <v>131.2839805306732</v>
      </c>
      <c r="X131" s="5">
        <f>0.35*P130+(1-0.35)*X130</f>
        <v>127.45772956920442</v>
      </c>
      <c r="Y131" s="5">
        <f>0.55*P130+(1-0.55)*Y130</f>
        <v>124.87109652058217</v>
      </c>
      <c r="Z131" s="5">
        <f>0.75*P130+(1-0.75)*Z130</f>
        <v>122.96191326748122</v>
      </c>
      <c r="AB131" s="5">
        <f t="shared" si="19"/>
        <v>3.6119451558408766</v>
      </c>
      <c r="AC131" s="5">
        <f t="shared" si="20"/>
        <v>0.63810344594445045</v>
      </c>
      <c r="AD131" s="5">
        <f t="shared" si="21"/>
        <v>0.13405741604048266</v>
      </c>
      <c r="AE131" s="5">
        <f t="shared" si="22"/>
        <v>0.27236428068826118</v>
      </c>
      <c r="AG131" s="5">
        <f>ABS((P131-W131)/P131)*100</f>
        <v>3.9168083868906223</v>
      </c>
      <c r="AH131" s="5">
        <f>ABS((P131-X131)/P131)*100</f>
        <v>0.88816935266961239</v>
      </c>
      <c r="AI131" s="5">
        <f>ABS((P131-Y131)/P131)*100</f>
        <v>1.159259814197213</v>
      </c>
      <c r="AJ131" s="5">
        <f>ABS((P131-Z131)/P131)*100</f>
        <v>2.670458891845521</v>
      </c>
      <c r="AL131" s="5">
        <f>0.15*(T131-T130)+(1-0.15)*AL130</f>
        <v>0.55314035952135887</v>
      </c>
      <c r="AM131" s="5">
        <f>0.25*(T131-T130)+(1-0.25)*AM130</f>
        <v>0.49886067355123864</v>
      </c>
      <c r="AN131" s="5">
        <f>0.45*(T131-T130)+(1-0.45)*AN130</f>
        <v>0.22103327139533643</v>
      </c>
      <c r="AO131" s="5">
        <f>0.85*(T131-T130)+(1-0.85)*AO130</f>
        <v>-0.33062810654566566</v>
      </c>
      <c r="AP131" s="5">
        <f>T131+AL131</f>
        <v>77.56245108523035</v>
      </c>
      <c r="AQ131" s="5">
        <f t="shared" si="23"/>
        <v>77.50817139926022</v>
      </c>
      <c r="AR131" s="5">
        <f t="shared" si="24"/>
        <v>77.230343997104328</v>
      </c>
      <c r="AS131" s="5">
        <f t="shared" si="25"/>
        <v>76.678682619163325</v>
      </c>
      <c r="AT131" s="5">
        <f t="shared" si="30"/>
        <v>0.44976508523035363</v>
      </c>
      <c r="AU131" s="5">
        <f t="shared" si="31"/>
        <v>48.827483600739782</v>
      </c>
      <c r="AV131" s="5">
        <f t="shared" si="32"/>
        <v>77.230343997104328</v>
      </c>
      <c r="AW131" s="5">
        <f t="shared" si="32"/>
        <v>2.3512645456791148</v>
      </c>
      <c r="AY131" s="5">
        <f>0.15*(Y131-Y130)+(1-0.15)*AY130</f>
        <v>-1.3226573270812727</v>
      </c>
      <c r="AZ131" s="5">
        <f>0.25*(Y131-Y130)+(1-0.25)*AZ130</f>
        <v>-1.9773092564588191</v>
      </c>
      <c r="BA131" s="5">
        <f>0.45*(Y131-Y130)+(1-0.45)*BA130</f>
        <v>-2.9336398855552472</v>
      </c>
      <c r="BB131" s="5">
        <f>0.85*(Y131-Y130)+(1-0.85)*BB130</f>
        <v>-4.126557648668423</v>
      </c>
      <c r="BC131" s="5">
        <f>Y131+AY131</f>
        <v>123.5484391935009</v>
      </c>
      <c r="BD131" s="5">
        <f>Y131+AZ131</f>
        <v>122.89378726412335</v>
      </c>
      <c r="BE131" s="5">
        <f>Y131+BA131</f>
        <v>121.93745663502692</v>
      </c>
      <c r="BF131" s="5">
        <f>Y131+BB131</f>
        <v>120.74453887191375</v>
      </c>
      <c r="BG131" s="5">
        <f t="shared" si="33"/>
        <v>2.7872158064991055</v>
      </c>
      <c r="BH131" s="5">
        <f t="shared" si="34"/>
        <v>3.4418677358766558</v>
      </c>
      <c r="BI131" s="5">
        <f t="shared" si="35"/>
        <v>4.3981983649730836</v>
      </c>
      <c r="BJ131" s="5">
        <f t="shared" si="36"/>
        <v>5.5911161280862558</v>
      </c>
    </row>
    <row r="132" spans="13:62" x14ac:dyDescent="0.35">
      <c r="M132" s="2">
        <v>130</v>
      </c>
      <c r="N132" s="3">
        <v>43966</v>
      </c>
      <c r="O132" s="1">
        <v>76.656791999999996</v>
      </c>
      <c r="P132" s="1">
        <v>124.70488</v>
      </c>
      <c r="R132" s="5">
        <f t="shared" si="26"/>
        <v>74.745208262461574</v>
      </c>
      <c r="S132" s="5">
        <f t="shared" si="27"/>
        <v>76.792847840692886</v>
      </c>
      <c r="T132" s="5">
        <f t="shared" si="28"/>
        <v>77.066167126569042</v>
      </c>
      <c r="U132" s="5">
        <f t="shared" si="29"/>
        <v>77.060179146864172</v>
      </c>
      <c r="V132" s="5"/>
      <c r="W132" s="5">
        <f>0.15*P131+(1-0.15)*W131</f>
        <v>130.54173170107222</v>
      </c>
      <c r="X132" s="5">
        <f>0.35*P131+(1-0.35)*X131</f>
        <v>127.06500346998287</v>
      </c>
      <c r="Y132" s="5">
        <f>0.55*P131+(1-0.55)*Y131</f>
        <v>125.67660368426198</v>
      </c>
      <c r="Z132" s="5">
        <f>0.75*P131+(1-0.75)*Z131</f>
        <v>125.49221956687032</v>
      </c>
      <c r="AB132" s="5">
        <f t="shared" ref="AB132:AB195" si="37">ABS((O132-R132)/O132)*100</f>
        <v>2.4936912798782682</v>
      </c>
      <c r="AC132" s="5">
        <f t="shared" ref="AC132:AC195" si="38">ABS((O132-S132)/O132)*100</f>
        <v>0.17748700035985099</v>
      </c>
      <c r="AD132" s="5">
        <f t="shared" ref="AD132:AD195" si="39">ABS((O132-T132)/O132)*100</f>
        <v>0.53403634027503499</v>
      </c>
      <c r="AE132" s="5">
        <f t="shared" ref="AE132:AE195" si="40">ABS((O132-U132)/O132)*100</f>
        <v>0.52622492585415837</v>
      </c>
      <c r="AG132" s="5">
        <f>ABS((P132-W132)/P132)*100</f>
        <v>4.6805319094747695</v>
      </c>
      <c r="AH132" s="5">
        <f>ABS((P132-X132)/P132)*100</f>
        <v>1.8925670510912378</v>
      </c>
      <c r="AI132" s="5">
        <f>ABS((P132-Y132)/P132)*100</f>
        <v>0.77921865147697034</v>
      </c>
      <c r="AJ132" s="5">
        <f>ABS((P132-Z132)/P132)*100</f>
        <v>0.63136227457202587</v>
      </c>
      <c r="AL132" s="5">
        <f>0.15*(T132-T131)+(1-0.15)*AL131</f>
        <v>0.47869776572216344</v>
      </c>
      <c r="AM132" s="5">
        <f>0.25*(T132-T131)+(1-0.25)*AM131</f>
        <v>0.388359605378443</v>
      </c>
      <c r="AN132" s="5">
        <f>0.45*(T132-T131)+(1-0.45)*AN131</f>
        <v>0.14715367965446027</v>
      </c>
      <c r="AO132" s="5">
        <f>0.85*(T132-T131)+(1-0.85)*AO131</f>
        <v>-1.2662752508022096E-3</v>
      </c>
      <c r="AP132" s="5">
        <f>T132+AL132</f>
        <v>77.544864892291201</v>
      </c>
      <c r="AQ132" s="5">
        <f t="shared" ref="AQ132:AQ195" si="41">T132+AM132</f>
        <v>77.454526731947482</v>
      </c>
      <c r="AR132" s="5">
        <f t="shared" ref="AR132:AR195" si="42">T132+AN132</f>
        <v>77.213320806223507</v>
      </c>
      <c r="AS132" s="5">
        <f t="shared" ref="AS132:AS195" si="43">T132+AO132</f>
        <v>77.064900851318242</v>
      </c>
      <c r="AT132" s="5">
        <f t="shared" si="30"/>
        <v>0.88807289229120556</v>
      </c>
      <c r="AU132" s="5">
        <f t="shared" si="31"/>
        <v>47.250353268052521</v>
      </c>
      <c r="AV132" s="5">
        <f t="shared" si="32"/>
        <v>77.213320806223507</v>
      </c>
      <c r="AW132" s="5">
        <f t="shared" ref="AW132:AW195" si="44">ABS(R132-AS132)</f>
        <v>2.3196925888566682</v>
      </c>
      <c r="AY132" s="5">
        <f>0.15*(Y132-Y131)+(1-0.15)*AY131</f>
        <v>-1.0034326534671107</v>
      </c>
      <c r="AZ132" s="5">
        <f>0.25*(Y132-Y131)+(1-0.25)*AZ131</f>
        <v>-1.2816051514241629</v>
      </c>
      <c r="BA132" s="5">
        <f>0.45*(Y132-Y131)+(1-0.45)*BA131</f>
        <v>-1.2510237133994733</v>
      </c>
      <c r="BB132" s="5">
        <f>0.85*(Y132-Y131)+(1-0.85)*BB131</f>
        <v>6.5697441827571645E-2</v>
      </c>
      <c r="BC132" s="5">
        <f>Y132+AY132</f>
        <v>124.67317103079486</v>
      </c>
      <c r="BD132" s="5">
        <f>Y132+AZ132</f>
        <v>124.39499853283782</v>
      </c>
      <c r="BE132" s="5">
        <f>Y132+BA132</f>
        <v>124.4255799708625</v>
      </c>
      <c r="BF132" s="5">
        <f>Y132+BB132</f>
        <v>125.74230112608954</v>
      </c>
      <c r="BG132" s="5">
        <f t="shared" si="33"/>
        <v>3.1708969205141102E-2</v>
      </c>
      <c r="BH132" s="5">
        <f t="shared" si="34"/>
        <v>0.30988146716218523</v>
      </c>
      <c r="BI132" s="5">
        <f t="shared" si="35"/>
        <v>0.27930002913750229</v>
      </c>
      <c r="BJ132" s="5">
        <f t="shared" si="36"/>
        <v>1.0374211260895407</v>
      </c>
    </row>
    <row r="133" spans="13:62" x14ac:dyDescent="0.35">
      <c r="M133" s="2">
        <v>131</v>
      </c>
      <c r="N133" s="3">
        <v>43969</v>
      </c>
      <c r="O133" s="1">
        <v>78.462913999999998</v>
      </c>
      <c r="P133" s="1">
        <v>135.27510100000001</v>
      </c>
      <c r="R133" s="5">
        <f t="shared" ref="R133:R196" si="45">0.15*O132+(1-0.15)*R132</f>
        <v>75.031945823092343</v>
      </c>
      <c r="S133" s="5">
        <f t="shared" ref="S133:S196" si="46">0.35*O132+(1-0.35)*S132</f>
        <v>76.745228296450378</v>
      </c>
      <c r="T133" s="5">
        <f t="shared" ref="T133:T196" si="47">0.55*O132+(1-0.55)*T132</f>
        <v>76.841010806956064</v>
      </c>
      <c r="U133" s="5">
        <f t="shared" ref="U133:U196" si="48">0.75*O132+(1-0.75)*U132</f>
        <v>76.757638786716043</v>
      </c>
      <c r="V133" s="5"/>
      <c r="W133" s="5">
        <f>0.15*P132+(1-0.15)*W132</f>
        <v>129.66620394591138</v>
      </c>
      <c r="X133" s="5">
        <f>0.35*P132+(1-0.35)*X132</f>
        <v>126.23896025548888</v>
      </c>
      <c r="Y133" s="5">
        <f>0.55*P132+(1-0.55)*Y132</f>
        <v>125.1421556579179</v>
      </c>
      <c r="Z133" s="5">
        <f>0.75*P132+(1-0.75)*Z132</f>
        <v>124.90171489171757</v>
      </c>
      <c r="AB133" s="5">
        <f t="shared" si="37"/>
        <v>4.3727259185245844</v>
      </c>
      <c r="AC133" s="5">
        <f t="shared" si="38"/>
        <v>2.189168890094523</v>
      </c>
      <c r="AD133" s="5">
        <f t="shared" si="39"/>
        <v>2.067095281528716</v>
      </c>
      <c r="AE133" s="5">
        <f t="shared" si="40"/>
        <v>2.1733518758734278</v>
      </c>
      <c r="AG133" s="5">
        <f>ABS((P133-W133)/P133)*100</f>
        <v>4.1462893116513948</v>
      </c>
      <c r="AH133" s="5">
        <f>ABS((P133-X133)/P133)*100</f>
        <v>6.6798255390037582</v>
      </c>
      <c r="AI133" s="5">
        <f>ABS((P133-Y133)/P133)*100</f>
        <v>7.4906211617480958</v>
      </c>
      <c r="AJ133" s="5">
        <f>ABS((P133-Z133)/P133)*100</f>
        <v>7.6683632328483213</v>
      </c>
      <c r="AL133" s="5">
        <f>0.15*(T133-T132)+(1-0.15)*AL132</f>
        <v>0.3731196529218922</v>
      </c>
      <c r="AM133" s="5">
        <f>0.25*(T133-T132)+(1-0.25)*AM132</f>
        <v>0.23498062413058773</v>
      </c>
      <c r="AN133" s="5">
        <f>0.45*(T133-T132)+(1-0.45)*AN132</f>
        <v>-2.0385820015886943E-2</v>
      </c>
      <c r="AO133" s="5">
        <f>0.85*(T133-T132)+(1-0.85)*AO132</f>
        <v>-0.19157281295865164</v>
      </c>
      <c r="AP133" s="5">
        <f>T133+AL133</f>
        <v>77.21413045987795</v>
      </c>
      <c r="AQ133" s="5">
        <f t="shared" si="41"/>
        <v>77.075991431086649</v>
      </c>
      <c r="AR133" s="5">
        <f t="shared" si="42"/>
        <v>76.820624986940174</v>
      </c>
      <c r="AS133" s="5">
        <f t="shared" si="43"/>
        <v>76.64943799399741</v>
      </c>
      <c r="AT133" s="5">
        <f t="shared" ref="AT133:AT196" si="49">ABS(O133-AP133)</f>
        <v>1.248783540122048</v>
      </c>
      <c r="AU133" s="5">
        <f t="shared" ref="AU133:AU196" si="50">ABS(P133-AQ133)</f>
        <v>58.199109568913357</v>
      </c>
      <c r="AV133" s="5">
        <f t="shared" ref="AT133:AW196" si="51">ABS(Q133-AR133)</f>
        <v>76.820624986940174</v>
      </c>
      <c r="AW133" s="5">
        <f t="shared" si="44"/>
        <v>1.6174921709050665</v>
      </c>
      <c r="AY133" s="5">
        <f>0.15*(Y133-Y132)+(1-0.15)*AY132</f>
        <v>-0.9330849593986561</v>
      </c>
      <c r="AZ133" s="5">
        <f>0.25*(Y133-Y132)+(1-0.25)*AZ132</f>
        <v>-1.0948158701541422</v>
      </c>
      <c r="BA133" s="5">
        <f>0.45*(Y133-Y132)+(1-0.45)*BA132</f>
        <v>-0.92856465422454648</v>
      </c>
      <c r="BB133" s="5">
        <f>0.85*(Y133-Y132)+(1-0.85)*BB132</f>
        <v>-0.44442620611833228</v>
      </c>
      <c r="BC133" s="5">
        <f>Y133+AY133</f>
        <v>124.20907069851924</v>
      </c>
      <c r="BD133" s="5">
        <f>Y133+AZ133</f>
        <v>124.04733978776376</v>
      </c>
      <c r="BE133" s="5">
        <f>Y133+BA133</f>
        <v>124.21359100369335</v>
      </c>
      <c r="BF133" s="5">
        <f>Y133+BB133</f>
        <v>124.69772945179956</v>
      </c>
      <c r="BG133" s="5">
        <f t="shared" ref="BG133:BG196" si="52">ABS(P133-BC133)</f>
        <v>11.066030301480765</v>
      </c>
      <c r="BH133" s="5">
        <f t="shared" ref="BH133:BH196" si="53">ABS(P133-BD133)</f>
        <v>11.227761212236246</v>
      </c>
      <c r="BI133" s="5">
        <f t="shared" ref="BI133:BI196" si="54">ABS(P133-BE133)</f>
        <v>11.061509996306654</v>
      </c>
      <c r="BJ133" s="5">
        <f t="shared" ref="BJ133:BJ196" si="55">ABS(P133-BF133)</f>
        <v>10.577371548200446</v>
      </c>
    </row>
    <row r="134" spans="13:62" x14ac:dyDescent="0.35">
      <c r="M134" s="2">
        <v>132</v>
      </c>
      <c r="N134" s="3">
        <v>43970</v>
      </c>
      <c r="O134" s="1">
        <v>78.009521000000007</v>
      </c>
      <c r="P134" s="1">
        <v>131.208099</v>
      </c>
      <c r="R134" s="5">
        <f t="shared" si="45"/>
        <v>75.546591049628489</v>
      </c>
      <c r="S134" s="5">
        <f t="shared" si="46"/>
        <v>77.346418292692746</v>
      </c>
      <c r="T134" s="5">
        <f t="shared" si="47"/>
        <v>77.733057563130231</v>
      </c>
      <c r="U134" s="5">
        <f t="shared" si="48"/>
        <v>78.036595196679002</v>
      </c>
      <c r="V134" s="5"/>
      <c r="W134" s="5">
        <f>0.15*P133+(1-0.15)*W133</f>
        <v>130.50753850402467</v>
      </c>
      <c r="X134" s="5">
        <f>0.35*P133+(1-0.35)*X133</f>
        <v>129.40160951606777</v>
      </c>
      <c r="Y134" s="5">
        <f>0.55*P133+(1-0.55)*Y133</f>
        <v>130.71527559606307</v>
      </c>
      <c r="Z134" s="5">
        <f>0.75*P133+(1-0.75)*Z133</f>
        <v>132.68175447292941</v>
      </c>
      <c r="AB134" s="5">
        <f t="shared" si="37"/>
        <v>3.1572171176022441</v>
      </c>
      <c r="AC134" s="5">
        <f t="shared" si="38"/>
        <v>0.8500279181399667</v>
      </c>
      <c r="AD134" s="5">
        <f t="shared" si="39"/>
        <v>0.35439704452200849</v>
      </c>
      <c r="AE134" s="5">
        <f t="shared" si="40"/>
        <v>3.4706272172848718E-2</v>
      </c>
      <c r="AG134" s="5">
        <f>ABS((P134-W134)/P134)*100</f>
        <v>0.53393083301613753</v>
      </c>
      <c r="AH134" s="5">
        <f>ABS((P134-X134)/P134)*100</f>
        <v>1.3768124816229821</v>
      </c>
      <c r="AI134" s="5">
        <f>ABS((P134-Y134)/P134)*100</f>
        <v>0.37560440833529535</v>
      </c>
      <c r="AJ134" s="5">
        <f>ABS((P134-Z134)/P134)*100</f>
        <v>1.1231436810386288</v>
      </c>
      <c r="AL134" s="5">
        <f>0.15*(T134-T133)+(1-0.15)*AL133</f>
        <v>0.45095871840973345</v>
      </c>
      <c r="AM134" s="5">
        <f>0.25*(T134-T133)+(1-0.25)*AM133</f>
        <v>0.39924715714148262</v>
      </c>
      <c r="AN134" s="5">
        <f>0.45*(T134-T133)+(1-0.45)*AN133</f>
        <v>0.39020883926963751</v>
      </c>
      <c r="AO134" s="5">
        <f>0.85*(T134-T133)+(1-0.85)*AO133</f>
        <v>0.72950382080424458</v>
      </c>
      <c r="AP134" s="5">
        <f>T134+AL134</f>
        <v>78.184016281539968</v>
      </c>
      <c r="AQ134" s="5">
        <f t="shared" si="41"/>
        <v>78.132304720271719</v>
      </c>
      <c r="AR134" s="5">
        <f t="shared" si="42"/>
        <v>78.123266402399864</v>
      </c>
      <c r="AS134" s="5">
        <f t="shared" si="43"/>
        <v>78.462561383934471</v>
      </c>
      <c r="AT134" s="5">
        <f t="shared" si="49"/>
        <v>0.17449528153996141</v>
      </c>
      <c r="AU134" s="5">
        <f t="shared" si="50"/>
        <v>53.075794279728285</v>
      </c>
      <c r="AV134" s="5">
        <f t="shared" si="51"/>
        <v>78.123266402399864</v>
      </c>
      <c r="AW134" s="5">
        <f t="shared" si="44"/>
        <v>2.9159703343059817</v>
      </c>
      <c r="AY134" s="5">
        <f>0.15*(Y134-Y133)+(1-0.15)*AY133</f>
        <v>4.284577523291766E-2</v>
      </c>
      <c r="AZ134" s="5">
        <f>0.25*(Y134-Y133)+(1-0.25)*AZ133</f>
        <v>0.57216808192068558</v>
      </c>
      <c r="BA134" s="5">
        <f>0.45*(Y134-Y133)+(1-0.45)*BA133</f>
        <v>1.9971934123418258</v>
      </c>
      <c r="BB134" s="5">
        <f>0.85*(Y134-Y133)+(1-0.85)*BB133</f>
        <v>4.6704880165056428</v>
      </c>
      <c r="BC134" s="5">
        <f>Y134+AY134</f>
        <v>130.75812137129597</v>
      </c>
      <c r="BD134" s="5">
        <f>Y134+AZ134</f>
        <v>131.28744367798376</v>
      </c>
      <c r="BE134" s="5">
        <f>Y134+BA134</f>
        <v>132.7124690084049</v>
      </c>
      <c r="BF134" s="5">
        <f>Y134+BB134</f>
        <v>135.3857636125687</v>
      </c>
      <c r="BG134" s="5">
        <f t="shared" si="52"/>
        <v>0.44997762870403335</v>
      </c>
      <c r="BH134" s="5">
        <f t="shared" si="53"/>
        <v>7.9344677983755219E-2</v>
      </c>
      <c r="BI134" s="5">
        <f t="shared" si="54"/>
        <v>1.5043700084048908</v>
      </c>
      <c r="BJ134" s="5">
        <f t="shared" si="55"/>
        <v>4.1776646125686909</v>
      </c>
    </row>
    <row r="135" spans="13:62" x14ac:dyDescent="0.35">
      <c r="M135" s="2">
        <v>133</v>
      </c>
      <c r="N135" s="3">
        <v>43971</v>
      </c>
      <c r="O135" s="1">
        <v>79.526664999999994</v>
      </c>
      <c r="P135" s="1">
        <v>135.26516699999999</v>
      </c>
      <c r="R135" s="5">
        <f t="shared" si="45"/>
        <v>75.916030542184217</v>
      </c>
      <c r="S135" s="5">
        <f t="shared" si="46"/>
        <v>77.578504240250282</v>
      </c>
      <c r="T135" s="5">
        <f t="shared" si="47"/>
        <v>77.885112453408595</v>
      </c>
      <c r="U135" s="5">
        <f t="shared" si="48"/>
        <v>78.016289549169755</v>
      </c>
      <c r="V135" s="5"/>
      <c r="W135" s="5">
        <f>0.15*P134+(1-0.15)*W134</f>
        <v>130.61262257842097</v>
      </c>
      <c r="X135" s="5">
        <f>0.35*P134+(1-0.35)*X134</f>
        <v>130.03388083544405</v>
      </c>
      <c r="Y135" s="5">
        <f>0.55*P134+(1-0.55)*Y134</f>
        <v>130.98632846822838</v>
      </c>
      <c r="Z135" s="5">
        <f>0.75*P134+(1-0.75)*Z134</f>
        <v>131.57651286823236</v>
      </c>
      <c r="AB135" s="5">
        <f t="shared" si="37"/>
        <v>4.5401557550738207</v>
      </c>
      <c r="AC135" s="5">
        <f t="shared" si="38"/>
        <v>2.4496950296478697</v>
      </c>
      <c r="AD135" s="5">
        <f t="shared" si="39"/>
        <v>2.0641536352510181</v>
      </c>
      <c r="AE135" s="5">
        <f t="shared" si="40"/>
        <v>1.8992063238540671</v>
      </c>
      <c r="AG135" s="5">
        <f>ABS((P135-W135)/P135)*100</f>
        <v>3.4395731915068888</v>
      </c>
      <c r="AH135" s="5">
        <f>ABS((P135-X135)/P135)*100</f>
        <v>3.8674303818040157</v>
      </c>
      <c r="AI135" s="5">
        <f>ABS((P135-Y135)/P135)*100</f>
        <v>3.1632966762031298</v>
      </c>
      <c r="AJ135" s="5">
        <f>ABS((P135-Z135)/P135)*100</f>
        <v>2.7269800596687506</v>
      </c>
      <c r="AL135" s="5">
        <f>0.15*(T135-T134)+(1-0.15)*AL134</f>
        <v>0.4061231441900281</v>
      </c>
      <c r="AM135" s="5">
        <f>0.25*(T135-T134)+(1-0.25)*AM134</f>
        <v>0.33744909042570309</v>
      </c>
      <c r="AN135" s="5">
        <f>0.45*(T135-T134)+(1-0.45)*AN134</f>
        <v>0.28303956222356469</v>
      </c>
      <c r="AO135" s="5">
        <f>0.85*(T135-T134)+(1-0.85)*AO134</f>
        <v>0.23867222985724651</v>
      </c>
      <c r="AP135" s="5">
        <f>T135+AL135</f>
        <v>78.291235597598629</v>
      </c>
      <c r="AQ135" s="5">
        <f t="shared" si="41"/>
        <v>78.222561543834303</v>
      </c>
      <c r="AR135" s="5">
        <f t="shared" si="42"/>
        <v>78.16815201563216</v>
      </c>
      <c r="AS135" s="5">
        <f t="shared" si="43"/>
        <v>78.123784683265839</v>
      </c>
      <c r="AT135" s="5">
        <f t="shared" si="49"/>
        <v>1.2354294024013655</v>
      </c>
      <c r="AU135" s="5">
        <f t="shared" si="50"/>
        <v>57.042605456165688</v>
      </c>
      <c r="AV135" s="5">
        <f t="shared" si="51"/>
        <v>78.16815201563216</v>
      </c>
      <c r="AW135" s="5">
        <f t="shared" si="44"/>
        <v>2.2077541410816224</v>
      </c>
      <c r="AY135" s="5">
        <f>0.15*(Y135-Y134)+(1-0.15)*AY134</f>
        <v>7.7076839772777017E-2</v>
      </c>
      <c r="AZ135" s="5">
        <f>0.25*(Y135-Y134)+(1-0.25)*AZ134</f>
        <v>0.49688927948184253</v>
      </c>
      <c r="BA135" s="5">
        <f>0.45*(Y135-Y134)+(1-0.45)*BA134</f>
        <v>1.2204301692623953</v>
      </c>
      <c r="BB135" s="5">
        <f>0.85*(Y135-Y134)+(1-0.85)*BB134</f>
        <v>0.93096814381636284</v>
      </c>
      <c r="BC135" s="5">
        <f>Y135+AY135</f>
        <v>131.06340530800117</v>
      </c>
      <c r="BD135" s="5">
        <f>Y135+AZ135</f>
        <v>131.48321774771023</v>
      </c>
      <c r="BE135" s="5">
        <f>Y135+BA135</f>
        <v>132.20675863749076</v>
      </c>
      <c r="BF135" s="5">
        <f>Y135+BB135</f>
        <v>131.91729661204474</v>
      </c>
      <c r="BG135" s="5">
        <f t="shared" si="52"/>
        <v>4.2017616919988257</v>
      </c>
      <c r="BH135" s="5">
        <f t="shared" si="53"/>
        <v>3.7819492522897633</v>
      </c>
      <c r="BI135" s="5">
        <f t="shared" si="54"/>
        <v>3.0584083625092262</v>
      </c>
      <c r="BJ135" s="5">
        <f t="shared" si="55"/>
        <v>3.347870387955254</v>
      </c>
    </row>
    <row r="136" spans="13:62" x14ac:dyDescent="0.35">
      <c r="M136" s="2">
        <v>134</v>
      </c>
      <c r="N136" s="3">
        <v>43972</v>
      </c>
      <c r="O136" s="1">
        <v>78.933753999999993</v>
      </c>
      <c r="P136" s="1">
        <v>136.91583299999999</v>
      </c>
      <c r="R136" s="5">
        <f t="shared" si="45"/>
        <v>76.45762571085659</v>
      </c>
      <c r="S136" s="5">
        <f t="shared" si="46"/>
        <v>78.260360506162684</v>
      </c>
      <c r="T136" s="5">
        <f t="shared" si="47"/>
        <v>78.78796635403387</v>
      </c>
      <c r="U136" s="5">
        <f t="shared" si="48"/>
        <v>79.149071137292438</v>
      </c>
      <c r="V136" s="5"/>
      <c r="W136" s="5">
        <f>0.15*P135+(1-0.15)*W135</f>
        <v>131.31050424165781</v>
      </c>
      <c r="X136" s="5">
        <f>0.35*P135+(1-0.35)*X135</f>
        <v>131.86483099303862</v>
      </c>
      <c r="Y136" s="5">
        <f>0.55*P135+(1-0.55)*Y135</f>
        <v>133.33968966070276</v>
      </c>
      <c r="Z136" s="5">
        <f>0.75*P135+(1-0.75)*Z135</f>
        <v>134.34300346705808</v>
      </c>
      <c r="AB136" s="5">
        <f t="shared" si="37"/>
        <v>3.1369701346567198</v>
      </c>
      <c r="AC136" s="5">
        <f t="shared" si="38"/>
        <v>0.85311221082594102</v>
      </c>
      <c r="AD136" s="5">
        <f t="shared" si="39"/>
        <v>0.18469620229404471</v>
      </c>
      <c r="AE136" s="5">
        <f t="shared" si="40"/>
        <v>0.27278208165855733</v>
      </c>
      <c r="AG136" s="5">
        <f>ABS((P136-W136)/P136)*100</f>
        <v>4.0939960233395229</v>
      </c>
      <c r="AH136" s="5">
        <f>ABS((P136-X136)/P136)*100</f>
        <v>3.6891292236167961</v>
      </c>
      <c r="AI136" s="5">
        <f>ABS((P136-Y136)/P136)*100</f>
        <v>2.6119282634735406</v>
      </c>
      <c r="AJ136" s="5">
        <f>ABS((P136-Z136)/P136)*100</f>
        <v>1.8791322205532721</v>
      </c>
      <c r="AL136" s="5">
        <f>0.15*(T136-T135)+(1-0.15)*AL135</f>
        <v>0.48063275765531499</v>
      </c>
      <c r="AM136" s="5">
        <f>0.25*(T136-T135)+(1-0.25)*AM135</f>
        <v>0.4788002929755959</v>
      </c>
      <c r="AN136" s="5">
        <f>0.45*(T136-T135)+(1-0.45)*AN135</f>
        <v>0.56195601450433397</v>
      </c>
      <c r="AO136" s="5">
        <f>0.85*(T136-T135)+(1-0.85)*AO135</f>
        <v>0.8032266500100701</v>
      </c>
      <c r="AP136" s="5">
        <f>T136+AL136</f>
        <v>79.268599111689184</v>
      </c>
      <c r="AQ136" s="5">
        <f t="shared" si="41"/>
        <v>79.266766647009462</v>
      </c>
      <c r="AR136" s="5">
        <f t="shared" si="42"/>
        <v>79.349922368538202</v>
      </c>
      <c r="AS136" s="5">
        <f t="shared" si="43"/>
        <v>79.591193004043944</v>
      </c>
      <c r="AT136" s="5">
        <f t="shared" si="49"/>
        <v>0.33484511168919084</v>
      </c>
      <c r="AU136" s="5">
        <f t="shared" si="50"/>
        <v>57.649066352990531</v>
      </c>
      <c r="AV136" s="5">
        <f t="shared" si="51"/>
        <v>79.349922368538202</v>
      </c>
      <c r="AW136" s="5">
        <f t="shared" si="44"/>
        <v>3.1335672931873546</v>
      </c>
      <c r="AY136" s="5">
        <f>0.15*(Y136-Y135)+(1-0.15)*AY135</f>
        <v>0.41851949267801758</v>
      </c>
      <c r="AZ136" s="5">
        <f>0.25*(Y136-Y135)+(1-0.25)*AZ135</f>
        <v>0.96100725772997708</v>
      </c>
      <c r="BA136" s="5">
        <f>0.45*(Y136-Y135)+(1-0.45)*BA135</f>
        <v>1.7302491297077891</v>
      </c>
      <c r="BB136" s="5">
        <f>0.85*(Y136-Y135)+(1-0.85)*BB135</f>
        <v>2.140002235175678</v>
      </c>
      <c r="BC136" s="5">
        <f>Y136+AY136</f>
        <v>133.75820915338079</v>
      </c>
      <c r="BD136" s="5">
        <f>Y136+AZ136</f>
        <v>134.30069691843275</v>
      </c>
      <c r="BE136" s="5">
        <f>Y136+BA136</f>
        <v>135.06993879041056</v>
      </c>
      <c r="BF136" s="5">
        <f>Y136+BB136</f>
        <v>135.47969189587843</v>
      </c>
      <c r="BG136" s="5">
        <f t="shared" si="52"/>
        <v>3.1576238466192024</v>
      </c>
      <c r="BH136" s="5">
        <f t="shared" si="53"/>
        <v>2.6151360815672433</v>
      </c>
      <c r="BI136" s="5">
        <f t="shared" si="54"/>
        <v>1.8458942095894315</v>
      </c>
      <c r="BJ136" s="5">
        <f t="shared" si="55"/>
        <v>1.4361411041215604</v>
      </c>
    </row>
    <row r="137" spans="13:62" x14ac:dyDescent="0.35">
      <c r="M137" s="2">
        <v>135</v>
      </c>
      <c r="N137" s="3">
        <v>43973</v>
      </c>
      <c r="O137" s="1">
        <v>79.441963000000001</v>
      </c>
      <c r="P137" s="1">
        <v>138.397446</v>
      </c>
      <c r="R137" s="5">
        <f t="shared" si="45"/>
        <v>76.829044954228095</v>
      </c>
      <c r="S137" s="5">
        <f t="shared" si="46"/>
        <v>78.496048229005737</v>
      </c>
      <c r="T137" s="5">
        <f t="shared" si="47"/>
        <v>78.868149559315242</v>
      </c>
      <c r="U137" s="5">
        <f t="shared" si="48"/>
        <v>78.987583284323108</v>
      </c>
      <c r="V137" s="5"/>
      <c r="W137" s="5">
        <f>0.15*P136+(1-0.15)*W136</f>
        <v>132.15130355540913</v>
      </c>
      <c r="X137" s="5">
        <f>0.35*P136+(1-0.35)*X136</f>
        <v>133.6326816954751</v>
      </c>
      <c r="Y137" s="5">
        <f>0.55*P136+(1-0.55)*Y136</f>
        <v>135.30656849731625</v>
      </c>
      <c r="Z137" s="5">
        <f>0.75*P136+(1-0.75)*Z136</f>
        <v>136.27262561676451</v>
      </c>
      <c r="AB137" s="5">
        <f t="shared" si="37"/>
        <v>3.2890904845489608</v>
      </c>
      <c r="AC137" s="5">
        <f t="shared" si="38"/>
        <v>1.1906991409493042</v>
      </c>
      <c r="AD137" s="5">
        <f t="shared" si="39"/>
        <v>0.72230521378828372</v>
      </c>
      <c r="AE137" s="5">
        <f t="shared" si="40"/>
        <v>0.57196436054443056</v>
      </c>
      <c r="AG137" s="5">
        <f>ABS((P137-W137)/P137)*100</f>
        <v>4.5131919880883302</v>
      </c>
      <c r="AH137" s="5">
        <f>ABS((P137-X137)/P137)*100</f>
        <v>3.4428123077682393</v>
      </c>
      <c r="AI137" s="5">
        <f>ABS((P137-Y137)/P137)*100</f>
        <v>2.233334206675861</v>
      </c>
      <c r="AJ137" s="5">
        <f>ABS((P137-Z137)/P137)*100</f>
        <v>1.5353031754903104</v>
      </c>
      <c r="AL137" s="5">
        <f>0.15*(T137-T136)+(1-0.15)*AL136</f>
        <v>0.42056532479922359</v>
      </c>
      <c r="AM137" s="5">
        <f>0.25*(T137-T136)+(1-0.25)*AM136</f>
        <v>0.37914602105203998</v>
      </c>
      <c r="AN137" s="5">
        <f>0.45*(T137-T136)+(1-0.45)*AN136</f>
        <v>0.34515825035400122</v>
      </c>
      <c r="AO137" s="5">
        <f>0.85*(T137-T136)+(1-0.85)*AO136</f>
        <v>0.18863972199067694</v>
      </c>
      <c r="AP137" s="5">
        <f>T137+AL137</f>
        <v>79.288714884114469</v>
      </c>
      <c r="AQ137" s="5">
        <f t="shared" si="41"/>
        <v>79.247295580367279</v>
      </c>
      <c r="AR137" s="5">
        <f t="shared" si="42"/>
        <v>79.213307809669246</v>
      </c>
      <c r="AS137" s="5">
        <f t="shared" si="43"/>
        <v>79.056789281305925</v>
      </c>
      <c r="AT137" s="5">
        <f t="shared" si="49"/>
        <v>0.15324811588553189</v>
      </c>
      <c r="AU137" s="5">
        <f t="shared" si="50"/>
        <v>59.150150419632723</v>
      </c>
      <c r="AV137" s="5">
        <f t="shared" si="51"/>
        <v>79.213307809669246</v>
      </c>
      <c r="AW137" s="5">
        <f t="shared" si="44"/>
        <v>2.2277443270778292</v>
      </c>
      <c r="AY137" s="5">
        <f>0.15*(Y137-Y136)+(1-0.15)*AY136</f>
        <v>0.65077339426833825</v>
      </c>
      <c r="AZ137" s="5">
        <f>0.25*(Y137-Y136)+(1-0.25)*AZ136</f>
        <v>1.212475152450855</v>
      </c>
      <c r="BA137" s="5">
        <f>0.45*(Y137-Y136)+(1-0.45)*BA136</f>
        <v>1.8367324978153543</v>
      </c>
      <c r="BB137" s="5">
        <f>0.85*(Y137-Y136)+(1-0.85)*BB136</f>
        <v>1.9928473463978174</v>
      </c>
      <c r="BC137" s="5">
        <f>Y137+AY137</f>
        <v>135.95734189158458</v>
      </c>
      <c r="BD137" s="5">
        <f>Y137+AZ137</f>
        <v>136.5190436497671</v>
      </c>
      <c r="BE137" s="5">
        <f>Y137+BA137</f>
        <v>137.1433009951316</v>
      </c>
      <c r="BF137" s="5">
        <f>Y137+BB137</f>
        <v>137.29941584371406</v>
      </c>
      <c r="BG137" s="5">
        <f t="shared" si="52"/>
        <v>2.4401041084154258</v>
      </c>
      <c r="BH137" s="5">
        <f t="shared" si="53"/>
        <v>1.8784023502329035</v>
      </c>
      <c r="BI137" s="5">
        <f t="shared" si="54"/>
        <v>1.2541450048684055</v>
      </c>
      <c r="BJ137" s="5">
        <f t="shared" si="55"/>
        <v>1.0980301562859438</v>
      </c>
    </row>
    <row r="138" spans="13:62" x14ac:dyDescent="0.35">
      <c r="M138" s="2">
        <v>136</v>
      </c>
      <c r="N138" s="3">
        <v>43977</v>
      </c>
      <c r="O138" s="1">
        <v>78.903862000000004</v>
      </c>
      <c r="P138" s="1">
        <v>144.12506099999999</v>
      </c>
      <c r="R138" s="5">
        <f t="shared" si="45"/>
        <v>77.220982661093871</v>
      </c>
      <c r="S138" s="5">
        <f t="shared" si="46"/>
        <v>78.827118398853727</v>
      </c>
      <c r="T138" s="5">
        <f t="shared" si="47"/>
        <v>79.183746951691859</v>
      </c>
      <c r="U138" s="5">
        <f t="shared" si="48"/>
        <v>79.328368071080774</v>
      </c>
      <c r="V138" s="5"/>
      <c r="W138" s="5">
        <f>0.15*P137+(1-0.15)*W137</f>
        <v>133.08822492209777</v>
      </c>
      <c r="X138" s="5">
        <f>0.35*P137+(1-0.35)*X137</f>
        <v>135.30034920205881</v>
      </c>
      <c r="Y138" s="5">
        <f>0.55*P137+(1-0.55)*Y137</f>
        <v>137.00655112379232</v>
      </c>
      <c r="Z138" s="5">
        <f>0.75*P137+(1-0.75)*Z137</f>
        <v>137.86624090419113</v>
      </c>
      <c r="AB138" s="5">
        <f t="shared" si="37"/>
        <v>2.1328225212932326</v>
      </c>
      <c r="AC138" s="5">
        <f t="shared" si="38"/>
        <v>9.726216081321383E-2</v>
      </c>
      <c r="AD138" s="5">
        <f t="shared" si="39"/>
        <v>0.35471641640539103</v>
      </c>
      <c r="AE138" s="5">
        <f t="shared" si="40"/>
        <v>0.53800417409324108</v>
      </c>
      <c r="AG138" s="5">
        <f>ABS((P138-W138)/P138)*100</f>
        <v>7.6578188424164644</v>
      </c>
      <c r="AH138" s="5">
        <f>ABS((P138-X138)/P138)*100</f>
        <v>6.1229544235482942</v>
      </c>
      <c r="AI138" s="5">
        <f>ABS((P138-Y138)/P138)*100</f>
        <v>4.9391201133352292</v>
      </c>
      <c r="AJ138" s="5">
        <f>ABS((P138-Z138)/P138)*100</f>
        <v>4.3426313594475134</v>
      </c>
      <c r="AL138" s="5">
        <f>0.15*(T138-T137)+(1-0.15)*AL137</f>
        <v>0.40482013493583258</v>
      </c>
      <c r="AM138" s="5">
        <f>0.25*(T138-T137)+(1-0.25)*AM137</f>
        <v>0.36325886388318418</v>
      </c>
      <c r="AN138" s="5">
        <f>0.45*(T138-T137)+(1-0.45)*AN137</f>
        <v>0.33185586426417824</v>
      </c>
      <c r="AO138" s="5">
        <f>0.85*(T138-T137)+(1-0.85)*AO137</f>
        <v>0.2965537418187259</v>
      </c>
      <c r="AP138" s="5">
        <f>T138+AL138</f>
        <v>79.588567086627691</v>
      </c>
      <c r="AQ138" s="5">
        <f t="shared" si="41"/>
        <v>79.547005815575048</v>
      </c>
      <c r="AR138" s="5">
        <f t="shared" si="42"/>
        <v>79.515602815956044</v>
      </c>
      <c r="AS138" s="5">
        <f t="shared" si="43"/>
        <v>79.480300693510586</v>
      </c>
      <c r="AT138" s="5">
        <f t="shared" si="49"/>
        <v>0.68470508662768736</v>
      </c>
      <c r="AU138" s="5">
        <f t="shared" si="50"/>
        <v>64.57805518442494</v>
      </c>
      <c r="AV138" s="5">
        <f t="shared" si="51"/>
        <v>79.515602815956044</v>
      </c>
      <c r="AW138" s="5">
        <f t="shared" si="44"/>
        <v>2.259318032416715</v>
      </c>
      <c r="AY138" s="5">
        <f>0.15*(Y138-Y137)+(1-0.15)*AY137</f>
        <v>0.80815477909949829</v>
      </c>
      <c r="AZ138" s="5">
        <f>0.25*(Y138-Y137)+(1-0.25)*AZ137</f>
        <v>1.3343520209571591</v>
      </c>
      <c r="BA138" s="5">
        <f>0.45*(Y138-Y137)+(1-0.45)*BA137</f>
        <v>1.7751950557126772</v>
      </c>
      <c r="BB138" s="5">
        <f>0.85*(Y138-Y137)+(1-0.85)*BB137</f>
        <v>1.7439123344643332</v>
      </c>
      <c r="BC138" s="5">
        <f>Y138+AY138</f>
        <v>137.81470590289183</v>
      </c>
      <c r="BD138" s="5">
        <f>Y138+AZ138</f>
        <v>138.34090314474949</v>
      </c>
      <c r="BE138" s="5">
        <f>Y138+BA138</f>
        <v>138.78174617950501</v>
      </c>
      <c r="BF138" s="5">
        <f>Y138+BB138</f>
        <v>138.75046345825666</v>
      </c>
      <c r="BG138" s="5">
        <f t="shared" si="52"/>
        <v>6.3103550971081575</v>
      </c>
      <c r="BH138" s="5">
        <f t="shared" si="53"/>
        <v>5.7841578552504984</v>
      </c>
      <c r="BI138" s="5">
        <f t="shared" si="54"/>
        <v>5.3433148204949816</v>
      </c>
      <c r="BJ138" s="5">
        <f t="shared" si="55"/>
        <v>5.3745975417433272</v>
      </c>
    </row>
    <row r="139" spans="13:62" x14ac:dyDescent="0.35">
      <c r="M139" s="2">
        <v>137</v>
      </c>
      <c r="N139" s="3">
        <v>43978</v>
      </c>
      <c r="O139" s="1">
        <v>79.247642999999997</v>
      </c>
      <c r="P139" s="1">
        <v>147.75453200000001</v>
      </c>
      <c r="R139" s="5">
        <f t="shared" si="45"/>
        <v>77.4734145619298</v>
      </c>
      <c r="S139" s="5">
        <f t="shared" si="46"/>
        <v>78.853978659254921</v>
      </c>
      <c r="T139" s="5">
        <f t="shared" si="47"/>
        <v>79.02981022826134</v>
      </c>
      <c r="U139" s="5">
        <f t="shared" si="48"/>
        <v>79.009988517770196</v>
      </c>
      <c r="V139" s="5"/>
      <c r="W139" s="5">
        <f>0.15*P138+(1-0.15)*W138</f>
        <v>134.74375033378308</v>
      </c>
      <c r="X139" s="5">
        <f>0.35*P138+(1-0.35)*X138</f>
        <v>138.38899833133823</v>
      </c>
      <c r="Y139" s="5">
        <f>0.55*P138+(1-0.55)*Y138</f>
        <v>140.92173155570654</v>
      </c>
      <c r="Z139" s="5">
        <f>0.75*P138+(1-0.75)*Z138</f>
        <v>142.56035597604779</v>
      </c>
      <c r="AB139" s="5">
        <f t="shared" si="37"/>
        <v>2.2388406404341845</v>
      </c>
      <c r="AC139" s="5">
        <f t="shared" si="38"/>
        <v>0.49675211254557561</v>
      </c>
      <c r="AD139" s="5">
        <f t="shared" si="39"/>
        <v>0.27487602595153093</v>
      </c>
      <c r="AE139" s="5">
        <f t="shared" si="40"/>
        <v>0.29988839192327793</v>
      </c>
      <c r="AG139" s="5">
        <f>ABS((P139-W139)/P139)*100</f>
        <v>8.8056734978639621</v>
      </c>
      <c r="AH139" s="5">
        <f>ABS((P139-X139)/P139)*100</f>
        <v>6.3385762466235436</v>
      </c>
      <c r="AI139" s="5">
        <f>ABS((P139-Y139)/P139)*100</f>
        <v>4.6244269815652546</v>
      </c>
      <c r="AJ139" s="5">
        <f>ABS((P139-Z139)/P139)*100</f>
        <v>3.5154089378133073</v>
      </c>
      <c r="AL139" s="5">
        <f>0.15*(T139-T138)+(1-0.15)*AL138</f>
        <v>0.32100660618087984</v>
      </c>
      <c r="AM139" s="5">
        <f>0.25*(T139-T138)+(1-0.25)*AM138</f>
        <v>0.23395996705475841</v>
      </c>
      <c r="AN139" s="5">
        <f>0.45*(T139-T138)+(1-0.45)*AN138</f>
        <v>0.11324919980156453</v>
      </c>
      <c r="AO139" s="5">
        <f>0.85*(T139-T138)+(1-0.85)*AO138</f>
        <v>-8.6363153643132171E-2</v>
      </c>
      <c r="AP139" s="5">
        <f>T139+AL139</f>
        <v>79.350816834442213</v>
      </c>
      <c r="AQ139" s="5">
        <f t="shared" si="41"/>
        <v>79.263770195316098</v>
      </c>
      <c r="AR139" s="5">
        <f t="shared" si="42"/>
        <v>79.143059428062898</v>
      </c>
      <c r="AS139" s="5">
        <f t="shared" si="43"/>
        <v>78.943447074618206</v>
      </c>
      <c r="AT139" s="5">
        <f t="shared" si="49"/>
        <v>0.10317383444221662</v>
      </c>
      <c r="AU139" s="5">
        <f t="shared" si="50"/>
        <v>68.490761804683913</v>
      </c>
      <c r="AV139" s="5">
        <f t="shared" si="51"/>
        <v>79.143059428062898</v>
      </c>
      <c r="AW139" s="5">
        <f t="shared" si="44"/>
        <v>1.4700325126884053</v>
      </c>
      <c r="AY139" s="5">
        <f>0.15*(Y139-Y138)+(1-0.15)*AY138</f>
        <v>1.2742086270217068</v>
      </c>
      <c r="AZ139" s="5">
        <f>0.25*(Y139-Y138)+(1-0.25)*AZ138</f>
        <v>1.9795591236964252</v>
      </c>
      <c r="BA139" s="5">
        <f>0.45*(Y139-Y138)+(1-0.45)*BA138</f>
        <v>2.7381884750033731</v>
      </c>
      <c r="BB139" s="5">
        <f>0.85*(Y139-Y138)+(1-0.85)*BB138</f>
        <v>3.5894902172967393</v>
      </c>
      <c r="BC139" s="5">
        <f>Y139+AY139</f>
        <v>142.19594018272824</v>
      </c>
      <c r="BD139" s="5">
        <f>Y139+AZ139</f>
        <v>142.90129067940296</v>
      </c>
      <c r="BE139" s="5">
        <f>Y139+BA139</f>
        <v>143.65992003070991</v>
      </c>
      <c r="BF139" s="5">
        <f>Y139+BB139</f>
        <v>144.51122177300329</v>
      </c>
      <c r="BG139" s="5">
        <f t="shared" si="52"/>
        <v>5.5585918172717754</v>
      </c>
      <c r="BH139" s="5">
        <f t="shared" si="53"/>
        <v>4.8532413205970499</v>
      </c>
      <c r="BI139" s="5">
        <f t="shared" si="54"/>
        <v>4.0946119692900993</v>
      </c>
      <c r="BJ139" s="5">
        <f t="shared" si="55"/>
        <v>3.2433102269967264</v>
      </c>
    </row>
    <row r="140" spans="13:62" x14ac:dyDescent="0.35">
      <c r="M140" s="2">
        <v>138</v>
      </c>
      <c r="N140" s="3">
        <v>43979</v>
      </c>
      <c r="O140" s="1">
        <v>79.282523999999995</v>
      </c>
      <c r="P140" s="1">
        <v>146.73033100000001</v>
      </c>
      <c r="R140" s="5">
        <f t="shared" si="45"/>
        <v>77.739548827640334</v>
      </c>
      <c r="S140" s="5">
        <f t="shared" si="46"/>
        <v>78.991761178515702</v>
      </c>
      <c r="T140" s="5">
        <f t="shared" si="47"/>
        <v>79.149618252717602</v>
      </c>
      <c r="U140" s="5">
        <f t="shared" si="48"/>
        <v>79.188229379442546</v>
      </c>
      <c r="V140" s="5"/>
      <c r="W140" s="5">
        <f>0.15*P139+(1-0.15)*W139</f>
        <v>136.69536758371561</v>
      </c>
      <c r="X140" s="5">
        <f>0.35*P139+(1-0.35)*X139</f>
        <v>141.66693511536985</v>
      </c>
      <c r="Y140" s="5">
        <f>0.55*P139+(1-0.55)*Y139</f>
        <v>144.67977180006795</v>
      </c>
      <c r="Z140" s="5">
        <f>0.75*P139+(1-0.75)*Z139</f>
        <v>146.45598799401193</v>
      </c>
      <c r="AB140" s="5">
        <f t="shared" si="37"/>
        <v>1.9461731217836367</v>
      </c>
      <c r="AC140" s="5">
        <f t="shared" si="38"/>
        <v>0.36674263988403422</v>
      </c>
      <c r="AD140" s="5">
        <f t="shared" si="39"/>
        <v>0.16763561574098393</v>
      </c>
      <c r="AE140" s="5">
        <f t="shared" si="40"/>
        <v>0.11893493773917772</v>
      </c>
      <c r="AG140" s="5">
        <f>ABS((P140-W140)/P140)*100</f>
        <v>6.8390518496713533</v>
      </c>
      <c r="AH140" s="5">
        <f>ABS((P140-X140)/P140)*100</f>
        <v>3.4508174622942507</v>
      </c>
      <c r="AI140" s="5">
        <f>ABS((P140-Y140)/P140)*100</f>
        <v>1.3975019247602276</v>
      </c>
      <c r="AJ140" s="5">
        <f>ABS((P140-Z140)/P140)*100</f>
        <v>0.18697089014818091</v>
      </c>
      <c r="AL140" s="5">
        <f>0.15*(T140-T139)+(1-0.15)*AL139</f>
        <v>0.29082681892218715</v>
      </c>
      <c r="AM140" s="5">
        <f>0.25*(T140-T139)+(1-0.25)*AM139</f>
        <v>0.20542198140513426</v>
      </c>
      <c r="AN140" s="5">
        <f>0.45*(T140-T139)+(1-0.45)*AN139</f>
        <v>0.11620067089617832</v>
      </c>
      <c r="AO140" s="5">
        <f>0.85*(T140-T139)+(1-0.85)*AO139</f>
        <v>8.8882347741352716E-2</v>
      </c>
      <c r="AP140" s="5">
        <f>T140+AL140</f>
        <v>79.440445071639786</v>
      </c>
      <c r="AQ140" s="5">
        <f t="shared" si="41"/>
        <v>79.35504023412274</v>
      </c>
      <c r="AR140" s="5">
        <f t="shared" si="42"/>
        <v>79.265818923613779</v>
      </c>
      <c r="AS140" s="5">
        <f t="shared" si="43"/>
        <v>79.238500600458948</v>
      </c>
      <c r="AT140" s="5">
        <f t="shared" si="49"/>
        <v>0.15792107163979097</v>
      </c>
      <c r="AU140" s="5">
        <f t="shared" si="50"/>
        <v>67.375290765877267</v>
      </c>
      <c r="AV140" s="5">
        <f t="shared" si="51"/>
        <v>79.265818923613779</v>
      </c>
      <c r="AW140" s="5">
        <f t="shared" si="44"/>
        <v>1.4989517728186144</v>
      </c>
      <c r="AY140" s="5">
        <f>0.15*(Y140-Y139)+(1-0.15)*AY139</f>
        <v>1.6467833696226624</v>
      </c>
      <c r="AZ140" s="5">
        <f>0.25*(Y140-Y139)+(1-0.25)*AZ139</f>
        <v>2.4241794038626714</v>
      </c>
      <c r="BA140" s="5">
        <f>0.45*(Y140-Y139)+(1-0.45)*BA139</f>
        <v>3.1971217712144897</v>
      </c>
      <c r="BB140" s="5">
        <f>0.85*(Y140-Y139)+(1-0.85)*BB139</f>
        <v>3.73275774030171</v>
      </c>
      <c r="BC140" s="5">
        <f>Y140+AY140</f>
        <v>146.32655516969061</v>
      </c>
      <c r="BD140" s="5">
        <f>Y140+AZ140</f>
        <v>147.10395120393062</v>
      </c>
      <c r="BE140" s="5">
        <f>Y140+BA140</f>
        <v>147.87689357128244</v>
      </c>
      <c r="BF140" s="5">
        <f>Y140+BB140</f>
        <v>148.41252954036966</v>
      </c>
      <c r="BG140" s="5">
        <f t="shared" si="52"/>
        <v>0.40377583030939945</v>
      </c>
      <c r="BH140" s="5">
        <f t="shared" si="53"/>
        <v>0.37362020393061357</v>
      </c>
      <c r="BI140" s="5">
        <f t="shared" si="54"/>
        <v>1.1465625712824306</v>
      </c>
      <c r="BJ140" s="5">
        <f t="shared" si="55"/>
        <v>1.6821985403696544</v>
      </c>
    </row>
    <row r="141" spans="13:62" x14ac:dyDescent="0.35">
      <c r="M141" s="2">
        <v>139</v>
      </c>
      <c r="N141" s="3">
        <v>43980</v>
      </c>
      <c r="O141" s="1">
        <v>79.205298999999997</v>
      </c>
      <c r="P141" s="1">
        <v>145.02995300000001</v>
      </c>
      <c r="R141" s="5">
        <f t="shared" si="45"/>
        <v>77.970995103494289</v>
      </c>
      <c r="S141" s="5">
        <f t="shared" si="46"/>
        <v>79.093528166035213</v>
      </c>
      <c r="T141" s="5">
        <f t="shared" si="47"/>
        <v>79.222716413722921</v>
      </c>
      <c r="U141" s="5">
        <f t="shared" si="48"/>
        <v>79.258950344860637</v>
      </c>
      <c r="V141" s="5"/>
      <c r="W141" s="5">
        <f>0.15*P140+(1-0.15)*W140</f>
        <v>138.20061209615827</v>
      </c>
      <c r="X141" s="5">
        <f>0.35*P140+(1-0.35)*X140</f>
        <v>143.43912367499041</v>
      </c>
      <c r="Y141" s="5">
        <f>0.55*P140+(1-0.55)*Y140</f>
        <v>145.80757936003059</v>
      </c>
      <c r="Z141" s="5">
        <f>0.75*P140+(1-0.75)*Z140</f>
        <v>146.661745248503</v>
      </c>
      <c r="AB141" s="5">
        <f t="shared" si="37"/>
        <v>1.5583602512575674</v>
      </c>
      <c r="AC141" s="5">
        <f t="shared" si="38"/>
        <v>0.14111534881622426</v>
      </c>
      <c r="AD141" s="5">
        <f t="shared" si="39"/>
        <v>2.1990212703981309E-2</v>
      </c>
      <c r="AE141" s="5">
        <f t="shared" si="40"/>
        <v>6.7737064991876289E-2</v>
      </c>
      <c r="AG141" s="5">
        <f>ABS((P141-W141)/P141)*100</f>
        <v>4.7089175460477044</v>
      </c>
      <c r="AH141" s="5">
        <f>ABS((P141-X141)/P141)*100</f>
        <v>1.0968970837421381</v>
      </c>
      <c r="AI141" s="5">
        <f>ABS((P141-Y141)/P141)*100</f>
        <v>0.53618328072586563</v>
      </c>
      <c r="AJ141" s="5">
        <f>ABS((P141-Z141)/P141)*100</f>
        <v>1.1251415412807793</v>
      </c>
      <c r="AL141" s="5">
        <f>0.15*(T141-T140)+(1-0.15)*AL140</f>
        <v>0.25816752023465694</v>
      </c>
      <c r="AM141" s="5">
        <f>0.25*(T141-T140)+(1-0.25)*AM140</f>
        <v>0.1723410263051805</v>
      </c>
      <c r="AN141" s="5">
        <f>0.45*(T141-T140)+(1-0.45)*AN140</f>
        <v>9.6804541445291714E-2</v>
      </c>
      <c r="AO141" s="5">
        <f>0.85*(T141-T140)+(1-0.85)*AO140</f>
        <v>7.5465789015724219E-2</v>
      </c>
      <c r="AP141" s="5">
        <f>T141+AL141</f>
        <v>79.480883933957571</v>
      </c>
      <c r="AQ141" s="5">
        <f t="shared" si="41"/>
        <v>79.395057440028097</v>
      </c>
      <c r="AR141" s="5">
        <f t="shared" si="42"/>
        <v>79.319520955168215</v>
      </c>
      <c r="AS141" s="5">
        <f t="shared" si="43"/>
        <v>79.298182202738644</v>
      </c>
      <c r="AT141" s="5">
        <f t="shared" si="49"/>
        <v>0.27558493395757466</v>
      </c>
      <c r="AU141" s="5">
        <f t="shared" si="50"/>
        <v>65.634895559971909</v>
      </c>
      <c r="AV141" s="5">
        <f t="shared" si="51"/>
        <v>79.319520955168215</v>
      </c>
      <c r="AW141" s="5">
        <f t="shared" si="44"/>
        <v>1.3271870992443553</v>
      </c>
      <c r="AY141" s="5">
        <f>0.15*(Y141-Y140)+(1-0.15)*AY140</f>
        <v>1.5689369981736581</v>
      </c>
      <c r="AZ141" s="5">
        <f>0.25*(Y141-Y140)+(1-0.25)*AZ140</f>
        <v>2.1000864428876618</v>
      </c>
      <c r="BA141" s="5">
        <f>0.45*(Y141-Y140)+(1-0.45)*BA140</f>
        <v>2.2659303761511547</v>
      </c>
      <c r="BB141" s="5">
        <f>0.85*(Y141-Y140)+(1-0.85)*BB140</f>
        <v>1.5185500870134949</v>
      </c>
      <c r="BC141" s="5">
        <f>Y141+AY141</f>
        <v>147.37651635820424</v>
      </c>
      <c r="BD141" s="5">
        <f>Y141+AZ141</f>
        <v>147.90766580291825</v>
      </c>
      <c r="BE141" s="5">
        <f>Y141+BA141</f>
        <v>148.07350973618173</v>
      </c>
      <c r="BF141" s="5">
        <f>Y141+BB141</f>
        <v>147.32612944704408</v>
      </c>
      <c r="BG141" s="5">
        <f t="shared" si="52"/>
        <v>2.3465633582042358</v>
      </c>
      <c r="BH141" s="5">
        <f t="shared" si="53"/>
        <v>2.8777128029182393</v>
      </c>
      <c r="BI141" s="5">
        <f t="shared" si="54"/>
        <v>3.0435567361817277</v>
      </c>
      <c r="BJ141" s="5">
        <f t="shared" si="55"/>
        <v>2.2961764470440755</v>
      </c>
    </row>
    <row r="142" spans="13:62" x14ac:dyDescent="0.35">
      <c r="M142" s="2">
        <v>140</v>
      </c>
      <c r="N142" s="3">
        <v>43983</v>
      </c>
      <c r="O142" s="1">
        <v>80.179359000000005</v>
      </c>
      <c r="P142" s="1">
        <v>145.358093</v>
      </c>
      <c r="R142" s="5">
        <f t="shared" si="45"/>
        <v>78.156140687970151</v>
      </c>
      <c r="S142" s="5">
        <f t="shared" si="46"/>
        <v>79.132647957922885</v>
      </c>
      <c r="T142" s="5">
        <f t="shared" si="47"/>
        <v>79.213136836175309</v>
      </c>
      <c r="U142" s="5">
        <f t="shared" si="48"/>
        <v>79.218711836215164</v>
      </c>
      <c r="V142" s="5"/>
      <c r="W142" s="5">
        <f>0.15*P141+(1-0.15)*W141</f>
        <v>139.22501323173452</v>
      </c>
      <c r="X142" s="5">
        <f>0.35*P141+(1-0.35)*X141</f>
        <v>143.99591393874377</v>
      </c>
      <c r="Y142" s="5">
        <f>0.55*P141+(1-0.55)*Y141</f>
        <v>145.37988486201377</v>
      </c>
      <c r="Z142" s="5">
        <f>0.75*P141+(1-0.75)*Z141</f>
        <v>145.43790106212577</v>
      </c>
      <c r="AB142" s="5">
        <f t="shared" si="37"/>
        <v>2.5233655360475686</v>
      </c>
      <c r="AC142" s="5">
        <f t="shared" si="38"/>
        <v>1.3054619731708264</v>
      </c>
      <c r="AD142" s="5">
        <f t="shared" si="39"/>
        <v>1.2050759395877635</v>
      </c>
      <c r="AE142" s="5">
        <f t="shared" si="40"/>
        <v>1.1981227784383277</v>
      </c>
      <c r="AG142" s="5">
        <f>ABS((P142-W142)/P142)*100</f>
        <v>4.2192901968419978</v>
      </c>
      <c r="AH142" s="5">
        <f>ABS((P142-X142)/P142)*100</f>
        <v>0.93711951852328434</v>
      </c>
      <c r="AI142" s="5">
        <f>ABS((P142-Y142)/P142)*100</f>
        <v>1.4991846387095161E-2</v>
      </c>
      <c r="AJ142" s="5">
        <f>ABS((P142-Z142)/P142)*100</f>
        <v>5.4904450435916345E-2</v>
      </c>
      <c r="AL142" s="5">
        <f>0.15*(T142-T141)+(1-0.15)*AL141</f>
        <v>0.21800545556731662</v>
      </c>
      <c r="AM142" s="5">
        <f>0.25*(T142-T141)+(1-0.25)*AM141</f>
        <v>0.12686087534198237</v>
      </c>
      <c r="AN142" s="5">
        <f>0.45*(T142-T141)+(1-0.45)*AN141</f>
        <v>4.8931687898485066E-2</v>
      </c>
      <c r="AO142" s="5">
        <f>0.85*(T142-T141)+(1-0.85)*AO141</f>
        <v>3.1772274368884676E-3</v>
      </c>
      <c r="AP142" s="5">
        <f>T142+AL142</f>
        <v>79.431142291742631</v>
      </c>
      <c r="AQ142" s="5">
        <f t="shared" si="41"/>
        <v>79.339997711517285</v>
      </c>
      <c r="AR142" s="5">
        <f t="shared" si="42"/>
        <v>79.262068524073797</v>
      </c>
      <c r="AS142" s="5">
        <f t="shared" si="43"/>
        <v>79.216314063612202</v>
      </c>
      <c r="AT142" s="5">
        <f t="shared" si="49"/>
        <v>0.74821670825737385</v>
      </c>
      <c r="AU142" s="5">
        <f t="shared" si="50"/>
        <v>66.018095288482712</v>
      </c>
      <c r="AV142" s="5">
        <f t="shared" si="51"/>
        <v>79.262068524073797</v>
      </c>
      <c r="AW142" s="5">
        <f t="shared" si="44"/>
        <v>1.0601733756420515</v>
      </c>
      <c r="AY142" s="5">
        <f>0.15*(Y142-Y141)+(1-0.15)*AY141</f>
        <v>1.2694422737450863</v>
      </c>
      <c r="AZ142" s="5">
        <f>0.25*(Y142-Y141)+(1-0.25)*AZ141</f>
        <v>1.4681412076615414</v>
      </c>
      <c r="BA142" s="5">
        <f>0.45*(Y142-Y141)+(1-0.45)*BA141</f>
        <v>1.0537991827755664</v>
      </c>
      <c r="BB142" s="5">
        <f>0.85*(Y142-Y141)+(1-0.85)*BB141</f>
        <v>-0.13575781026227238</v>
      </c>
      <c r="BC142" s="5">
        <f>Y142+AY142</f>
        <v>146.64932713575885</v>
      </c>
      <c r="BD142" s="5">
        <f>Y142+AZ142</f>
        <v>146.84802606967531</v>
      </c>
      <c r="BE142" s="5">
        <f>Y142+BA142</f>
        <v>146.43368404478935</v>
      </c>
      <c r="BF142" s="5">
        <f>Y142+BB142</f>
        <v>145.24412705175149</v>
      </c>
      <c r="BG142" s="5">
        <f t="shared" si="52"/>
        <v>1.2912341357588559</v>
      </c>
      <c r="BH142" s="5">
        <f t="shared" si="53"/>
        <v>1.4899330696753168</v>
      </c>
      <c r="BI142" s="5">
        <f t="shared" si="54"/>
        <v>1.0755910447893484</v>
      </c>
      <c r="BJ142" s="5">
        <f t="shared" si="55"/>
        <v>0.11396594824850581</v>
      </c>
    </row>
    <row r="143" spans="13:62" x14ac:dyDescent="0.35">
      <c r="M143" s="2">
        <v>141</v>
      </c>
      <c r="N143" s="3">
        <v>43984</v>
      </c>
      <c r="O143" s="1">
        <v>80.550545</v>
      </c>
      <c r="P143" s="1">
        <v>147.51589999999999</v>
      </c>
      <c r="R143" s="5">
        <f t="shared" si="45"/>
        <v>78.459623434774628</v>
      </c>
      <c r="S143" s="5">
        <f t="shared" si="46"/>
        <v>79.498996822649872</v>
      </c>
      <c r="T143" s="5">
        <f t="shared" si="47"/>
        <v>79.744559026278893</v>
      </c>
      <c r="U143" s="5">
        <f t="shared" si="48"/>
        <v>79.939197209053788</v>
      </c>
      <c r="V143" s="5"/>
      <c r="W143" s="5">
        <f>0.15*P142+(1-0.15)*W142</f>
        <v>140.14497519697434</v>
      </c>
      <c r="X143" s="5">
        <f>0.35*P142+(1-0.35)*X142</f>
        <v>144.47267661018344</v>
      </c>
      <c r="Y143" s="5">
        <f>0.55*P142+(1-0.55)*Y142</f>
        <v>145.36789933790618</v>
      </c>
      <c r="Z143" s="5">
        <f>0.75*P142+(1-0.75)*Z142</f>
        <v>145.37804501553143</v>
      </c>
      <c r="AB143" s="5">
        <f t="shared" si="37"/>
        <v>2.5957882286524221</v>
      </c>
      <c r="AC143" s="5">
        <f t="shared" si="38"/>
        <v>1.3054513502672487</v>
      </c>
      <c r="AD143" s="5">
        <f t="shared" si="39"/>
        <v>1.0005965493108793</v>
      </c>
      <c r="AE143" s="5">
        <f t="shared" si="40"/>
        <v>0.75896170652378814</v>
      </c>
      <c r="AG143" s="5">
        <f>ABS((P143-W143)/P143)*100</f>
        <v>4.9966985274303619</v>
      </c>
      <c r="AH143" s="5">
        <f>ABS((P143-X143)/P143)*100</f>
        <v>2.0629799159389237</v>
      </c>
      <c r="AI143" s="5">
        <f>ABS((P143-Y143)/P143)*100</f>
        <v>1.4561146710922737</v>
      </c>
      <c r="AJ143" s="5">
        <f>ABS((P143-Z143)/P143)*100</f>
        <v>1.4492369869746657</v>
      </c>
      <c r="AL143" s="5">
        <f>0.15*(T143-T142)+(1-0.15)*AL142</f>
        <v>0.26501796574775666</v>
      </c>
      <c r="AM143" s="5">
        <f>0.25*(T143-T142)+(1-0.25)*AM142</f>
        <v>0.22800120403238266</v>
      </c>
      <c r="AN143" s="5">
        <f>0.45*(T143-T142)+(1-0.45)*AN142</f>
        <v>0.26605241389077938</v>
      </c>
      <c r="AO143" s="5">
        <f>0.85*(T143-T142)+(1-0.85)*AO142</f>
        <v>0.45218544570357933</v>
      </c>
      <c r="AP143" s="5">
        <f>T143+AL143</f>
        <v>80.009576992026652</v>
      </c>
      <c r="AQ143" s="5">
        <f t="shared" si="41"/>
        <v>79.972560230311274</v>
      </c>
      <c r="AR143" s="5">
        <f t="shared" si="42"/>
        <v>80.010611440169669</v>
      </c>
      <c r="AS143" s="5">
        <f t="shared" si="43"/>
        <v>80.19674447198247</v>
      </c>
      <c r="AT143" s="5">
        <f t="shared" si="49"/>
        <v>0.54096800797334765</v>
      </c>
      <c r="AU143" s="5">
        <f t="shared" si="50"/>
        <v>67.543339769688714</v>
      </c>
      <c r="AV143" s="5">
        <f t="shared" si="51"/>
        <v>80.010611440169669</v>
      </c>
      <c r="AW143" s="5">
        <f t="shared" si="44"/>
        <v>1.7371210372078423</v>
      </c>
      <c r="AY143" s="5">
        <f>0.15*(Y143-Y142)+(1-0.15)*AY142</f>
        <v>1.0772281040671854</v>
      </c>
      <c r="AZ143" s="5">
        <f>0.25*(Y143-Y142)+(1-0.25)*AZ142</f>
        <v>1.0981095247192594</v>
      </c>
      <c r="BA143" s="5">
        <f>0.45*(Y143-Y142)+(1-0.45)*BA142</f>
        <v>0.57419606467814754</v>
      </c>
      <c r="BB143" s="5">
        <f>0.85*(Y143-Y142)+(1-0.85)*BB142</f>
        <v>-3.0551367030789638E-2</v>
      </c>
      <c r="BC143" s="5">
        <f>Y143+AY143</f>
        <v>146.44512744197337</v>
      </c>
      <c r="BD143" s="5">
        <f>Y143+AZ143</f>
        <v>146.46600886262544</v>
      </c>
      <c r="BE143" s="5">
        <f>Y143+BA143</f>
        <v>145.94209540258433</v>
      </c>
      <c r="BF143" s="5">
        <f>Y143+BB143</f>
        <v>145.33734797087538</v>
      </c>
      <c r="BG143" s="5">
        <f t="shared" si="52"/>
        <v>1.0707725580266185</v>
      </c>
      <c r="BH143" s="5">
        <f t="shared" si="53"/>
        <v>1.0498911373745443</v>
      </c>
      <c r="BI143" s="5">
        <f t="shared" si="54"/>
        <v>1.5738045974156591</v>
      </c>
      <c r="BJ143" s="5">
        <f t="shared" si="55"/>
        <v>2.178552029124603</v>
      </c>
    </row>
    <row r="144" spans="13:62" x14ac:dyDescent="0.35">
      <c r="M144" s="2">
        <v>142</v>
      </c>
      <c r="N144" s="3">
        <v>43985</v>
      </c>
      <c r="O144" s="1">
        <v>80.993979999999993</v>
      </c>
      <c r="P144" s="1">
        <v>152.48779300000001</v>
      </c>
      <c r="R144" s="5">
        <f t="shared" si="45"/>
        <v>78.773261669558437</v>
      </c>
      <c r="S144" s="5">
        <f t="shared" si="46"/>
        <v>79.867038684722417</v>
      </c>
      <c r="T144" s="5">
        <f t="shared" si="47"/>
        <v>80.187851311825511</v>
      </c>
      <c r="U144" s="5">
        <f t="shared" si="48"/>
        <v>80.397708052263454</v>
      </c>
      <c r="V144" s="5"/>
      <c r="W144" s="5">
        <f>0.15*P143+(1-0.15)*W143</f>
        <v>141.25061391742818</v>
      </c>
      <c r="X144" s="5">
        <f>0.35*P143+(1-0.35)*X143</f>
        <v>145.53780479661924</v>
      </c>
      <c r="Y144" s="5">
        <f>0.55*P143+(1-0.55)*Y143</f>
        <v>146.54929970205779</v>
      </c>
      <c r="Z144" s="5">
        <f>0.75*P143+(1-0.75)*Z143</f>
        <v>146.98143625388286</v>
      </c>
      <c r="AB144" s="5">
        <f t="shared" si="37"/>
        <v>2.7418313440598383</v>
      </c>
      <c r="AC144" s="5">
        <f t="shared" si="38"/>
        <v>1.3913889838202507</v>
      </c>
      <c r="AD144" s="5">
        <f t="shared" si="39"/>
        <v>0.99529457396028953</v>
      </c>
      <c r="AE144" s="5">
        <f t="shared" si="40"/>
        <v>0.73619292166719019</v>
      </c>
      <c r="AG144" s="5">
        <f>ABS((P144-W144)/P144)*100</f>
        <v>7.3692318981702529</v>
      </c>
      <c r="AH144" s="5">
        <f>ABS((P144-X144)/P144)*100</f>
        <v>4.5577341416311068</v>
      </c>
      <c r="AI144" s="5">
        <f>ABS((P144-Y144)/P144)*100</f>
        <v>3.8944056970791201</v>
      </c>
      <c r="AJ144" s="5">
        <f>ABS((P144-Z144)/P144)*100</f>
        <v>3.6110147820928513</v>
      </c>
      <c r="AL144" s="5">
        <f>0.15*(T144-T143)+(1-0.15)*AL143</f>
        <v>0.29175911371758595</v>
      </c>
      <c r="AM144" s="5">
        <f>0.25*(T144-T143)+(1-0.25)*AM143</f>
        <v>0.2818239744109417</v>
      </c>
      <c r="AN144" s="5">
        <f>0.45*(T144-T143)+(1-0.45)*AN143</f>
        <v>0.34581035613590716</v>
      </c>
      <c r="AO144" s="5">
        <f>0.85*(T144-T143)+(1-0.85)*AO143</f>
        <v>0.44462625957016289</v>
      </c>
      <c r="AP144" s="5">
        <f>T144+AL144</f>
        <v>80.4796104255431</v>
      </c>
      <c r="AQ144" s="5">
        <f t="shared" si="41"/>
        <v>80.469675286236452</v>
      </c>
      <c r="AR144" s="5">
        <f t="shared" si="42"/>
        <v>80.533661667961425</v>
      </c>
      <c r="AS144" s="5">
        <f t="shared" si="43"/>
        <v>80.632477571395668</v>
      </c>
      <c r="AT144" s="5">
        <f t="shared" si="49"/>
        <v>0.51436957445689302</v>
      </c>
      <c r="AU144" s="5">
        <f t="shared" si="50"/>
        <v>72.018117713763559</v>
      </c>
      <c r="AV144" s="5">
        <f t="shared" si="51"/>
        <v>80.533661667961425</v>
      </c>
      <c r="AW144" s="5">
        <f t="shared" si="44"/>
        <v>1.8592159018372314</v>
      </c>
      <c r="AY144" s="5">
        <f>0.15*(Y144-Y143)+(1-0.15)*AY143</f>
        <v>1.0928539430798496</v>
      </c>
      <c r="AZ144" s="5">
        <f>0.25*(Y144-Y143)+(1-0.25)*AZ143</f>
        <v>1.118932234577348</v>
      </c>
      <c r="BA144" s="5">
        <f>0.45*(Y144-Y143)+(1-0.45)*BA143</f>
        <v>0.84743799944120746</v>
      </c>
      <c r="BB144" s="5">
        <f>0.85*(Y144-Y143)+(1-0.85)*BB143</f>
        <v>0.99960760447425312</v>
      </c>
      <c r="BC144" s="5">
        <f>Y144+AY144</f>
        <v>147.64215364513765</v>
      </c>
      <c r="BD144" s="5">
        <f>Y144+AZ144</f>
        <v>147.66823193663515</v>
      </c>
      <c r="BE144" s="5">
        <f>Y144+BA144</f>
        <v>147.39673770149901</v>
      </c>
      <c r="BF144" s="5">
        <f>Y144+BB144</f>
        <v>147.54890730653204</v>
      </c>
      <c r="BG144" s="5">
        <f t="shared" si="52"/>
        <v>4.8456393548623566</v>
      </c>
      <c r="BH144" s="5">
        <f t="shared" si="53"/>
        <v>4.8195610633648585</v>
      </c>
      <c r="BI144" s="5">
        <f t="shared" si="54"/>
        <v>5.0910552985010042</v>
      </c>
      <c r="BJ144" s="5">
        <f t="shared" si="55"/>
        <v>4.9388856934679666</v>
      </c>
    </row>
    <row r="145" spans="13:62" x14ac:dyDescent="0.35">
      <c r="M145" s="2">
        <v>143</v>
      </c>
      <c r="N145" s="3">
        <v>43986</v>
      </c>
      <c r="O145" s="1">
        <v>80.296447999999998</v>
      </c>
      <c r="P145" s="1">
        <v>155.03338600000001</v>
      </c>
      <c r="R145" s="5">
        <f t="shared" si="45"/>
        <v>79.106369419124661</v>
      </c>
      <c r="S145" s="5">
        <f t="shared" si="46"/>
        <v>80.261468145069571</v>
      </c>
      <c r="T145" s="5">
        <f t="shared" si="47"/>
        <v>80.631222090321472</v>
      </c>
      <c r="U145" s="5">
        <f t="shared" si="48"/>
        <v>80.844912013065851</v>
      </c>
      <c r="V145" s="5"/>
      <c r="W145" s="5">
        <f>0.15*P144+(1-0.15)*W144</f>
        <v>142.93619077981396</v>
      </c>
      <c r="X145" s="5">
        <f>0.35*P144+(1-0.35)*X144</f>
        <v>147.97030066780252</v>
      </c>
      <c r="Y145" s="5">
        <f>0.55*P144+(1-0.55)*Y144</f>
        <v>149.81547101592602</v>
      </c>
      <c r="Z145" s="5">
        <f>0.75*P144+(1-0.75)*Z144</f>
        <v>151.11120381347072</v>
      </c>
      <c r="AB145" s="5">
        <f t="shared" si="37"/>
        <v>1.4821061336054826</v>
      </c>
      <c r="AC145" s="5">
        <f t="shared" si="38"/>
        <v>4.3563390164440115E-2</v>
      </c>
      <c r="AD145" s="5">
        <f t="shared" si="39"/>
        <v>0.41692266427709751</v>
      </c>
      <c r="AE145" s="5">
        <f t="shared" si="40"/>
        <v>0.68304891029034487</v>
      </c>
      <c r="AG145" s="5">
        <f>ABS((P145-W145)/P145)*100</f>
        <v>7.8029613700019764</v>
      </c>
      <c r="AH145" s="5">
        <f>ABS((P145-X145)/P145)*100</f>
        <v>4.5558479463239534</v>
      </c>
      <c r="AI145" s="5">
        <f>ABS((P145-Y145)/P145)*100</f>
        <v>3.3656718199227007</v>
      </c>
      <c r="AJ145" s="5">
        <f>ABS((P145-Z145)/P145)*100</f>
        <v>2.5298951972378929</v>
      </c>
      <c r="AL145" s="5">
        <f>0.15*(T145-T144)+(1-0.15)*AL144</f>
        <v>0.31450086343434214</v>
      </c>
      <c r="AM145" s="5">
        <f>0.25*(T145-T144)+(1-0.25)*AM144</f>
        <v>0.3222106754321965</v>
      </c>
      <c r="AN145" s="5">
        <f>0.45*(T145-T144)+(1-0.45)*AN144</f>
        <v>0.38971254619793139</v>
      </c>
      <c r="AO145" s="5">
        <f>0.85*(T145-T144)+(1-0.85)*AO144</f>
        <v>0.44355910065709114</v>
      </c>
      <c r="AP145" s="5">
        <f>T145+AL145</f>
        <v>80.945722953755819</v>
      </c>
      <c r="AQ145" s="5">
        <f t="shared" si="41"/>
        <v>80.953432765753675</v>
      </c>
      <c r="AR145" s="5">
        <f t="shared" si="42"/>
        <v>81.020934636519399</v>
      </c>
      <c r="AS145" s="5">
        <f t="shared" si="43"/>
        <v>81.07478119097857</v>
      </c>
      <c r="AT145" s="5">
        <f t="shared" si="49"/>
        <v>0.64927495375582112</v>
      </c>
      <c r="AU145" s="5">
        <f t="shared" si="50"/>
        <v>74.079953234246332</v>
      </c>
      <c r="AV145" s="5">
        <f t="shared" si="51"/>
        <v>81.020934636519399</v>
      </c>
      <c r="AW145" s="5">
        <f t="shared" si="44"/>
        <v>1.9684117718539085</v>
      </c>
      <c r="AY145" s="5">
        <f>0.15*(Y145-Y144)+(1-0.15)*AY144</f>
        <v>1.4188515486981061</v>
      </c>
      <c r="AZ145" s="5">
        <f>0.25*(Y145-Y144)+(1-0.25)*AZ144</f>
        <v>1.6557420044000679</v>
      </c>
      <c r="BA145" s="5">
        <f>0.45*(Y145-Y144)+(1-0.45)*BA144</f>
        <v>1.9358679909333665</v>
      </c>
      <c r="BB145" s="5">
        <f>0.85*(Y145-Y144)+(1-0.85)*BB144</f>
        <v>2.9261867574591309</v>
      </c>
      <c r="BC145" s="5">
        <f>Y145+AY145</f>
        <v>151.23432256462414</v>
      </c>
      <c r="BD145" s="5">
        <f>Y145+AZ145</f>
        <v>151.4712130203261</v>
      </c>
      <c r="BE145" s="5">
        <f>Y145+BA145</f>
        <v>151.75133900685938</v>
      </c>
      <c r="BF145" s="5">
        <f>Y145+BB145</f>
        <v>152.74165777338516</v>
      </c>
      <c r="BG145" s="5">
        <f t="shared" si="52"/>
        <v>3.7990634353758708</v>
      </c>
      <c r="BH145" s="5">
        <f t="shared" si="53"/>
        <v>3.5621729796739032</v>
      </c>
      <c r="BI145" s="5">
        <f t="shared" si="54"/>
        <v>3.2820469931406251</v>
      </c>
      <c r="BJ145" s="5">
        <f t="shared" si="55"/>
        <v>2.2917282266148504</v>
      </c>
    </row>
    <row r="146" spans="13:62" x14ac:dyDescent="0.35">
      <c r="M146" s="2">
        <v>144</v>
      </c>
      <c r="N146" s="3">
        <v>43987</v>
      </c>
      <c r="O146" s="1">
        <v>82.583374000000006</v>
      </c>
      <c r="P146" s="1">
        <v>160.46267700000001</v>
      </c>
      <c r="R146" s="5">
        <f t="shared" si="45"/>
        <v>79.28488120625596</v>
      </c>
      <c r="S146" s="5">
        <f t="shared" si="46"/>
        <v>80.273711094295223</v>
      </c>
      <c r="T146" s="5">
        <f t="shared" si="47"/>
        <v>80.447096340644663</v>
      </c>
      <c r="U146" s="5">
        <f t="shared" si="48"/>
        <v>80.433564003266468</v>
      </c>
      <c r="V146" s="5"/>
      <c r="W146" s="5">
        <f>0.15*P145+(1-0.15)*W145</f>
        <v>144.75077006284187</v>
      </c>
      <c r="X146" s="5">
        <f>0.35*P145+(1-0.35)*X145</f>
        <v>150.44238053407165</v>
      </c>
      <c r="Y146" s="5">
        <f>0.55*P145+(1-0.55)*Y145</f>
        <v>152.68532425716671</v>
      </c>
      <c r="Z146" s="5">
        <f>0.75*P145+(1-0.75)*Z145</f>
        <v>154.05284045336768</v>
      </c>
      <c r="AB146" s="5">
        <f t="shared" si="37"/>
        <v>3.9941366330516423</v>
      </c>
      <c r="AC146" s="5">
        <f t="shared" si="38"/>
        <v>2.7967650070882106</v>
      </c>
      <c r="AD146" s="5">
        <f t="shared" si="39"/>
        <v>2.5868132480943964</v>
      </c>
      <c r="AE146" s="5">
        <f t="shared" si="40"/>
        <v>2.6031995214115828</v>
      </c>
      <c r="AG146" s="5">
        <f>ABS((P146-W146)/P146)*100</f>
        <v>9.7916270817033322</v>
      </c>
      <c r="AH146" s="5">
        <f>ABS((P146-X146)/P146)*100</f>
        <v>6.244627506699497</v>
      </c>
      <c r="AI146" s="5">
        <f>ABS((P146-Y146)/P146)*100</f>
        <v>4.8468297352619265</v>
      </c>
      <c r="AJ146" s="5">
        <f>ABS((P146-Z146)/P146)*100</f>
        <v>3.9945965419935838</v>
      </c>
      <c r="AL146" s="5">
        <f>0.15*(T146-T145)+(1-0.15)*AL145</f>
        <v>0.23970687146766939</v>
      </c>
      <c r="AM146" s="5">
        <f>0.25*(T146-T145)+(1-0.25)*AM145</f>
        <v>0.19562656915494503</v>
      </c>
      <c r="AN146" s="5">
        <f>0.45*(T146-T145)+(1-0.45)*AN145</f>
        <v>0.13148531305429806</v>
      </c>
      <c r="AO146" s="5">
        <f>0.85*(T146-T145)+(1-0.85)*AO145</f>
        <v>-8.9973022126724284E-2</v>
      </c>
      <c r="AP146" s="5">
        <f>T146+AL146</f>
        <v>80.686803212112338</v>
      </c>
      <c r="AQ146" s="5">
        <f t="shared" si="41"/>
        <v>80.642722909799602</v>
      </c>
      <c r="AR146" s="5">
        <f t="shared" si="42"/>
        <v>80.578581653698961</v>
      </c>
      <c r="AS146" s="5">
        <f t="shared" si="43"/>
        <v>80.357123318517935</v>
      </c>
      <c r="AT146" s="5">
        <f t="shared" si="49"/>
        <v>1.8965707878876685</v>
      </c>
      <c r="AU146" s="5">
        <f t="shared" si="50"/>
        <v>79.819954090200412</v>
      </c>
      <c r="AV146" s="5">
        <f t="shared" si="51"/>
        <v>80.578581653698961</v>
      </c>
      <c r="AW146" s="5">
        <f t="shared" si="44"/>
        <v>1.072242112261975</v>
      </c>
      <c r="AY146" s="5">
        <f>0.15*(Y146-Y145)+(1-0.15)*AY145</f>
        <v>1.636501802579494</v>
      </c>
      <c r="AZ146" s="5">
        <f>0.25*(Y146-Y145)+(1-0.25)*AZ145</f>
        <v>1.9592698136102236</v>
      </c>
      <c r="BA146" s="5">
        <f>0.45*(Y146-Y145)+(1-0.45)*BA145</f>
        <v>2.3561613535716623</v>
      </c>
      <c r="BB146" s="5">
        <f>0.85*(Y146-Y145)+(1-0.85)*BB145</f>
        <v>2.8783032686734566</v>
      </c>
      <c r="BC146" s="5">
        <f>Y146+AY146</f>
        <v>154.3218260597462</v>
      </c>
      <c r="BD146" s="5">
        <f>Y146+AZ146</f>
        <v>154.64459407077695</v>
      </c>
      <c r="BE146" s="5">
        <f>Y146+BA146</f>
        <v>155.04148561073836</v>
      </c>
      <c r="BF146" s="5">
        <f>Y146+BB146</f>
        <v>155.56362752584016</v>
      </c>
      <c r="BG146" s="5">
        <f t="shared" si="52"/>
        <v>6.140850940253813</v>
      </c>
      <c r="BH146" s="5">
        <f t="shared" si="53"/>
        <v>5.8180829292230669</v>
      </c>
      <c r="BI146" s="5">
        <f t="shared" si="54"/>
        <v>5.4211913892616508</v>
      </c>
      <c r="BJ146" s="5">
        <f t="shared" si="55"/>
        <v>4.8990494741598525</v>
      </c>
    </row>
    <row r="147" spans="13:62" x14ac:dyDescent="0.35">
      <c r="M147" s="2">
        <v>145</v>
      </c>
      <c r="N147" s="3">
        <v>43990</v>
      </c>
      <c r="O147" s="1">
        <v>83.071640000000002</v>
      </c>
      <c r="P147" s="1">
        <v>162.00396699999999</v>
      </c>
      <c r="R147" s="5">
        <f t="shared" si="45"/>
        <v>79.779655125317561</v>
      </c>
      <c r="S147" s="5">
        <f t="shared" si="46"/>
        <v>81.082093111291897</v>
      </c>
      <c r="T147" s="5">
        <f t="shared" si="47"/>
        <v>81.622049053290098</v>
      </c>
      <c r="U147" s="5">
        <f t="shared" si="48"/>
        <v>82.045921500816632</v>
      </c>
      <c r="V147" s="5"/>
      <c r="W147" s="5">
        <f>0.15*P146+(1-0.15)*W146</f>
        <v>147.10755610341559</v>
      </c>
      <c r="X147" s="5">
        <f>0.35*P146+(1-0.35)*X146</f>
        <v>153.94948429714657</v>
      </c>
      <c r="Y147" s="5">
        <f>0.55*P146+(1-0.55)*Y146</f>
        <v>156.96286826572504</v>
      </c>
      <c r="Z147" s="5">
        <f>0.75*P146+(1-0.75)*Z146</f>
        <v>158.86021786334194</v>
      </c>
      <c r="AB147" s="5">
        <f t="shared" si="37"/>
        <v>3.9628263925961269</v>
      </c>
      <c r="AC147" s="5">
        <f t="shared" si="38"/>
        <v>2.394977261443382</v>
      </c>
      <c r="AD147" s="5">
        <f t="shared" si="39"/>
        <v>1.7449889597820674</v>
      </c>
      <c r="AE147" s="5">
        <f t="shared" si="40"/>
        <v>1.2347396767216461</v>
      </c>
      <c r="AG147" s="5">
        <f>ABS((P147-W147)/P147)*100</f>
        <v>9.1950902020716576</v>
      </c>
      <c r="AH147" s="5">
        <f>ABS((P147-X147)/P147)*100</f>
        <v>4.9717811557376379</v>
      </c>
      <c r="AI147" s="5">
        <f>ABS((P147-Y147)/P147)*100</f>
        <v>3.1117131435892271</v>
      </c>
      <c r="AJ147" s="5">
        <f>ABS((P147-Z147)/P147)*100</f>
        <v>1.9405383675932115</v>
      </c>
      <c r="AL147" s="5">
        <f>0.15*(T147-T146)+(1-0.15)*AL146</f>
        <v>0.37999374764433425</v>
      </c>
      <c r="AM147" s="5">
        <f>0.25*(T147-T146)+(1-0.25)*AM146</f>
        <v>0.4404581050275676</v>
      </c>
      <c r="AN147" s="5">
        <f>0.45*(T147-T146)+(1-0.45)*AN146</f>
        <v>0.60104564287030993</v>
      </c>
      <c r="AO147" s="5">
        <f>0.85*(T147-T146)+(1-0.85)*AO146</f>
        <v>0.98521385242961135</v>
      </c>
      <c r="AP147" s="5">
        <f>T147+AL147</f>
        <v>82.002042800934433</v>
      </c>
      <c r="AQ147" s="5">
        <f t="shared" si="41"/>
        <v>82.062507158317672</v>
      </c>
      <c r="AR147" s="5">
        <f t="shared" si="42"/>
        <v>82.223094696160402</v>
      </c>
      <c r="AS147" s="5">
        <f t="shared" si="43"/>
        <v>82.607262905719708</v>
      </c>
      <c r="AT147" s="5">
        <f t="shared" si="49"/>
        <v>1.0695971990655693</v>
      </c>
      <c r="AU147" s="5">
        <f t="shared" si="50"/>
        <v>79.941459841682317</v>
      </c>
      <c r="AV147" s="5">
        <f t="shared" si="51"/>
        <v>82.223094696160402</v>
      </c>
      <c r="AW147" s="5">
        <f t="shared" si="44"/>
        <v>2.8276077804021469</v>
      </c>
      <c r="AY147" s="5">
        <f>0.15*(Y147-Y146)+(1-0.15)*AY146</f>
        <v>2.0326581334763185</v>
      </c>
      <c r="AZ147" s="5">
        <f>0.25*(Y147-Y146)+(1-0.25)*AZ146</f>
        <v>2.5388383623472484</v>
      </c>
      <c r="BA147" s="5">
        <f>0.45*(Y147-Y146)+(1-0.45)*BA146</f>
        <v>3.2207835483156595</v>
      </c>
      <c r="BB147" s="5">
        <f>0.85*(Y147-Y146)+(1-0.85)*BB146</f>
        <v>4.067657897575593</v>
      </c>
      <c r="BC147" s="5">
        <f>Y147+AY147</f>
        <v>158.99552639920137</v>
      </c>
      <c r="BD147" s="5">
        <f>Y147+AZ147</f>
        <v>159.50170662807227</v>
      </c>
      <c r="BE147" s="5">
        <f>Y147+BA147</f>
        <v>160.1836518140407</v>
      </c>
      <c r="BF147" s="5">
        <f>Y147+BB147</f>
        <v>161.03052616330064</v>
      </c>
      <c r="BG147" s="5">
        <f t="shared" si="52"/>
        <v>3.0084406007986217</v>
      </c>
      <c r="BH147" s="5">
        <f t="shared" si="53"/>
        <v>2.5022603719277186</v>
      </c>
      <c r="BI147" s="5">
        <f t="shared" si="54"/>
        <v>1.8203151859592879</v>
      </c>
      <c r="BJ147" s="5">
        <f t="shared" si="55"/>
        <v>0.97344083669935344</v>
      </c>
    </row>
    <row r="148" spans="13:62" x14ac:dyDescent="0.35">
      <c r="M148" s="2">
        <v>146</v>
      </c>
      <c r="N148" s="3">
        <v>43991</v>
      </c>
      <c r="O148" s="1">
        <v>85.694878000000003</v>
      </c>
      <c r="P148" s="1">
        <v>157.21107499999999</v>
      </c>
      <c r="R148" s="5">
        <f t="shared" si="45"/>
        <v>80.273452856519924</v>
      </c>
      <c r="S148" s="5">
        <f t="shared" si="46"/>
        <v>81.778434522339737</v>
      </c>
      <c r="T148" s="5">
        <f t="shared" si="47"/>
        <v>82.419324073980547</v>
      </c>
      <c r="U148" s="5">
        <f t="shared" si="48"/>
        <v>82.81521037520416</v>
      </c>
      <c r="V148" s="5"/>
      <c r="W148" s="5">
        <f>0.15*P147+(1-0.15)*W147</f>
        <v>149.34201773790323</v>
      </c>
      <c r="X148" s="5">
        <f>0.35*P147+(1-0.35)*X147</f>
        <v>156.76855324314525</v>
      </c>
      <c r="Y148" s="5">
        <f>0.55*P147+(1-0.55)*Y147</f>
        <v>159.73547256957627</v>
      </c>
      <c r="Z148" s="5">
        <f>0.75*P147+(1-0.75)*Z147</f>
        <v>161.21802971583548</v>
      </c>
      <c r="AB148" s="5">
        <f t="shared" si="37"/>
        <v>6.3264284517448974</v>
      </c>
      <c r="AC148" s="5">
        <f t="shared" si="38"/>
        <v>4.5702188614589847</v>
      </c>
      <c r="AD148" s="5">
        <f t="shared" si="39"/>
        <v>3.8223450484630543</v>
      </c>
      <c r="AE148" s="5">
        <f t="shared" si="40"/>
        <v>3.3603730958060796</v>
      </c>
      <c r="AG148" s="5">
        <f>ABS((P148-W148)/P148)*100</f>
        <v>5.0054089777687487</v>
      </c>
      <c r="AH148" s="5">
        <f>ABS((P148-X148)/P148)*100</f>
        <v>0.28148255894487417</v>
      </c>
      <c r="AI148" s="5">
        <f>ABS((P148-Y148)/P148)*100</f>
        <v>1.6057377443518404</v>
      </c>
      <c r="AJ148" s="5">
        <f>ABS((P148-Z148)/P148)*100</f>
        <v>2.5487738162438562</v>
      </c>
      <c r="AL148" s="5">
        <f>0.15*(T148-T147)+(1-0.15)*AL147</f>
        <v>0.44258593860125151</v>
      </c>
      <c r="AM148" s="5">
        <f>0.25*(T148-T147)+(1-0.25)*AM147</f>
        <v>0.52966233394328799</v>
      </c>
      <c r="AN148" s="5">
        <f>0.45*(T148-T147)+(1-0.45)*AN147</f>
        <v>0.68934886288937269</v>
      </c>
      <c r="AO148" s="5">
        <f>0.85*(T148-T147)+(1-0.85)*AO147</f>
        <v>0.82546584545132362</v>
      </c>
      <c r="AP148" s="5">
        <f>T148+AL148</f>
        <v>82.861910012581802</v>
      </c>
      <c r="AQ148" s="5">
        <f t="shared" si="41"/>
        <v>82.94898640792384</v>
      </c>
      <c r="AR148" s="5">
        <f t="shared" si="42"/>
        <v>83.108672936869922</v>
      </c>
      <c r="AS148" s="5">
        <f t="shared" si="43"/>
        <v>83.244789919431867</v>
      </c>
      <c r="AT148" s="5">
        <f t="shared" si="49"/>
        <v>2.8329679874182006</v>
      </c>
      <c r="AU148" s="5">
        <f t="shared" si="50"/>
        <v>74.262088592076154</v>
      </c>
      <c r="AV148" s="5">
        <f t="shared" si="51"/>
        <v>83.108672936869922</v>
      </c>
      <c r="AW148" s="5">
        <f t="shared" si="44"/>
        <v>2.9713370629119424</v>
      </c>
      <c r="AY148" s="5">
        <f>0.15*(Y148-Y147)+(1-0.15)*AY147</f>
        <v>2.1436500590325562</v>
      </c>
      <c r="AZ148" s="5">
        <f>0.25*(Y148-Y147)+(1-0.25)*AZ147</f>
        <v>2.5972798477232457</v>
      </c>
      <c r="BA148" s="5">
        <f>0.45*(Y148-Y147)+(1-0.45)*BA147</f>
        <v>3.0191028883066702</v>
      </c>
      <c r="BB148" s="5">
        <f>0.85*(Y148-Y147)+(1-0.85)*BB147</f>
        <v>2.9668623429098915</v>
      </c>
      <c r="BC148" s="5">
        <f>Y148+AY148</f>
        <v>161.87912262860883</v>
      </c>
      <c r="BD148" s="5">
        <f>Y148+AZ148</f>
        <v>162.33275241729953</v>
      </c>
      <c r="BE148" s="5">
        <f>Y148+BA148</f>
        <v>162.75457545788294</v>
      </c>
      <c r="BF148" s="5">
        <f>Y148+BB148</f>
        <v>162.70233491248615</v>
      </c>
      <c r="BG148" s="5">
        <f t="shared" si="52"/>
        <v>4.6680476286088322</v>
      </c>
      <c r="BH148" s="5">
        <f t="shared" si="53"/>
        <v>5.1216774172995372</v>
      </c>
      <c r="BI148" s="5">
        <f t="shared" si="54"/>
        <v>5.5435004578829421</v>
      </c>
      <c r="BJ148" s="5">
        <f t="shared" si="55"/>
        <v>5.4912599124861572</v>
      </c>
    </row>
    <row r="149" spans="13:62" x14ac:dyDescent="0.35">
      <c r="M149" s="2">
        <v>147</v>
      </c>
      <c r="N149" s="3">
        <v>43992</v>
      </c>
      <c r="O149" s="1">
        <v>87.899590000000003</v>
      </c>
      <c r="P149" s="1">
        <v>153.25344799999999</v>
      </c>
      <c r="R149" s="5">
        <f t="shared" si="45"/>
        <v>81.086666628041939</v>
      </c>
      <c r="S149" s="5">
        <f t="shared" si="46"/>
        <v>83.149189739520835</v>
      </c>
      <c r="T149" s="5">
        <f t="shared" si="47"/>
        <v>84.220878733291244</v>
      </c>
      <c r="U149" s="5">
        <f t="shared" si="48"/>
        <v>84.974961093801042</v>
      </c>
      <c r="V149" s="5"/>
      <c r="W149" s="5">
        <f>0.15*P148+(1-0.15)*W148</f>
        <v>150.52237632721776</v>
      </c>
      <c r="X149" s="5">
        <f>0.35*P148+(1-0.35)*X148</f>
        <v>156.9234358580444</v>
      </c>
      <c r="Y149" s="5">
        <f>0.55*P148+(1-0.55)*Y148</f>
        <v>158.34705390630933</v>
      </c>
      <c r="Z149" s="5">
        <f>0.75*P148+(1-0.75)*Z148</f>
        <v>158.21281367895887</v>
      </c>
      <c r="AB149" s="5">
        <f t="shared" si="37"/>
        <v>7.7508022187112182</v>
      </c>
      <c r="AC149" s="5">
        <f t="shared" si="38"/>
        <v>5.4043485987581601</v>
      </c>
      <c r="AD149" s="5">
        <f t="shared" si="39"/>
        <v>4.1851290395197065</v>
      </c>
      <c r="AE149" s="5">
        <f t="shared" si="40"/>
        <v>3.3272383934884813</v>
      </c>
      <c r="AG149" s="5">
        <f>ABS((P149-W149)/P149)*100</f>
        <v>1.7820621385185638</v>
      </c>
      <c r="AH149" s="5">
        <f>ABS((P149-X149)/P149)*100</f>
        <v>2.3947179694413192</v>
      </c>
      <c r="AI149" s="5">
        <f>ABS((P149-Y149)/P149)*100</f>
        <v>3.3236484873797654</v>
      </c>
      <c r="AJ149" s="5">
        <f>ABS((P149-Z149)/P149)*100</f>
        <v>3.2360548775117119</v>
      </c>
      <c r="AL149" s="5">
        <f>0.15*(T149-T148)+(1-0.15)*AL148</f>
        <v>0.64643124670766816</v>
      </c>
      <c r="AM149" s="5">
        <f>0.25*(T149-T148)+(1-0.25)*AM148</f>
        <v>0.84763541528513997</v>
      </c>
      <c r="AN149" s="5">
        <f>0.45*(T149-T148)+(1-0.45)*AN148</f>
        <v>1.1898414712789682</v>
      </c>
      <c r="AO149" s="5">
        <f>0.85*(T149-T148)+(1-0.85)*AO148</f>
        <v>1.6551413372317902</v>
      </c>
      <c r="AP149" s="5">
        <f>T149+AL149</f>
        <v>84.867309979998907</v>
      </c>
      <c r="AQ149" s="5">
        <f t="shared" si="41"/>
        <v>85.068514148576384</v>
      </c>
      <c r="AR149" s="5">
        <f t="shared" si="42"/>
        <v>85.410720204570211</v>
      </c>
      <c r="AS149" s="5">
        <f t="shared" si="43"/>
        <v>85.87602007052304</v>
      </c>
      <c r="AT149" s="5">
        <f t="shared" si="49"/>
        <v>3.032280020001096</v>
      </c>
      <c r="AU149" s="5">
        <f t="shared" si="50"/>
        <v>68.184933851423608</v>
      </c>
      <c r="AV149" s="5">
        <f t="shared" si="51"/>
        <v>85.410720204570211</v>
      </c>
      <c r="AW149" s="5">
        <f t="shared" si="44"/>
        <v>4.7893534424811008</v>
      </c>
      <c r="AY149" s="5">
        <f>0.15*(Y149-Y148)+(1-0.15)*AY148</f>
        <v>1.6138397506876305</v>
      </c>
      <c r="AZ149" s="5">
        <f>0.25*(Y149-Y148)+(1-0.25)*AZ148</f>
        <v>1.6008552199756976</v>
      </c>
      <c r="BA149" s="5">
        <f>0.45*(Y149-Y148)+(1-0.45)*BA148</f>
        <v>1.0357181900985426</v>
      </c>
      <c r="BB149" s="5">
        <f>0.85*(Y149-Y148)+(1-0.85)*BB148</f>
        <v>-0.73512651234042092</v>
      </c>
      <c r="BC149" s="5">
        <f>Y149+AY149</f>
        <v>159.96089365699694</v>
      </c>
      <c r="BD149" s="5">
        <f>Y149+AZ149</f>
        <v>159.94790912628503</v>
      </c>
      <c r="BE149" s="5">
        <f>Y149+BA149</f>
        <v>159.38277209640788</v>
      </c>
      <c r="BF149" s="5">
        <f>Y149+BB149</f>
        <v>157.6119273939689</v>
      </c>
      <c r="BG149" s="5">
        <f t="shared" si="52"/>
        <v>6.7074456569969527</v>
      </c>
      <c r="BH149" s="5">
        <f t="shared" si="53"/>
        <v>6.6944611262850344</v>
      </c>
      <c r="BI149" s="5">
        <f t="shared" si="54"/>
        <v>6.1293240964078848</v>
      </c>
      <c r="BJ149" s="5">
        <f t="shared" si="55"/>
        <v>4.3584793939689064</v>
      </c>
    </row>
    <row r="150" spans="13:62" x14ac:dyDescent="0.35">
      <c r="M150" s="2">
        <v>148</v>
      </c>
      <c r="N150" s="3">
        <v>43993</v>
      </c>
      <c r="O150" s="1">
        <v>83.679496999999998</v>
      </c>
      <c r="P150" s="1">
        <v>142.633499</v>
      </c>
      <c r="R150" s="5">
        <f t="shared" si="45"/>
        <v>82.108605133835653</v>
      </c>
      <c r="S150" s="5">
        <f t="shared" si="46"/>
        <v>84.811829830688538</v>
      </c>
      <c r="T150" s="5">
        <f t="shared" si="47"/>
        <v>86.244169929981069</v>
      </c>
      <c r="U150" s="5">
        <f t="shared" si="48"/>
        <v>87.168432773450263</v>
      </c>
      <c r="V150" s="5"/>
      <c r="W150" s="5">
        <f>0.15*P149+(1-0.15)*W149</f>
        <v>150.9320370781351</v>
      </c>
      <c r="X150" s="5">
        <f>0.35*P149+(1-0.35)*X149</f>
        <v>155.63894010772884</v>
      </c>
      <c r="Y150" s="5">
        <f>0.55*P149+(1-0.55)*Y149</f>
        <v>155.54557065783919</v>
      </c>
      <c r="Z150" s="5">
        <f>0.75*P149+(1-0.75)*Z149</f>
        <v>154.49328941973971</v>
      </c>
      <c r="AB150" s="5">
        <f t="shared" si="37"/>
        <v>1.877272118598353</v>
      </c>
      <c r="AC150" s="5">
        <f t="shared" si="38"/>
        <v>1.3531783427050716</v>
      </c>
      <c r="AD150" s="5">
        <f t="shared" si="39"/>
        <v>3.0648761308652124</v>
      </c>
      <c r="AE150" s="5">
        <f t="shared" si="40"/>
        <v>4.1694033766123919</v>
      </c>
      <c r="AG150" s="5">
        <f>ABS((P150-W150)/P150)*100</f>
        <v>5.8180849073436081</v>
      </c>
      <c r="AH150" s="5">
        <f>ABS((P150-X150)/P150)*100</f>
        <v>9.1180831984839994</v>
      </c>
      <c r="AI150" s="5">
        <f>ABS((P150-Y150)/P150)*100</f>
        <v>9.0526221037592247</v>
      </c>
      <c r="AJ150" s="5">
        <f>ABS((P150-Z150)/P150)*100</f>
        <v>8.3148702814474955</v>
      </c>
      <c r="AL150" s="5">
        <f>0.15*(T150-T149)+(1-0.15)*AL149</f>
        <v>0.85296023920499175</v>
      </c>
      <c r="AM150" s="5">
        <f>0.25*(T150-T149)+(1-0.25)*AM149</f>
        <v>1.1415493606363114</v>
      </c>
      <c r="AN150" s="5">
        <f>0.45*(T150-T149)+(1-0.45)*AN149</f>
        <v>1.5648938477138543</v>
      </c>
      <c r="AO150" s="5">
        <f>0.85*(T150-T149)+(1-0.85)*AO149</f>
        <v>1.9680687177711202</v>
      </c>
      <c r="AP150" s="5">
        <f>T150+AL150</f>
        <v>87.097130169186059</v>
      </c>
      <c r="AQ150" s="5">
        <f t="shared" si="41"/>
        <v>87.385719290617374</v>
      </c>
      <c r="AR150" s="5">
        <f t="shared" si="42"/>
        <v>87.809063777694917</v>
      </c>
      <c r="AS150" s="5">
        <f t="shared" si="43"/>
        <v>88.212238647752187</v>
      </c>
      <c r="AT150" s="5">
        <f t="shared" si="49"/>
        <v>3.4176331691860611</v>
      </c>
      <c r="AU150" s="5">
        <f t="shared" si="50"/>
        <v>55.247779709382627</v>
      </c>
      <c r="AV150" s="5">
        <f t="shared" si="51"/>
        <v>87.809063777694917</v>
      </c>
      <c r="AW150" s="5">
        <f t="shared" si="44"/>
        <v>6.1036335139165345</v>
      </c>
      <c r="AY150" s="5">
        <f>0.15*(Y150-Y149)+(1-0.15)*AY149</f>
        <v>0.95154130081396582</v>
      </c>
      <c r="AZ150" s="5">
        <f>0.25*(Y150-Y149)+(1-0.25)*AZ149</f>
        <v>0.50027060286423963</v>
      </c>
      <c r="BA150" s="5">
        <f>0.45*(Y150-Y149)+(1-0.45)*BA149</f>
        <v>-0.691022457257362</v>
      </c>
      <c r="BB150" s="5">
        <f>0.85*(Y150-Y149)+(1-0.85)*BB149</f>
        <v>-2.4915297380506773</v>
      </c>
      <c r="BC150" s="5">
        <f>Y150+AY150</f>
        <v>156.49711195865316</v>
      </c>
      <c r="BD150" s="5">
        <f>Y150+AZ150</f>
        <v>156.04584126070344</v>
      </c>
      <c r="BE150" s="5">
        <f>Y150+BA150</f>
        <v>154.85454820058183</v>
      </c>
      <c r="BF150" s="5">
        <f>Y150+BB150</f>
        <v>153.05404091978852</v>
      </c>
      <c r="BG150" s="5">
        <f t="shared" si="52"/>
        <v>13.863612958653164</v>
      </c>
      <c r="BH150" s="5">
        <f t="shared" si="53"/>
        <v>13.41234226070344</v>
      </c>
      <c r="BI150" s="5">
        <f t="shared" si="54"/>
        <v>12.221049200581831</v>
      </c>
      <c r="BJ150" s="5">
        <f t="shared" si="55"/>
        <v>10.420541919788519</v>
      </c>
    </row>
    <row r="151" spans="13:62" x14ac:dyDescent="0.35">
      <c r="M151" s="2">
        <v>149</v>
      </c>
      <c r="N151" s="3">
        <v>43994</v>
      </c>
      <c r="O151" s="1">
        <v>84.401947000000007</v>
      </c>
      <c r="P151" s="1">
        <v>143.69747899999999</v>
      </c>
      <c r="R151" s="5">
        <f t="shared" si="45"/>
        <v>82.344238913760293</v>
      </c>
      <c r="S151" s="5">
        <f t="shared" si="46"/>
        <v>84.415513339947552</v>
      </c>
      <c r="T151" s="5">
        <f t="shared" si="47"/>
        <v>84.833599818491479</v>
      </c>
      <c r="U151" s="5">
        <f t="shared" si="48"/>
        <v>84.551730943362571</v>
      </c>
      <c r="V151" s="5"/>
      <c r="W151" s="5">
        <f>0.15*P150+(1-0.15)*W150</f>
        <v>149.68725636641483</v>
      </c>
      <c r="X151" s="5">
        <f>0.35*P150+(1-0.35)*X150</f>
        <v>151.08703572002375</v>
      </c>
      <c r="Y151" s="5">
        <f>0.55*P150+(1-0.55)*Y150</f>
        <v>148.44393124602763</v>
      </c>
      <c r="Z151" s="5">
        <f>0.75*P150+(1-0.75)*Z150</f>
        <v>145.59844660493491</v>
      </c>
      <c r="AB151" s="5">
        <f t="shared" si="37"/>
        <v>2.4379865149789892</v>
      </c>
      <c r="AC151" s="5">
        <f t="shared" si="38"/>
        <v>1.6073491702205338E-2</v>
      </c>
      <c r="AD151" s="5">
        <f t="shared" si="39"/>
        <v>0.51142519080924942</v>
      </c>
      <c r="AE151" s="5">
        <f t="shared" si="40"/>
        <v>0.17746503331559907</v>
      </c>
      <c r="AG151" s="5">
        <f>ABS((P151-W151)/P151)*100</f>
        <v>4.1683245997759233</v>
      </c>
      <c r="AH151" s="5">
        <f>ABS((P151-X151)/P151)*100</f>
        <v>5.1424400563239967</v>
      </c>
      <c r="AI151" s="5">
        <f>ABS((P151-Y151)/P151)*100</f>
        <v>3.3030866505512213</v>
      </c>
      <c r="AJ151" s="5">
        <f>ABS((P151-Z151)/P151)*100</f>
        <v>1.3228955846434298</v>
      </c>
      <c r="AL151" s="5">
        <f>0.15*(T151-T150)+(1-0.15)*AL150</f>
        <v>0.51343068660080438</v>
      </c>
      <c r="AM151" s="5">
        <f>0.25*(T151-T150)+(1-0.25)*AM150</f>
        <v>0.50351949260483586</v>
      </c>
      <c r="AN151" s="5">
        <f>0.45*(T151-T150)+(1-0.45)*AN150</f>
        <v>0.22593506607230407</v>
      </c>
      <c r="AO151" s="5">
        <f>0.85*(T151-T150)+(1-0.85)*AO150</f>
        <v>-0.90377428710048413</v>
      </c>
      <c r="AP151" s="5">
        <f>T151+AL151</f>
        <v>85.347030505092278</v>
      </c>
      <c r="AQ151" s="5">
        <f t="shared" si="41"/>
        <v>85.337119311096316</v>
      </c>
      <c r="AR151" s="5">
        <f t="shared" si="42"/>
        <v>85.059534884563789</v>
      </c>
      <c r="AS151" s="5">
        <f t="shared" si="43"/>
        <v>83.929825531390989</v>
      </c>
      <c r="AT151" s="5">
        <f t="shared" si="49"/>
        <v>0.94508350509227057</v>
      </c>
      <c r="AU151" s="5">
        <f t="shared" si="50"/>
        <v>58.360359688903671</v>
      </c>
      <c r="AV151" s="5">
        <f t="shared" si="51"/>
        <v>85.059534884563789</v>
      </c>
      <c r="AW151" s="5">
        <f t="shared" si="44"/>
        <v>1.5855866176306961</v>
      </c>
      <c r="AY151" s="5">
        <f>0.15*(Y151-Y150)+(1-0.15)*AY150</f>
        <v>-0.25643580607986316</v>
      </c>
      <c r="AZ151" s="5">
        <f>0.25*(Y151-Y150)+(1-0.25)*AZ150</f>
        <v>-1.4002069008047107</v>
      </c>
      <c r="BA151" s="5">
        <f>0.45*(Y151-Y150)+(1-0.45)*BA150</f>
        <v>-3.5758000868067521</v>
      </c>
      <c r="BB151" s="5">
        <f>0.85*(Y151-Y150)+(1-0.85)*BB150</f>
        <v>-6.4101229607474286</v>
      </c>
      <c r="BC151" s="5">
        <f>Y151+AY151</f>
        <v>148.18749543994778</v>
      </c>
      <c r="BD151" s="5">
        <f>Y151+AZ151</f>
        <v>147.04372434522293</v>
      </c>
      <c r="BE151" s="5">
        <f>Y151+BA151</f>
        <v>144.86813115922087</v>
      </c>
      <c r="BF151" s="5">
        <f>Y151+BB151</f>
        <v>142.0338082852802</v>
      </c>
      <c r="BG151" s="5">
        <f t="shared" si="52"/>
        <v>4.4900164399477944</v>
      </c>
      <c r="BH151" s="5">
        <f t="shared" si="53"/>
        <v>3.3462453452229397</v>
      </c>
      <c r="BI151" s="5">
        <f t="shared" si="54"/>
        <v>1.1706521592208787</v>
      </c>
      <c r="BJ151" s="5">
        <f t="shared" si="55"/>
        <v>1.6636707147197853</v>
      </c>
    </row>
    <row r="152" spans="13:62" x14ac:dyDescent="0.35">
      <c r="M152" s="2">
        <v>150</v>
      </c>
      <c r="N152" s="3">
        <v>43997</v>
      </c>
      <c r="O152" s="1">
        <v>85.445755000000005</v>
      </c>
      <c r="P152" s="1">
        <v>145.80557300000001</v>
      </c>
      <c r="R152" s="5">
        <f t="shared" si="45"/>
        <v>82.652895126696237</v>
      </c>
      <c r="S152" s="5">
        <f t="shared" si="46"/>
        <v>84.41076512096592</v>
      </c>
      <c r="T152" s="5">
        <f t="shared" si="47"/>
        <v>84.596190768321165</v>
      </c>
      <c r="U152" s="5">
        <f t="shared" si="48"/>
        <v>84.439392985840641</v>
      </c>
      <c r="V152" s="5"/>
      <c r="W152" s="5">
        <f>0.15*P151+(1-0.15)*W151</f>
        <v>148.78878976145259</v>
      </c>
      <c r="X152" s="5">
        <f>0.35*P151+(1-0.35)*X151</f>
        <v>148.50069086801543</v>
      </c>
      <c r="Y152" s="5">
        <f>0.55*P151+(1-0.55)*Y151</f>
        <v>145.83338251071243</v>
      </c>
      <c r="Z152" s="5">
        <f>0.75*P151+(1-0.75)*Z151</f>
        <v>144.17272090123373</v>
      </c>
      <c r="AB152" s="5">
        <f t="shared" si="37"/>
        <v>3.2685765059993543</v>
      </c>
      <c r="AC152" s="5">
        <f t="shared" si="38"/>
        <v>1.2112829701535037</v>
      </c>
      <c r="AD152" s="5">
        <f t="shared" si="39"/>
        <v>0.99427318733252523</v>
      </c>
      <c r="AE152" s="5">
        <f t="shared" si="40"/>
        <v>1.1777788307439785</v>
      </c>
      <c r="AG152" s="5">
        <f>ABS((P152-W152)/P152)*100</f>
        <v>2.0460238247906899</v>
      </c>
      <c r="AH152" s="5">
        <f>ABS((P152-X152)/P152)*100</f>
        <v>1.8484326850904496</v>
      </c>
      <c r="AI152" s="5">
        <f>ABS((P152-Y152)/P152)*100</f>
        <v>1.9073009446913175E-2</v>
      </c>
      <c r="AJ152" s="5">
        <f>ABS((P152-Z152)/P152)*100</f>
        <v>1.1198831877066031</v>
      </c>
      <c r="AL152" s="5">
        <f>0.15*(T152-T151)+(1-0.15)*AL151</f>
        <v>0.40080472608513662</v>
      </c>
      <c r="AM152" s="5">
        <f>0.25*(T152-T151)+(1-0.25)*AM151</f>
        <v>0.31828735691104848</v>
      </c>
      <c r="AN152" s="5">
        <f>0.45*(T152-T151)+(1-0.45)*AN151</f>
        <v>1.743021376312609E-2</v>
      </c>
      <c r="AO152" s="5">
        <f>0.85*(T152-T151)+(1-0.85)*AO151</f>
        <v>-0.33736383570983924</v>
      </c>
      <c r="AP152" s="5">
        <f>T152+AL152</f>
        <v>84.996995494406306</v>
      </c>
      <c r="AQ152" s="5">
        <f t="shared" si="41"/>
        <v>84.914478125232208</v>
      </c>
      <c r="AR152" s="5">
        <f t="shared" si="42"/>
        <v>84.613620982084285</v>
      </c>
      <c r="AS152" s="5">
        <f t="shared" si="43"/>
        <v>84.258826932611328</v>
      </c>
      <c r="AT152" s="5">
        <f t="shared" si="49"/>
        <v>0.44875950559369926</v>
      </c>
      <c r="AU152" s="5">
        <f t="shared" si="50"/>
        <v>60.891094874767802</v>
      </c>
      <c r="AV152" s="5">
        <f t="shared" si="51"/>
        <v>84.613620982084285</v>
      </c>
      <c r="AW152" s="5">
        <f t="shared" si="44"/>
        <v>1.6059318059150911</v>
      </c>
      <c r="AY152" s="5">
        <f>0.15*(Y152-Y151)+(1-0.15)*AY151</f>
        <v>-0.60955274546516458</v>
      </c>
      <c r="AZ152" s="5">
        <f>0.25*(Y152-Y151)+(1-0.25)*AZ151</f>
        <v>-1.7027923594323344</v>
      </c>
      <c r="BA152" s="5">
        <f>0.45*(Y152-Y151)+(1-0.45)*BA151</f>
        <v>-3.1414369786355563</v>
      </c>
      <c r="BB152" s="5">
        <f>0.85*(Y152-Y151)+(1-0.85)*BB151</f>
        <v>-3.1804848691300394</v>
      </c>
      <c r="BC152" s="5">
        <f>Y152+AY152</f>
        <v>145.22382976524727</v>
      </c>
      <c r="BD152" s="5">
        <f>Y152+AZ152</f>
        <v>144.1305901512801</v>
      </c>
      <c r="BE152" s="5">
        <f>Y152+BA152</f>
        <v>142.69194553207686</v>
      </c>
      <c r="BF152" s="5">
        <f>Y152+BB152</f>
        <v>142.6528976415824</v>
      </c>
      <c r="BG152" s="5">
        <f t="shared" si="52"/>
        <v>0.58174323475273582</v>
      </c>
      <c r="BH152" s="5">
        <f t="shared" si="53"/>
        <v>1.6749828487199068</v>
      </c>
      <c r="BI152" s="5">
        <f t="shared" si="54"/>
        <v>3.1136274679231519</v>
      </c>
      <c r="BJ152" s="5">
        <f t="shared" si="55"/>
        <v>3.1526753584176106</v>
      </c>
    </row>
    <row r="153" spans="13:62" x14ac:dyDescent="0.35">
      <c r="M153" s="2">
        <v>151</v>
      </c>
      <c r="N153" s="3">
        <v>43998</v>
      </c>
      <c r="O153" s="1">
        <v>87.710257999999996</v>
      </c>
      <c r="P153" s="1">
        <v>148.27162200000001</v>
      </c>
      <c r="R153" s="5">
        <f t="shared" si="45"/>
        <v>83.071824107691796</v>
      </c>
      <c r="S153" s="5">
        <f t="shared" si="46"/>
        <v>84.773011578627845</v>
      </c>
      <c r="T153" s="5">
        <f t="shared" si="47"/>
        <v>85.063451095744526</v>
      </c>
      <c r="U153" s="5">
        <f t="shared" si="48"/>
        <v>85.194164496460161</v>
      </c>
      <c r="V153" s="5"/>
      <c r="W153" s="5">
        <f>0.15*P152+(1-0.15)*W152</f>
        <v>148.34130724723468</v>
      </c>
      <c r="X153" s="5">
        <f>0.35*P152+(1-0.35)*X152</f>
        <v>147.55739961421003</v>
      </c>
      <c r="Y153" s="5">
        <f>0.55*P152+(1-0.55)*Y152</f>
        <v>145.81808727982059</v>
      </c>
      <c r="Z153" s="5">
        <f>0.75*P152+(1-0.75)*Z152</f>
        <v>145.39735997530846</v>
      </c>
      <c r="AB153" s="5">
        <f t="shared" si="37"/>
        <v>5.2883596492307667</v>
      </c>
      <c r="AC153" s="5">
        <f t="shared" si="38"/>
        <v>3.348806044296611</v>
      </c>
      <c r="AD153" s="5">
        <f t="shared" si="39"/>
        <v>3.0176708683897275</v>
      </c>
      <c r="AE153" s="5">
        <f t="shared" si="40"/>
        <v>2.8686422328615602</v>
      </c>
      <c r="AG153" s="5">
        <f>ABS((P153-W153)/P153)*100</f>
        <v>4.6998371161457581E-2</v>
      </c>
      <c r="AH153" s="5">
        <f>ABS((P153-X153)/P153)*100</f>
        <v>0.48169863939977725</v>
      </c>
      <c r="AI153" s="5">
        <f>ABS((P153-Y153)/P153)*100</f>
        <v>1.6547567815636492</v>
      </c>
      <c r="AJ153" s="5">
        <f>ABS((P153-Z153)/P153)*100</f>
        <v>1.9385112174004182</v>
      </c>
      <c r="AL153" s="5">
        <f>0.15*(T153-T152)+(1-0.15)*AL152</f>
        <v>0.41077306628587024</v>
      </c>
      <c r="AM153" s="5">
        <f>0.25*(T153-T152)+(1-0.25)*AM152</f>
        <v>0.35553059953912658</v>
      </c>
      <c r="AN153" s="5">
        <f>0.45*(T153-T152)+(1-0.45)*AN152</f>
        <v>0.21985376491023176</v>
      </c>
      <c r="AO153" s="5">
        <f>0.85*(T153-T152)+(1-0.85)*AO152</f>
        <v>0.34656670295338082</v>
      </c>
      <c r="AP153" s="5">
        <f>T153+AL153</f>
        <v>85.474224162030396</v>
      </c>
      <c r="AQ153" s="5">
        <f t="shared" si="41"/>
        <v>85.418981695283648</v>
      </c>
      <c r="AR153" s="5">
        <f t="shared" si="42"/>
        <v>85.283304860654752</v>
      </c>
      <c r="AS153" s="5">
        <f t="shared" si="43"/>
        <v>85.410017798697908</v>
      </c>
      <c r="AT153" s="5">
        <f t="shared" si="49"/>
        <v>2.2360338379696003</v>
      </c>
      <c r="AU153" s="5">
        <f t="shared" si="50"/>
        <v>62.85264030471636</v>
      </c>
      <c r="AV153" s="5">
        <f t="shared" si="51"/>
        <v>85.283304860654752</v>
      </c>
      <c r="AW153" s="5">
        <f t="shared" si="44"/>
        <v>2.3381936910061114</v>
      </c>
      <c r="AY153" s="5">
        <f>0.15*(Y153-Y152)+(1-0.15)*AY152</f>
        <v>-0.52041411827916539</v>
      </c>
      <c r="AZ153" s="5">
        <f>0.25*(Y153-Y152)+(1-0.25)*AZ152</f>
        <v>-1.2809180772972102</v>
      </c>
      <c r="BA153" s="5">
        <f>0.45*(Y153-Y152)+(1-0.45)*BA152</f>
        <v>-1.7346731921508829</v>
      </c>
      <c r="BB153" s="5">
        <f>0.85*(Y153-Y152)+(1-0.85)*BB152</f>
        <v>-0.49007367662756768</v>
      </c>
      <c r="BC153" s="5">
        <f>Y153+AY153</f>
        <v>145.29767316154141</v>
      </c>
      <c r="BD153" s="5">
        <f>Y153+AZ153</f>
        <v>144.53716920252339</v>
      </c>
      <c r="BE153" s="5">
        <f>Y153+BA153</f>
        <v>144.08341408766969</v>
      </c>
      <c r="BF153" s="5">
        <f>Y153+BB153</f>
        <v>145.32801360319303</v>
      </c>
      <c r="BG153" s="5">
        <f t="shared" si="52"/>
        <v>2.9739488384585968</v>
      </c>
      <c r="BH153" s="5">
        <f t="shared" si="53"/>
        <v>3.7344527974766208</v>
      </c>
      <c r="BI153" s="5">
        <f t="shared" si="54"/>
        <v>4.1882079123303129</v>
      </c>
      <c r="BJ153" s="5">
        <f t="shared" si="55"/>
        <v>2.9436083968069795</v>
      </c>
    </row>
    <row r="154" spans="13:62" x14ac:dyDescent="0.35">
      <c r="M154" s="2">
        <v>152</v>
      </c>
      <c r="N154" s="3">
        <v>43999</v>
      </c>
      <c r="O154" s="1">
        <v>87.588195999999996</v>
      </c>
      <c r="P154" s="1">
        <v>147.50595100000001</v>
      </c>
      <c r="R154" s="5">
        <f t="shared" si="45"/>
        <v>83.767589191538022</v>
      </c>
      <c r="S154" s="5">
        <f t="shared" si="46"/>
        <v>85.801047826108103</v>
      </c>
      <c r="T154" s="5">
        <f t="shared" si="47"/>
        <v>86.519194893085029</v>
      </c>
      <c r="U154" s="5">
        <f t="shared" si="48"/>
        <v>87.081234624115041</v>
      </c>
      <c r="V154" s="5"/>
      <c r="W154" s="5">
        <f>0.15*P153+(1-0.15)*W153</f>
        <v>148.33085446014948</v>
      </c>
      <c r="X154" s="5">
        <f>0.35*P153+(1-0.35)*X153</f>
        <v>147.80737744923653</v>
      </c>
      <c r="Y154" s="5">
        <f>0.55*P153+(1-0.55)*Y153</f>
        <v>147.16753137591928</v>
      </c>
      <c r="Z154" s="5">
        <f>0.75*P153+(1-0.75)*Z153</f>
        <v>147.55305649382711</v>
      </c>
      <c r="AB154" s="5">
        <f t="shared" si="37"/>
        <v>4.3620110733436901</v>
      </c>
      <c r="AC154" s="5">
        <f t="shared" si="38"/>
        <v>2.0403984275368487</v>
      </c>
      <c r="AD154" s="5">
        <f t="shared" si="39"/>
        <v>1.2204853573134076</v>
      </c>
      <c r="AE154" s="5">
        <f t="shared" si="40"/>
        <v>0.57880102460947547</v>
      </c>
      <c r="AG154" s="5">
        <f>ABS((P154-W154)/P154)*100</f>
        <v>0.55923402042909531</v>
      </c>
      <c r="AH154" s="5">
        <f>ABS((P154-X154)/P154)*100</f>
        <v>0.20434867013366512</v>
      </c>
      <c r="AI154" s="5">
        <f>ABS((P154-Y154)/P154)*100</f>
        <v>0.22942777683642637</v>
      </c>
      <c r="AJ154" s="5">
        <f>ABS((P154-Z154)/P154)*100</f>
        <v>3.1934639590984248E-2</v>
      </c>
      <c r="AL154" s="5">
        <f>0.15*(T154-T153)+(1-0.15)*AL153</f>
        <v>0.56751867594406513</v>
      </c>
      <c r="AM154" s="5">
        <f>0.25*(T154-T153)+(1-0.25)*AM153</f>
        <v>0.63058389898947065</v>
      </c>
      <c r="AN154" s="5">
        <f>0.45*(T154-T153)+(1-0.45)*AN153</f>
        <v>0.77600427950385376</v>
      </c>
      <c r="AO154" s="5">
        <f>0.85*(T154-T153)+(1-0.85)*AO153</f>
        <v>1.2893672331824346</v>
      </c>
      <c r="AP154" s="5">
        <f>T154+AL154</f>
        <v>87.086713569029101</v>
      </c>
      <c r="AQ154" s="5">
        <f t="shared" si="41"/>
        <v>87.1497787920745</v>
      </c>
      <c r="AR154" s="5">
        <f t="shared" si="42"/>
        <v>87.29519917258888</v>
      </c>
      <c r="AS154" s="5">
        <f t="shared" si="43"/>
        <v>87.808562126267461</v>
      </c>
      <c r="AT154" s="5">
        <f t="shared" si="49"/>
        <v>0.50148243097089562</v>
      </c>
      <c r="AU154" s="5">
        <f t="shared" si="50"/>
        <v>60.356172207925511</v>
      </c>
      <c r="AV154" s="5">
        <f t="shared" si="51"/>
        <v>87.29519917258888</v>
      </c>
      <c r="AW154" s="5">
        <f t="shared" si="44"/>
        <v>4.0409729347294387</v>
      </c>
      <c r="AY154" s="5">
        <f>0.15*(Y154-Y153)+(1-0.15)*AY153</f>
        <v>-0.23993538612248655</v>
      </c>
      <c r="AZ154" s="5">
        <f>0.25*(Y154-Y153)+(1-0.25)*AZ153</f>
        <v>-0.62332753394823426</v>
      </c>
      <c r="BA154" s="5">
        <f>0.45*(Y154-Y153)+(1-0.45)*BA153</f>
        <v>-0.34682041243857353</v>
      </c>
      <c r="BB154" s="5">
        <f>0.85*(Y154-Y153)+(1-0.85)*BB153</f>
        <v>1.0735164301897544</v>
      </c>
      <c r="BC154" s="5">
        <f>Y154+AY154</f>
        <v>146.9275959897968</v>
      </c>
      <c r="BD154" s="5">
        <f>Y154+AZ154</f>
        <v>146.54420384197104</v>
      </c>
      <c r="BE154" s="5">
        <f>Y154+BA154</f>
        <v>146.82071096348071</v>
      </c>
      <c r="BF154" s="5">
        <f>Y154+BB154</f>
        <v>148.24104780610904</v>
      </c>
      <c r="BG154" s="5">
        <f t="shared" si="52"/>
        <v>0.5783550102032109</v>
      </c>
      <c r="BH154" s="5">
        <f t="shared" si="53"/>
        <v>0.96174715802897026</v>
      </c>
      <c r="BI154" s="5">
        <f t="shared" si="54"/>
        <v>0.68524003651930343</v>
      </c>
      <c r="BJ154" s="5">
        <f t="shared" si="55"/>
        <v>0.73509680610902706</v>
      </c>
    </row>
    <row r="155" spans="13:62" x14ac:dyDescent="0.35">
      <c r="M155" s="2">
        <v>153</v>
      </c>
      <c r="N155" s="3">
        <v>44000</v>
      </c>
      <c r="O155" s="1">
        <v>87.623076999999995</v>
      </c>
      <c r="P155" s="1">
        <v>147.39656099999999</v>
      </c>
      <c r="R155" s="5">
        <f t="shared" si="45"/>
        <v>84.340680212807314</v>
      </c>
      <c r="S155" s="5">
        <f t="shared" si="46"/>
        <v>86.426549686970276</v>
      </c>
      <c r="T155" s="5">
        <f t="shared" si="47"/>
        <v>87.107145501888255</v>
      </c>
      <c r="U155" s="5">
        <f t="shared" si="48"/>
        <v>87.461455656028761</v>
      </c>
      <c r="V155" s="5"/>
      <c r="W155" s="5">
        <f>0.15*P154+(1-0.15)*W154</f>
        <v>148.20711894112705</v>
      </c>
      <c r="X155" s="5">
        <f>0.35*P154+(1-0.35)*X154</f>
        <v>147.70187819200373</v>
      </c>
      <c r="Y155" s="5">
        <f>0.55*P154+(1-0.55)*Y154</f>
        <v>147.35366216916367</v>
      </c>
      <c r="Z155" s="5">
        <f>0.75*P154+(1-0.75)*Z154</f>
        <v>147.51772737345681</v>
      </c>
      <c r="AB155" s="5">
        <f t="shared" si="37"/>
        <v>3.7460414534320465</v>
      </c>
      <c r="AC155" s="5">
        <f t="shared" si="38"/>
        <v>1.3655390269274832</v>
      </c>
      <c r="AD155" s="5">
        <f t="shared" si="39"/>
        <v>0.58880778417738111</v>
      </c>
      <c r="AE155" s="5">
        <f t="shared" si="40"/>
        <v>0.18445066015113115</v>
      </c>
      <c r="AG155" s="5">
        <f>ABS((P155-W155)/P155)*100</f>
        <v>0.54991645370006847</v>
      </c>
      <c r="AH155" s="5">
        <f>ABS((P155-X155)/P155)*100</f>
        <v>0.20713996984213318</v>
      </c>
      <c r="AI155" s="5">
        <f>ABS((P155-Y155)/P155)*100</f>
        <v>2.9104363456839148E-2</v>
      </c>
      <c r="AJ155" s="5">
        <f>ABS((P155-Z155)/P155)*100</f>
        <v>8.2204342241618683E-2</v>
      </c>
      <c r="AL155" s="5">
        <f>0.15*(T155-T154)+(1-0.15)*AL154</f>
        <v>0.57058346587293918</v>
      </c>
      <c r="AM155" s="5">
        <f>0.25*(T155-T154)+(1-0.25)*AM154</f>
        <v>0.61992557644290947</v>
      </c>
      <c r="AN155" s="5">
        <f>0.45*(T155-T154)+(1-0.45)*AN154</f>
        <v>0.69138012768857116</v>
      </c>
      <c r="AO155" s="5">
        <f>0.85*(T155-T154)+(1-0.85)*AO154</f>
        <v>0.69316310246010715</v>
      </c>
      <c r="AP155" s="5">
        <f>T155+AL155</f>
        <v>87.677728967761198</v>
      </c>
      <c r="AQ155" s="5">
        <f t="shared" si="41"/>
        <v>87.727071078331164</v>
      </c>
      <c r="AR155" s="5">
        <f t="shared" si="42"/>
        <v>87.798525629576829</v>
      </c>
      <c r="AS155" s="5">
        <f t="shared" si="43"/>
        <v>87.800308604348359</v>
      </c>
      <c r="AT155" s="5">
        <f t="shared" si="49"/>
        <v>5.4651967761202513E-2</v>
      </c>
      <c r="AU155" s="5">
        <f t="shared" si="50"/>
        <v>59.669489921668827</v>
      </c>
      <c r="AV155" s="5">
        <f t="shared" si="51"/>
        <v>87.798525629576829</v>
      </c>
      <c r="AW155" s="5">
        <f t="shared" si="44"/>
        <v>3.4596283915410453</v>
      </c>
      <c r="AY155" s="5">
        <f>0.15*(Y155-Y154)+(1-0.15)*AY154</f>
        <v>-0.17602545921745538</v>
      </c>
      <c r="AZ155" s="5">
        <f>0.25*(Y155-Y154)+(1-0.25)*AZ154</f>
        <v>-0.42096295215007873</v>
      </c>
      <c r="BA155" s="5">
        <f>0.45*(Y155-Y154)+(1-0.45)*BA154</f>
        <v>-0.10699236988124092</v>
      </c>
      <c r="BB155" s="5">
        <f>0.85*(Y155-Y154)+(1-0.85)*BB154</f>
        <v>0.31923863878619285</v>
      </c>
      <c r="BC155" s="5">
        <f>Y155+AY155</f>
        <v>147.17763670994623</v>
      </c>
      <c r="BD155" s="5">
        <f>Y155+AZ155</f>
        <v>146.93269921701358</v>
      </c>
      <c r="BE155" s="5">
        <f>Y155+BA155</f>
        <v>147.24666979928242</v>
      </c>
      <c r="BF155" s="5">
        <f>Y155+BB155</f>
        <v>147.67290080794987</v>
      </c>
      <c r="BG155" s="5">
        <f t="shared" si="52"/>
        <v>0.21892429005376357</v>
      </c>
      <c r="BH155" s="5">
        <f t="shared" si="53"/>
        <v>0.46386178298641312</v>
      </c>
      <c r="BI155" s="5">
        <f t="shared" si="54"/>
        <v>0.14989120071757611</v>
      </c>
      <c r="BJ155" s="5">
        <f t="shared" si="55"/>
        <v>0.27633980794988133</v>
      </c>
    </row>
    <row r="156" spans="13:62" x14ac:dyDescent="0.35">
      <c r="M156" s="2">
        <v>154</v>
      </c>
      <c r="N156" s="3">
        <v>44001</v>
      </c>
      <c r="O156" s="1">
        <v>87.122337000000002</v>
      </c>
      <c r="P156" s="1">
        <v>144.55264299999999</v>
      </c>
      <c r="R156" s="5">
        <f t="shared" si="45"/>
        <v>84.833039730886213</v>
      </c>
      <c r="S156" s="5">
        <f t="shared" si="46"/>
        <v>86.845334246530683</v>
      </c>
      <c r="T156" s="5">
        <f t="shared" si="47"/>
        <v>87.390907825849709</v>
      </c>
      <c r="U156" s="5">
        <f t="shared" si="48"/>
        <v>87.582671664007194</v>
      </c>
      <c r="V156" s="5"/>
      <c r="W156" s="5">
        <f>0.15*P155+(1-0.15)*W155</f>
        <v>148.08553524995799</v>
      </c>
      <c r="X156" s="5">
        <f>0.35*P155+(1-0.35)*X155</f>
        <v>147.59501717480242</v>
      </c>
      <c r="Y156" s="5">
        <f>0.55*P155+(1-0.55)*Y155</f>
        <v>147.37725652612363</v>
      </c>
      <c r="Z156" s="5">
        <f>0.75*P155+(1-0.75)*Z155</f>
        <v>147.42685259336417</v>
      </c>
      <c r="AB156" s="5">
        <f t="shared" si="37"/>
        <v>2.6276811985814712</v>
      </c>
      <c r="AC156" s="5">
        <f t="shared" si="38"/>
        <v>0.31794688137132782</v>
      </c>
      <c r="AD156" s="5">
        <f t="shared" si="39"/>
        <v>0.30826861984855536</v>
      </c>
      <c r="AE156" s="5">
        <f t="shared" si="40"/>
        <v>0.52837731385372722</v>
      </c>
      <c r="AG156" s="5">
        <f>ABS((P156-W156)/P156)*100</f>
        <v>2.444017747885797</v>
      </c>
      <c r="AH156" s="5">
        <f>ABS((P156-X156)/P156)*100</f>
        <v>2.1046824960526198</v>
      </c>
      <c r="AI156" s="5">
        <f>ABS((P156-Y156)/P156)*100</f>
        <v>1.9540379667244423</v>
      </c>
      <c r="AJ156" s="5">
        <f>ABS((P156-Z156)/P156)*100</f>
        <v>1.9883480050684272</v>
      </c>
      <c r="AL156" s="5">
        <f>0.15*(T156-T155)+(1-0.15)*AL155</f>
        <v>0.52756029458621645</v>
      </c>
      <c r="AM156" s="5">
        <f>0.25*(T156-T155)+(1-0.25)*AM155</f>
        <v>0.53588476332254564</v>
      </c>
      <c r="AN156" s="5">
        <f>0.45*(T156-T155)+(1-0.45)*AN155</f>
        <v>0.50795211601136869</v>
      </c>
      <c r="AO156" s="5">
        <f>0.85*(T156-T155)+(1-0.85)*AO155</f>
        <v>0.34517244073625231</v>
      </c>
      <c r="AP156" s="5">
        <f>T156+AL156</f>
        <v>87.918468120435932</v>
      </c>
      <c r="AQ156" s="5">
        <f t="shared" si="41"/>
        <v>87.926792589172251</v>
      </c>
      <c r="AR156" s="5">
        <f t="shared" si="42"/>
        <v>87.898859941861076</v>
      </c>
      <c r="AS156" s="5">
        <f t="shared" si="43"/>
        <v>87.736080266585958</v>
      </c>
      <c r="AT156" s="5">
        <f t="shared" si="49"/>
        <v>0.79613112043593048</v>
      </c>
      <c r="AU156" s="5">
        <f t="shared" si="50"/>
        <v>56.625850410827738</v>
      </c>
      <c r="AV156" s="5">
        <f t="shared" si="51"/>
        <v>87.898859941861076</v>
      </c>
      <c r="AW156" s="5">
        <f t="shared" si="44"/>
        <v>2.9030405356997449</v>
      </c>
      <c r="AY156" s="5">
        <f>0.15*(Y156-Y155)+(1-0.15)*AY155</f>
        <v>-0.14608248679084287</v>
      </c>
      <c r="AZ156" s="5">
        <f>0.25*(Y156-Y155)+(1-0.25)*AZ155</f>
        <v>-0.30982362487256876</v>
      </c>
      <c r="BA156" s="5">
        <f>0.45*(Y156-Y155)+(1-0.45)*BA155</f>
        <v>-4.8228342802699942E-2</v>
      </c>
      <c r="BB156" s="5">
        <f>0.85*(Y156-Y155)+(1-0.85)*BB155</f>
        <v>6.7940999233896002E-2</v>
      </c>
      <c r="BC156" s="5">
        <f>Y156+AY156</f>
        <v>147.23117403933279</v>
      </c>
      <c r="BD156" s="5">
        <f>Y156+AZ156</f>
        <v>147.06743290125107</v>
      </c>
      <c r="BE156" s="5">
        <f>Y156+BA156</f>
        <v>147.32902818332093</v>
      </c>
      <c r="BF156" s="5">
        <f>Y156+BB156</f>
        <v>147.44519752535751</v>
      </c>
      <c r="BG156" s="5">
        <f t="shared" si="52"/>
        <v>2.6785310393327961</v>
      </c>
      <c r="BH156" s="5">
        <f t="shared" si="53"/>
        <v>2.5147899012510777</v>
      </c>
      <c r="BI156" s="5">
        <f t="shared" si="54"/>
        <v>2.7763851833209401</v>
      </c>
      <c r="BJ156" s="5">
        <f t="shared" si="55"/>
        <v>2.8925545253575251</v>
      </c>
    </row>
    <row r="157" spans="13:62" x14ac:dyDescent="0.35">
      <c r="M157" s="2">
        <v>155</v>
      </c>
      <c r="N157" s="3">
        <v>44004</v>
      </c>
      <c r="O157" s="1">
        <v>89.401786999999999</v>
      </c>
      <c r="P157" s="1">
        <v>144.12506099999999</v>
      </c>
      <c r="R157" s="5">
        <f t="shared" si="45"/>
        <v>85.176434321253282</v>
      </c>
      <c r="S157" s="5">
        <f t="shared" si="46"/>
        <v>86.942285210244947</v>
      </c>
      <c r="T157" s="5">
        <f t="shared" si="47"/>
        <v>87.243193871632371</v>
      </c>
      <c r="U157" s="5">
        <f t="shared" si="48"/>
        <v>87.237420666001796</v>
      </c>
      <c r="V157" s="5"/>
      <c r="W157" s="5">
        <f>0.15*P156+(1-0.15)*W156</f>
        <v>147.55560141246428</v>
      </c>
      <c r="X157" s="5">
        <f>0.35*P156+(1-0.35)*X156</f>
        <v>146.53018621362156</v>
      </c>
      <c r="Y157" s="5">
        <f>0.55*P156+(1-0.55)*Y156</f>
        <v>145.82371908675563</v>
      </c>
      <c r="Z157" s="5">
        <f>0.75*P156+(1-0.75)*Z156</f>
        <v>145.27119539834104</v>
      </c>
      <c r="AB157" s="5">
        <f t="shared" si="37"/>
        <v>4.7262508060903938</v>
      </c>
      <c r="AC157" s="5">
        <f t="shared" si="38"/>
        <v>2.75106557965676</v>
      </c>
      <c r="AD157" s="5">
        <f t="shared" si="39"/>
        <v>2.4144854379338385</v>
      </c>
      <c r="AE157" s="5">
        <f t="shared" si="40"/>
        <v>2.4209430332731525</v>
      </c>
      <c r="AG157" s="5">
        <f>ABS((P157-W157)/P157)*100</f>
        <v>2.3802525311432801</v>
      </c>
      <c r="AH157" s="5">
        <f>ABS((P157-X157)/P157)*100</f>
        <v>1.6687765451294929</v>
      </c>
      <c r="AI157" s="5">
        <f>ABS((P157-Y157)/P157)*100</f>
        <v>1.1786000817412612</v>
      </c>
      <c r="AJ157" s="5">
        <f>ABS((P157-Z157)/P157)*100</f>
        <v>0.79523601959901147</v>
      </c>
      <c r="AL157" s="5">
        <f>0.15*(T157-T156)+(1-0.15)*AL156</f>
        <v>0.42626915726568337</v>
      </c>
      <c r="AM157" s="5">
        <f>0.25*(T157-T156)+(1-0.25)*AM156</f>
        <v>0.36498508393757484</v>
      </c>
      <c r="AN157" s="5">
        <f>0.45*(T157-T156)+(1-0.45)*AN156</f>
        <v>0.21290238440845088</v>
      </c>
      <c r="AO157" s="5">
        <f>0.85*(T157-T156)+(1-0.85)*AO156</f>
        <v>-7.3780994974299074E-2</v>
      </c>
      <c r="AP157" s="5">
        <f>T157+AL157</f>
        <v>87.669463028898051</v>
      </c>
      <c r="AQ157" s="5">
        <f t="shared" si="41"/>
        <v>87.60817895556994</v>
      </c>
      <c r="AR157" s="5">
        <f t="shared" si="42"/>
        <v>87.456096256040823</v>
      </c>
      <c r="AS157" s="5">
        <f t="shared" si="43"/>
        <v>87.169412876658072</v>
      </c>
      <c r="AT157" s="5">
        <f t="shared" si="49"/>
        <v>1.7323239711019482</v>
      </c>
      <c r="AU157" s="5">
        <f t="shared" si="50"/>
        <v>56.516882044430048</v>
      </c>
      <c r="AV157" s="5">
        <f t="shared" si="51"/>
        <v>87.456096256040823</v>
      </c>
      <c r="AW157" s="5">
        <f t="shared" si="44"/>
        <v>1.9929785554047896</v>
      </c>
      <c r="AY157" s="5">
        <f>0.15*(Y157-Y156)+(1-0.15)*AY156</f>
        <v>-0.35720072967741645</v>
      </c>
      <c r="AZ157" s="5">
        <f>0.25*(Y157-Y156)+(1-0.25)*AZ156</f>
        <v>-0.62075207849642666</v>
      </c>
      <c r="BA157" s="5">
        <f>0.45*(Y157-Y156)+(1-0.45)*BA156</f>
        <v>-0.72561743625708508</v>
      </c>
      <c r="BB157" s="5">
        <f>0.85*(Y157-Y156)+(1-0.85)*BB156</f>
        <v>-1.3103156735777157</v>
      </c>
      <c r="BC157" s="5">
        <f>Y157+AY157</f>
        <v>145.4665183570782</v>
      </c>
      <c r="BD157" s="5">
        <f>Y157+AZ157</f>
        <v>145.20296700825921</v>
      </c>
      <c r="BE157" s="5">
        <f>Y157+BA157</f>
        <v>145.09810165049853</v>
      </c>
      <c r="BF157" s="5">
        <f>Y157+BB157</f>
        <v>144.51340341317791</v>
      </c>
      <c r="BG157" s="5">
        <f t="shared" si="52"/>
        <v>1.3414573570782125</v>
      </c>
      <c r="BH157" s="5">
        <f t="shared" si="53"/>
        <v>1.0779060082592196</v>
      </c>
      <c r="BI157" s="5">
        <f t="shared" si="54"/>
        <v>0.97304065049854671</v>
      </c>
      <c r="BJ157" s="5">
        <f t="shared" si="55"/>
        <v>0.38834241317792362</v>
      </c>
    </row>
    <row r="158" spans="13:62" x14ac:dyDescent="0.35">
      <c r="M158" s="2">
        <v>156</v>
      </c>
      <c r="N158" s="3">
        <v>44005</v>
      </c>
      <c r="O158" s="1">
        <v>91.310051000000001</v>
      </c>
      <c r="P158" s="1">
        <v>144.04551699999999</v>
      </c>
      <c r="R158" s="5">
        <f t="shared" si="45"/>
        <v>85.810237223065286</v>
      </c>
      <c r="S158" s="5">
        <f t="shared" si="46"/>
        <v>87.803110836659215</v>
      </c>
      <c r="T158" s="5">
        <f t="shared" si="47"/>
        <v>88.430420092234556</v>
      </c>
      <c r="U158" s="5">
        <f t="shared" si="48"/>
        <v>88.860695416500448</v>
      </c>
      <c r="V158" s="5"/>
      <c r="W158" s="5">
        <f>0.15*P157+(1-0.15)*W157</f>
        <v>147.04102035059464</v>
      </c>
      <c r="X158" s="5">
        <f>0.35*P157+(1-0.35)*X157</f>
        <v>145.68839238885403</v>
      </c>
      <c r="Y158" s="5">
        <f>0.55*P157+(1-0.55)*Y157</f>
        <v>144.88945713904002</v>
      </c>
      <c r="Z158" s="5">
        <f>0.75*P157+(1-0.75)*Z157</f>
        <v>144.41159459958527</v>
      </c>
      <c r="AB158" s="5">
        <f t="shared" si="37"/>
        <v>6.0232293342325649</v>
      </c>
      <c r="AC158" s="5">
        <f t="shared" si="38"/>
        <v>3.8406945620266781</v>
      </c>
      <c r="AD158" s="5">
        <f t="shared" si="39"/>
        <v>3.1536844807648237</v>
      </c>
      <c r="AE158" s="5">
        <f t="shared" si="40"/>
        <v>2.6824599884404328</v>
      </c>
      <c r="AG158" s="5">
        <f>ABS((P158-W158)/P158)*100</f>
        <v>2.0795533335443173</v>
      </c>
      <c r="AH158" s="5">
        <f>ABS((P158-X158)/P158)*100</f>
        <v>1.1405251777839343</v>
      </c>
      <c r="AI158" s="5">
        <f>ABS((P158-Y158)/P158)*100</f>
        <v>0.58588434865350869</v>
      </c>
      <c r="AJ158" s="5">
        <f>ABS((P158-Z158)/P158)*100</f>
        <v>0.25414022401355374</v>
      </c>
      <c r="AL158" s="5">
        <f>0.15*(T158-T157)+(1-0.15)*AL157</f>
        <v>0.54041271676615854</v>
      </c>
      <c r="AM158" s="5">
        <f>0.25*(T158-T157)+(1-0.25)*AM157</f>
        <v>0.57054536810372725</v>
      </c>
      <c r="AN158" s="5">
        <f>0.45*(T158-T157)+(1-0.45)*AN157</f>
        <v>0.65134811069563092</v>
      </c>
      <c r="AO158" s="5">
        <f>0.85*(T158-T157)+(1-0.85)*AO157</f>
        <v>0.99807513826571193</v>
      </c>
      <c r="AP158" s="5">
        <f>T158+AL158</f>
        <v>88.970832809000711</v>
      </c>
      <c r="AQ158" s="5">
        <f t="shared" si="41"/>
        <v>89.000965460338278</v>
      </c>
      <c r="AR158" s="5">
        <f t="shared" si="42"/>
        <v>89.081768202930192</v>
      </c>
      <c r="AS158" s="5">
        <f t="shared" si="43"/>
        <v>89.428495230500275</v>
      </c>
      <c r="AT158" s="5">
        <f t="shared" si="49"/>
        <v>2.33921819099929</v>
      </c>
      <c r="AU158" s="5">
        <f t="shared" si="50"/>
        <v>55.044551539661711</v>
      </c>
      <c r="AV158" s="5">
        <f t="shared" si="51"/>
        <v>89.081768202930192</v>
      </c>
      <c r="AW158" s="5">
        <f t="shared" si="44"/>
        <v>3.6182580074349886</v>
      </c>
      <c r="AY158" s="5">
        <f>0.15*(Y158-Y157)+(1-0.15)*AY157</f>
        <v>-0.44375991238314583</v>
      </c>
      <c r="AZ158" s="5">
        <f>0.25*(Y158-Y157)+(1-0.25)*AZ157</f>
        <v>-0.699129545801223</v>
      </c>
      <c r="BA158" s="5">
        <f>0.45*(Y158-Y157)+(1-0.45)*BA157</f>
        <v>-0.8195074664134222</v>
      </c>
      <c r="BB158" s="5">
        <f>0.85*(Y158-Y157)+(1-0.85)*BB157</f>
        <v>-0.99067000659492765</v>
      </c>
      <c r="BC158" s="5">
        <f>Y158+AY158</f>
        <v>144.44569722665688</v>
      </c>
      <c r="BD158" s="5">
        <f>Y158+AZ158</f>
        <v>144.19032759323881</v>
      </c>
      <c r="BE158" s="5">
        <f>Y158+BA158</f>
        <v>144.06994967262659</v>
      </c>
      <c r="BF158" s="5">
        <f>Y158+BB158</f>
        <v>143.89878713244508</v>
      </c>
      <c r="BG158" s="5">
        <f t="shared" si="52"/>
        <v>0.40018022665688591</v>
      </c>
      <c r="BH158" s="5">
        <f t="shared" si="53"/>
        <v>0.14481059323881595</v>
      </c>
      <c r="BI158" s="5">
        <f t="shared" si="54"/>
        <v>2.4432672626602425E-2</v>
      </c>
      <c r="BJ158" s="5">
        <f t="shared" si="55"/>
        <v>0.14672986755491024</v>
      </c>
    </row>
    <row r="159" spans="13:62" x14ac:dyDescent="0.35">
      <c r="M159" s="2">
        <v>157</v>
      </c>
      <c r="N159" s="3">
        <v>44006</v>
      </c>
      <c r="O159" s="1">
        <v>89.698241999999993</v>
      </c>
      <c r="P159" s="1">
        <v>137.57212799999999</v>
      </c>
      <c r="R159" s="5">
        <f t="shared" si="45"/>
        <v>86.635209289605498</v>
      </c>
      <c r="S159" s="5">
        <f t="shared" si="46"/>
        <v>89.03053989382849</v>
      </c>
      <c r="T159" s="5">
        <f t="shared" si="47"/>
        <v>90.014217091505543</v>
      </c>
      <c r="U159" s="5">
        <f t="shared" si="48"/>
        <v>90.697712104125117</v>
      </c>
      <c r="V159" s="5"/>
      <c r="W159" s="5">
        <f>0.15*P158+(1-0.15)*W158</f>
        <v>146.59169484800543</v>
      </c>
      <c r="X159" s="5">
        <f>0.35*P158+(1-0.35)*X158</f>
        <v>145.11338600275511</v>
      </c>
      <c r="Y159" s="5">
        <f>0.55*P158+(1-0.55)*Y158</f>
        <v>144.42529006256802</v>
      </c>
      <c r="Z159" s="5">
        <f>0.75*P158+(1-0.75)*Z158</f>
        <v>144.13703639989632</v>
      </c>
      <c r="AB159" s="5">
        <f t="shared" si="37"/>
        <v>3.4148191113873732</v>
      </c>
      <c r="AC159" s="5">
        <f t="shared" si="38"/>
        <v>0.74438705963880969</v>
      </c>
      <c r="AD159" s="5">
        <f t="shared" si="39"/>
        <v>0.35226453101003891</v>
      </c>
      <c r="AE159" s="5">
        <f t="shared" si="40"/>
        <v>1.1142582974202808</v>
      </c>
      <c r="AG159" s="5">
        <f>ABS((P159-W159)/P159)*100</f>
        <v>6.5562457883950449</v>
      </c>
      <c r="AH159" s="5">
        <f>ABS((P159-X159)/P159)*100</f>
        <v>5.4816757670239094</v>
      </c>
      <c r="AI159" s="5">
        <f>ABS((P159-Y159)/P159)*100</f>
        <v>4.9815047293358958</v>
      </c>
      <c r="AJ159" s="5">
        <f>ABS((P159-Z159)/P159)*100</f>
        <v>4.7719756140548508</v>
      </c>
      <c r="AL159" s="5">
        <f>0.15*(T159-T158)+(1-0.15)*AL158</f>
        <v>0.69692035914188277</v>
      </c>
      <c r="AM159" s="5">
        <f>0.25*(T159-T158)+(1-0.25)*AM158</f>
        <v>0.82385827589554228</v>
      </c>
      <c r="AN159" s="5">
        <f>0.45*(T159-T158)+(1-0.45)*AN158</f>
        <v>1.0709501105545414</v>
      </c>
      <c r="AO159" s="5">
        <f>0.85*(T159-T158)+(1-0.85)*AO158</f>
        <v>1.4959387201201961</v>
      </c>
      <c r="AP159" s="5">
        <f>T159+AL159</f>
        <v>90.711137450647428</v>
      </c>
      <c r="AQ159" s="5">
        <f t="shared" si="41"/>
        <v>90.838075367401089</v>
      </c>
      <c r="AR159" s="5">
        <f t="shared" si="42"/>
        <v>91.085167202060092</v>
      </c>
      <c r="AS159" s="5">
        <f t="shared" si="43"/>
        <v>91.510155811625737</v>
      </c>
      <c r="AT159" s="5">
        <f t="shared" si="49"/>
        <v>1.0128954506474344</v>
      </c>
      <c r="AU159" s="5">
        <f t="shared" si="50"/>
        <v>46.734052632598903</v>
      </c>
      <c r="AV159" s="5">
        <f t="shared" si="51"/>
        <v>91.085167202060092</v>
      </c>
      <c r="AW159" s="5">
        <f t="shared" si="44"/>
        <v>4.8749465220202381</v>
      </c>
      <c r="AY159" s="5">
        <f>0.15*(Y159-Y158)+(1-0.15)*AY158</f>
        <v>-0.44682098699647316</v>
      </c>
      <c r="AZ159" s="5">
        <f>0.25*(Y159-Y158)+(1-0.25)*AZ158</f>
        <v>-0.64038892846891593</v>
      </c>
      <c r="BA159" s="5">
        <f>0.45*(Y159-Y158)+(1-0.45)*BA158</f>
        <v>-0.6596042909397799</v>
      </c>
      <c r="BB159" s="5">
        <f>0.85*(Y159-Y158)+(1-0.85)*BB158</f>
        <v>-0.54314251599043462</v>
      </c>
      <c r="BC159" s="5">
        <f>Y159+AY159</f>
        <v>143.97846907557155</v>
      </c>
      <c r="BD159" s="5">
        <f>Y159+AZ159</f>
        <v>143.7849011340991</v>
      </c>
      <c r="BE159" s="5">
        <f>Y159+BA159</f>
        <v>143.76568577162826</v>
      </c>
      <c r="BF159" s="5">
        <f>Y159+BB159</f>
        <v>143.88214754657758</v>
      </c>
      <c r="BG159" s="5">
        <f t="shared" si="52"/>
        <v>6.4063410755715609</v>
      </c>
      <c r="BH159" s="5">
        <f t="shared" si="53"/>
        <v>6.212773134099109</v>
      </c>
      <c r="BI159" s="5">
        <f t="shared" si="54"/>
        <v>6.1935577716282637</v>
      </c>
      <c r="BJ159" s="5">
        <f t="shared" si="55"/>
        <v>6.3100195465775926</v>
      </c>
    </row>
    <row r="160" spans="13:62" x14ac:dyDescent="0.35">
      <c r="M160" s="2">
        <v>158</v>
      </c>
      <c r="N160" s="3">
        <v>44007</v>
      </c>
      <c r="O160" s="1">
        <v>90.889037999999999</v>
      </c>
      <c r="P160" s="1">
        <v>141.65901199999999</v>
      </c>
      <c r="R160" s="5">
        <f t="shared" si="45"/>
        <v>87.094664196164672</v>
      </c>
      <c r="S160" s="5">
        <f t="shared" si="46"/>
        <v>89.264235630988509</v>
      </c>
      <c r="T160" s="5">
        <f t="shared" si="47"/>
        <v>89.840430791177482</v>
      </c>
      <c r="U160" s="5">
        <f t="shared" si="48"/>
        <v>89.948109526031274</v>
      </c>
      <c r="V160" s="5"/>
      <c r="W160" s="5">
        <f>0.15*P159+(1-0.15)*W159</f>
        <v>145.2387598208046</v>
      </c>
      <c r="X160" s="5">
        <f>0.35*P159+(1-0.35)*X159</f>
        <v>142.47394570179083</v>
      </c>
      <c r="Y160" s="5">
        <f>0.55*P159+(1-0.55)*Y159</f>
        <v>140.65605092815559</v>
      </c>
      <c r="Z160" s="5">
        <f>0.75*P159+(1-0.75)*Z159</f>
        <v>139.21335509997408</v>
      </c>
      <c r="AB160" s="5">
        <f t="shared" si="37"/>
        <v>4.1747320549650091</v>
      </c>
      <c r="AC160" s="5">
        <f t="shared" si="38"/>
        <v>1.7876769352663746</v>
      </c>
      <c r="AD160" s="5">
        <f t="shared" si="39"/>
        <v>1.1537224201036402</v>
      </c>
      <c r="AE160" s="5">
        <f t="shared" si="40"/>
        <v>1.035249678810249</v>
      </c>
      <c r="AG160" s="5">
        <f>ABS((P160-W160)/P160)*100</f>
        <v>2.5270173568658048</v>
      </c>
      <c r="AH160" s="5">
        <f>ABS((P160-X160)/P160)*100</f>
        <v>0.57527840289528154</v>
      </c>
      <c r="AI160" s="5">
        <f>ABS((P160-Y160)/P160)*100</f>
        <v>0.70801077720660388</v>
      </c>
      <c r="AJ160" s="5">
        <f>ABS((P160-Z160)/P160)*100</f>
        <v>1.7264393316719657</v>
      </c>
      <c r="AL160" s="5">
        <f>0.15*(T160-T159)+(1-0.15)*AL159</f>
        <v>0.56631436022139114</v>
      </c>
      <c r="AM160" s="5">
        <f>0.25*(T160-T159)+(1-0.25)*AM159</f>
        <v>0.57444713183964147</v>
      </c>
      <c r="AN160" s="5">
        <f>0.45*(T160-T159)+(1-0.45)*AN159</f>
        <v>0.51081872565737041</v>
      </c>
      <c r="AO160" s="5">
        <f>0.85*(T160-T159)+(1-0.85)*AO159</f>
        <v>7.6672452739177749E-2</v>
      </c>
      <c r="AP160" s="5">
        <f>T160+AL160</f>
        <v>90.40674515139888</v>
      </c>
      <c r="AQ160" s="5">
        <f t="shared" si="41"/>
        <v>90.41487792301713</v>
      </c>
      <c r="AR160" s="5">
        <f t="shared" si="42"/>
        <v>90.351249516834855</v>
      </c>
      <c r="AS160" s="5">
        <f t="shared" si="43"/>
        <v>89.917103243916657</v>
      </c>
      <c r="AT160" s="5">
        <f t="shared" si="49"/>
        <v>0.48229284860111932</v>
      </c>
      <c r="AU160" s="5">
        <f t="shared" si="50"/>
        <v>51.24413407698286</v>
      </c>
      <c r="AV160" s="5">
        <f t="shared" si="51"/>
        <v>90.351249516834855</v>
      </c>
      <c r="AW160" s="5">
        <f t="shared" si="44"/>
        <v>2.8224390477519847</v>
      </c>
      <c r="AY160" s="5">
        <f>0.15*(Y160-Y159)+(1-0.15)*AY159</f>
        <v>-0.94518370910886662</v>
      </c>
      <c r="AZ160" s="5">
        <f>0.25*(Y160-Y159)+(1-0.25)*AZ159</f>
        <v>-1.4226014799547946</v>
      </c>
      <c r="BA160" s="5">
        <f>0.45*(Y160-Y159)+(1-0.45)*BA159</f>
        <v>-2.0589399705024727</v>
      </c>
      <c r="BB160" s="5">
        <f>0.85*(Y160-Y159)+(1-0.85)*BB159</f>
        <v>-3.2853246416491309</v>
      </c>
      <c r="BC160" s="5">
        <f>Y160+AY160</f>
        <v>139.71086721904672</v>
      </c>
      <c r="BD160" s="5">
        <f>Y160+AZ160</f>
        <v>139.23344944820079</v>
      </c>
      <c r="BE160" s="5">
        <f>Y160+BA160</f>
        <v>138.59711095765311</v>
      </c>
      <c r="BF160" s="5">
        <f>Y160+BB160</f>
        <v>137.37072628650645</v>
      </c>
      <c r="BG160" s="5">
        <f t="shared" si="52"/>
        <v>1.948144780953271</v>
      </c>
      <c r="BH160" s="5">
        <f t="shared" si="53"/>
        <v>2.425562551799203</v>
      </c>
      <c r="BI160" s="5">
        <f t="shared" si="54"/>
        <v>3.0619010423468751</v>
      </c>
      <c r="BJ160" s="5">
        <f t="shared" si="55"/>
        <v>4.2882857134935364</v>
      </c>
    </row>
    <row r="161" spans="13:62" x14ac:dyDescent="0.35">
      <c r="M161" s="2">
        <v>159</v>
      </c>
      <c r="N161" s="3">
        <v>44008</v>
      </c>
      <c r="O161" s="1">
        <v>88.096405000000004</v>
      </c>
      <c r="P161" s="1">
        <v>137.432907</v>
      </c>
      <c r="R161" s="5">
        <f t="shared" si="45"/>
        <v>87.663820266739961</v>
      </c>
      <c r="S161" s="5">
        <f t="shared" si="46"/>
        <v>89.832916460142528</v>
      </c>
      <c r="T161" s="5">
        <f t="shared" si="47"/>
        <v>90.417164756029877</v>
      </c>
      <c r="U161" s="5">
        <f t="shared" si="48"/>
        <v>90.653805881507807</v>
      </c>
      <c r="V161" s="5"/>
      <c r="W161" s="5">
        <f>0.15*P160+(1-0.15)*W160</f>
        <v>144.70179764768392</v>
      </c>
      <c r="X161" s="5">
        <f>0.35*P160+(1-0.35)*X160</f>
        <v>142.18871890616404</v>
      </c>
      <c r="Y161" s="5">
        <f>0.55*P160+(1-0.55)*Y160</f>
        <v>141.20767951767002</v>
      </c>
      <c r="Z161" s="5">
        <f>0.75*P160+(1-0.75)*Z160</f>
        <v>141.04759777499351</v>
      </c>
      <c r="AB161" s="5">
        <f t="shared" si="37"/>
        <v>0.4910356254151837</v>
      </c>
      <c r="AC161" s="5">
        <f t="shared" si="38"/>
        <v>1.9711490612386775</v>
      </c>
      <c r="AD161" s="5">
        <f t="shared" si="39"/>
        <v>2.6343410449380675</v>
      </c>
      <c r="AE161" s="5">
        <f t="shared" si="40"/>
        <v>2.9029571428116765</v>
      </c>
      <c r="AG161" s="5">
        <f>ABS((P161-W161)/P161)*100</f>
        <v>5.2890467111227721</v>
      </c>
      <c r="AH161" s="5">
        <f>ABS((P161-X161)/P161)*100</f>
        <v>3.4604608241052786</v>
      </c>
      <c r="AI161" s="5">
        <f>ABS((P161-Y161)/P161)*100</f>
        <v>2.7466293190393012</v>
      </c>
      <c r="AJ161" s="5">
        <f>ABS((P161-Z161)/P161)*100</f>
        <v>2.6301493971844057</v>
      </c>
      <c r="AL161" s="5">
        <f>0.15*(T161-T160)+(1-0.15)*AL160</f>
        <v>0.56787730091604161</v>
      </c>
      <c r="AM161" s="5">
        <f>0.25*(T161-T160)+(1-0.25)*AM160</f>
        <v>0.57501884009282966</v>
      </c>
      <c r="AN161" s="5">
        <f>0.45*(T161-T160)+(1-0.45)*AN160</f>
        <v>0.54048058329513116</v>
      </c>
      <c r="AO161" s="5">
        <f>0.85*(T161-T160)+(1-0.85)*AO160</f>
        <v>0.50172473803541184</v>
      </c>
      <c r="AP161" s="5">
        <f>T161+AL161</f>
        <v>90.985042056945915</v>
      </c>
      <c r="AQ161" s="5">
        <f t="shared" si="41"/>
        <v>90.9921835961227</v>
      </c>
      <c r="AR161" s="5">
        <f t="shared" si="42"/>
        <v>90.957645339325012</v>
      </c>
      <c r="AS161" s="5">
        <f t="shared" si="43"/>
        <v>90.918889494065283</v>
      </c>
      <c r="AT161" s="5">
        <f t="shared" si="49"/>
        <v>2.8886370569459103</v>
      </c>
      <c r="AU161" s="5">
        <f t="shared" si="50"/>
        <v>46.4407234038773</v>
      </c>
      <c r="AV161" s="5">
        <f t="shared" si="51"/>
        <v>90.957645339325012</v>
      </c>
      <c r="AW161" s="5">
        <f t="shared" si="44"/>
        <v>3.2550692273253219</v>
      </c>
      <c r="AY161" s="5">
        <f>0.15*(Y161-Y160)+(1-0.15)*AY160</f>
        <v>-0.72066186431537327</v>
      </c>
      <c r="AZ161" s="5">
        <f>0.25*(Y161-Y160)+(1-0.25)*AZ160</f>
        <v>-0.92904396258749045</v>
      </c>
      <c r="BA161" s="5">
        <f>0.45*(Y161-Y160)+(1-0.45)*BA160</f>
        <v>-0.88418411849487</v>
      </c>
      <c r="BB161" s="5">
        <f>0.85*(Y161-Y160)+(1-0.85)*BB160</f>
        <v>-2.3914395160110902E-2</v>
      </c>
      <c r="BC161" s="5">
        <f>Y161+AY161</f>
        <v>140.48701765335466</v>
      </c>
      <c r="BD161" s="5">
        <f>Y161+AZ161</f>
        <v>140.27863555508253</v>
      </c>
      <c r="BE161" s="5">
        <f>Y161+BA161</f>
        <v>140.32349539917516</v>
      </c>
      <c r="BF161" s="5">
        <f>Y161+BB161</f>
        <v>141.1837651225099</v>
      </c>
      <c r="BG161" s="5">
        <f t="shared" si="52"/>
        <v>3.0541106533546554</v>
      </c>
      <c r="BH161" s="5">
        <f t="shared" si="53"/>
        <v>2.8457285550825304</v>
      </c>
      <c r="BI161" s="5">
        <f t="shared" si="54"/>
        <v>2.890588399175158</v>
      </c>
      <c r="BJ161" s="5">
        <f t="shared" si="55"/>
        <v>3.7508581225098965</v>
      </c>
    </row>
    <row r="162" spans="13:62" x14ac:dyDescent="0.35">
      <c r="M162" s="2">
        <v>160</v>
      </c>
      <c r="N162" s="3">
        <v>44011</v>
      </c>
      <c r="O162" s="1">
        <v>90.126732000000004</v>
      </c>
      <c r="P162" s="1">
        <v>142.434631</v>
      </c>
      <c r="R162" s="5">
        <f t="shared" si="45"/>
        <v>87.72870797672897</v>
      </c>
      <c r="S162" s="5">
        <f t="shared" si="46"/>
        <v>89.225137449092642</v>
      </c>
      <c r="T162" s="5">
        <f t="shared" si="47"/>
        <v>89.14074689021345</v>
      </c>
      <c r="U162" s="5">
        <f t="shared" si="48"/>
        <v>88.735755220376959</v>
      </c>
      <c r="V162" s="5"/>
      <c r="W162" s="5">
        <f>0.15*P161+(1-0.15)*W161</f>
        <v>143.61146405053134</v>
      </c>
      <c r="X162" s="5">
        <f>0.35*P161+(1-0.35)*X161</f>
        <v>140.52418473900661</v>
      </c>
      <c r="Y162" s="5">
        <f>0.55*P161+(1-0.55)*Y161</f>
        <v>139.13155463295152</v>
      </c>
      <c r="Z162" s="5">
        <f>0.75*P161+(1-0.75)*Z161</f>
        <v>138.33657969374838</v>
      </c>
      <c r="AB162" s="5">
        <f t="shared" si="37"/>
        <v>2.6607244821337073</v>
      </c>
      <c r="AC162" s="5">
        <f t="shared" si="38"/>
        <v>1.0003630786339415</v>
      </c>
      <c r="AD162" s="5">
        <f t="shared" si="39"/>
        <v>1.0939985150982223</v>
      </c>
      <c r="AE162" s="5">
        <f t="shared" si="40"/>
        <v>1.5433565033990642</v>
      </c>
      <c r="AG162" s="5">
        <f>ABS((P162-W162)/P162)*100</f>
        <v>0.82622676961991282</v>
      </c>
      <c r="AH162" s="5">
        <f>ABS((P162-X162)/P162)*100</f>
        <v>1.3412793276330262</v>
      </c>
      <c r="AI162" s="5">
        <f>ABS((P162-Y162)/P162)*100</f>
        <v>2.3190121277798488</v>
      </c>
      <c r="AJ162" s="5">
        <f>ABS((P162-Z162)/P162)*100</f>
        <v>2.8771453104348055</v>
      </c>
      <c r="AL162" s="5">
        <f>0.15*(T162-T161)+(1-0.15)*AL161</f>
        <v>0.29123302590617128</v>
      </c>
      <c r="AM162" s="5">
        <f>0.25*(T162-T161)+(1-0.25)*AM161</f>
        <v>0.11215966361551555</v>
      </c>
      <c r="AN162" s="5">
        <f>0.45*(T162-T161)+(1-0.45)*AN161</f>
        <v>-0.27712371880506997</v>
      </c>
      <c r="AO162" s="5">
        <f>0.85*(T162-T161)+(1-0.85)*AO161</f>
        <v>-1.009696475238651</v>
      </c>
      <c r="AP162" s="5">
        <f>T162+AL162</f>
        <v>89.431979916119616</v>
      </c>
      <c r="AQ162" s="5">
        <f t="shared" si="41"/>
        <v>89.252906553828964</v>
      </c>
      <c r="AR162" s="5">
        <f t="shared" si="42"/>
        <v>88.863623171408378</v>
      </c>
      <c r="AS162" s="5">
        <f t="shared" si="43"/>
        <v>88.131050414974794</v>
      </c>
      <c r="AT162" s="5">
        <f t="shared" si="49"/>
        <v>0.69475208388038823</v>
      </c>
      <c r="AU162" s="5">
        <f t="shared" si="50"/>
        <v>53.181724446171032</v>
      </c>
      <c r="AV162" s="5">
        <f t="shared" si="51"/>
        <v>88.863623171408378</v>
      </c>
      <c r="AW162" s="5">
        <f t="shared" si="44"/>
        <v>0.4023424382458245</v>
      </c>
      <c r="AY162" s="5">
        <f>0.15*(Y162-Y161)+(1-0.15)*AY161</f>
        <v>-0.92398131737584155</v>
      </c>
      <c r="AZ162" s="5">
        <f>0.25*(Y162-Y161)+(1-0.25)*AZ161</f>
        <v>-1.2158141931202417</v>
      </c>
      <c r="BA162" s="5">
        <f>0.45*(Y162-Y161)+(1-0.45)*BA161</f>
        <v>-1.4205574632955016</v>
      </c>
      <c r="BB162" s="5">
        <f>0.85*(Y162-Y161)+(1-0.85)*BB161</f>
        <v>-1.7682933112847381</v>
      </c>
      <c r="BC162" s="5">
        <f>Y162+AY162</f>
        <v>138.20757331557567</v>
      </c>
      <c r="BD162" s="5">
        <f>Y162+AZ162</f>
        <v>137.91574043983127</v>
      </c>
      <c r="BE162" s="5">
        <f>Y162+BA162</f>
        <v>137.71099716965603</v>
      </c>
      <c r="BF162" s="5">
        <f>Y162+BB162</f>
        <v>137.36326132166678</v>
      </c>
      <c r="BG162" s="5">
        <f t="shared" si="52"/>
        <v>4.2270576844243237</v>
      </c>
      <c r="BH162" s="5">
        <f t="shared" si="53"/>
        <v>4.5188905601687281</v>
      </c>
      <c r="BI162" s="5">
        <f t="shared" si="54"/>
        <v>4.7236338303439709</v>
      </c>
      <c r="BJ162" s="5">
        <f t="shared" si="55"/>
        <v>5.0713696783332125</v>
      </c>
    </row>
    <row r="163" spans="13:62" x14ac:dyDescent="0.35">
      <c r="M163" s="2">
        <v>161</v>
      </c>
      <c r="N163" s="3">
        <v>44012</v>
      </c>
      <c r="O163" s="1">
        <v>90.879065999999995</v>
      </c>
      <c r="P163" s="1">
        <v>143.77702300000001</v>
      </c>
      <c r="R163" s="5">
        <f t="shared" si="45"/>
        <v>88.088411580219628</v>
      </c>
      <c r="S163" s="5">
        <f t="shared" si="46"/>
        <v>89.540695541910225</v>
      </c>
      <c r="T163" s="5">
        <f t="shared" si="47"/>
        <v>89.683038700596057</v>
      </c>
      <c r="U163" s="5">
        <f t="shared" si="48"/>
        <v>89.778987805094246</v>
      </c>
      <c r="V163" s="5"/>
      <c r="W163" s="5">
        <f>0.15*P162+(1-0.15)*W162</f>
        <v>143.43493909295162</v>
      </c>
      <c r="X163" s="5">
        <f>0.35*P162+(1-0.35)*X162</f>
        <v>141.19284093035429</v>
      </c>
      <c r="Y163" s="5">
        <f>0.55*P162+(1-0.55)*Y162</f>
        <v>140.94824663482819</v>
      </c>
      <c r="Z163" s="5">
        <f>0.75*P162+(1-0.75)*Z162</f>
        <v>141.4101181734371</v>
      </c>
      <c r="AB163" s="5">
        <f t="shared" si="37"/>
        <v>3.0707340453745058</v>
      </c>
      <c r="AC163" s="5">
        <f t="shared" si="38"/>
        <v>1.4726938964026877</v>
      </c>
      <c r="AD163" s="5">
        <f t="shared" si="39"/>
        <v>1.3160646912941836</v>
      </c>
      <c r="AE163" s="5">
        <f t="shared" si="40"/>
        <v>1.2104858063855413</v>
      </c>
      <c r="AG163" s="5">
        <f>ABS((P163-W163)/P163)*100</f>
        <v>0.23792668669206674</v>
      </c>
      <c r="AH163" s="5">
        <f>ABS((P163-X163)/P163)*100</f>
        <v>1.797353996991383</v>
      </c>
      <c r="AI163" s="5">
        <f>ABS((P163-Y163)/P163)*100</f>
        <v>1.9674745700999938</v>
      </c>
      <c r="AJ163" s="5">
        <f>ABS((P163-Z163)/P163)*100</f>
        <v>1.6462330191402803</v>
      </c>
      <c r="AL163" s="5">
        <f>0.15*(T163-T162)+(1-0.15)*AL162</f>
        <v>0.32889184357763673</v>
      </c>
      <c r="AM163" s="5">
        <f>0.25*(T163-T162)+(1-0.25)*AM162</f>
        <v>0.2196927003072886</v>
      </c>
      <c r="AN163" s="5">
        <f>0.45*(T163-T162)+(1-0.45)*AN162</f>
        <v>9.1613269329385016E-2</v>
      </c>
      <c r="AO163" s="5">
        <f>0.85*(T163-T162)+(1-0.85)*AO162</f>
        <v>0.30949356753941892</v>
      </c>
      <c r="AP163" s="5">
        <f>T163+AL163</f>
        <v>90.011930544173694</v>
      </c>
      <c r="AQ163" s="5">
        <f t="shared" si="41"/>
        <v>89.902731400903349</v>
      </c>
      <c r="AR163" s="5">
        <f t="shared" si="42"/>
        <v>89.774651969925443</v>
      </c>
      <c r="AS163" s="5">
        <f t="shared" si="43"/>
        <v>89.992532268135477</v>
      </c>
      <c r="AT163" s="5">
        <f t="shared" si="49"/>
        <v>0.86713545582630047</v>
      </c>
      <c r="AU163" s="5">
        <f t="shared" si="50"/>
        <v>53.874291599096665</v>
      </c>
      <c r="AV163" s="5">
        <f t="shared" si="51"/>
        <v>89.774651969925443</v>
      </c>
      <c r="AW163" s="5">
        <f t="shared" si="44"/>
        <v>1.9041206879158494</v>
      </c>
      <c r="AY163" s="5">
        <f>0.15*(Y163-Y162)+(1-0.15)*AY162</f>
        <v>-0.51288031948796409</v>
      </c>
      <c r="AZ163" s="5">
        <f>0.25*(Y163-Y162)+(1-0.25)*AZ162</f>
        <v>-0.45768764437101273</v>
      </c>
      <c r="BA163" s="5">
        <f>0.45*(Y163-Y162)+(1-0.45)*BA162</f>
        <v>3.6204796031977682E-2</v>
      </c>
      <c r="BB163" s="5">
        <f>0.85*(Y163-Y162)+(1-0.85)*BB162</f>
        <v>1.2789442049024626</v>
      </c>
      <c r="BC163" s="5">
        <f>Y163+AY163</f>
        <v>140.43536631534022</v>
      </c>
      <c r="BD163" s="5">
        <f>Y163+AZ163</f>
        <v>140.49055899045717</v>
      </c>
      <c r="BE163" s="5">
        <f>Y163+BA163</f>
        <v>140.98445143086016</v>
      </c>
      <c r="BF163" s="5">
        <f>Y163+BB163</f>
        <v>142.22719083973067</v>
      </c>
      <c r="BG163" s="5">
        <f t="shared" si="52"/>
        <v>3.3416566846597959</v>
      </c>
      <c r="BH163" s="5">
        <f t="shared" si="53"/>
        <v>3.2864640095428399</v>
      </c>
      <c r="BI163" s="5">
        <f t="shared" si="54"/>
        <v>2.7925715691398523</v>
      </c>
      <c r="BJ163" s="5">
        <f t="shared" si="55"/>
        <v>1.5498321602693466</v>
      </c>
    </row>
    <row r="164" spans="13:62" x14ac:dyDescent="0.35">
      <c r="M164" s="2">
        <v>162</v>
      </c>
      <c r="N164" s="3">
        <v>44013</v>
      </c>
      <c r="O164" s="1">
        <v>90.707176000000004</v>
      </c>
      <c r="P164" s="1">
        <v>143.29972799999999</v>
      </c>
      <c r="R164" s="5">
        <f t="shared" si="45"/>
        <v>88.507009743186671</v>
      </c>
      <c r="S164" s="5">
        <f t="shared" si="46"/>
        <v>90.009125202241648</v>
      </c>
      <c r="T164" s="5">
        <f t="shared" si="47"/>
        <v>90.340853715268224</v>
      </c>
      <c r="U164" s="5">
        <f t="shared" si="48"/>
        <v>90.604046451273561</v>
      </c>
      <c r="V164" s="5"/>
      <c r="W164" s="5">
        <f>0.15*P163+(1-0.15)*W163</f>
        <v>143.48625167900889</v>
      </c>
      <c r="X164" s="5">
        <f>0.35*P163+(1-0.35)*X163</f>
        <v>142.09730465473029</v>
      </c>
      <c r="Y164" s="5">
        <f>0.55*P163+(1-0.55)*Y163</f>
        <v>142.50407363567268</v>
      </c>
      <c r="Z164" s="5">
        <f>0.75*P163+(1-0.75)*Z163</f>
        <v>143.1852967933593</v>
      </c>
      <c r="AB164" s="5">
        <f t="shared" si="37"/>
        <v>2.4255702292102366</v>
      </c>
      <c r="AC164" s="5">
        <f t="shared" si="38"/>
        <v>0.76956513094218215</v>
      </c>
      <c r="AD164" s="5">
        <f t="shared" si="39"/>
        <v>0.40385149321789016</v>
      </c>
      <c r="AE164" s="5">
        <f t="shared" si="40"/>
        <v>0.11369502753171698</v>
      </c>
      <c r="AG164" s="5">
        <f>ABS((P164-W164)/P164)*100</f>
        <v>0.13016331685493501</v>
      </c>
      <c r="AH164" s="5">
        <f>ABS((P164-X164)/P164)*100</f>
        <v>0.83909673943672347</v>
      </c>
      <c r="AI164" s="5">
        <f>ABS((P164-Y164)/P164)*100</f>
        <v>0.55523787479017761</v>
      </c>
      <c r="AJ164" s="5">
        <f>ABS((P164-Z164)/P164)*100</f>
        <v>7.9854447902851775E-2</v>
      </c>
      <c r="AL164" s="5">
        <f>0.15*(T164-T163)+(1-0.15)*AL163</f>
        <v>0.37823031924181627</v>
      </c>
      <c r="AM164" s="5">
        <f>0.25*(T164-T163)+(1-0.25)*AM163</f>
        <v>0.32922327889850816</v>
      </c>
      <c r="AN164" s="5">
        <f>0.45*(T164-T163)+(1-0.45)*AN163</f>
        <v>0.34640405473363689</v>
      </c>
      <c r="AO164" s="5">
        <f>0.85*(T164-T163)+(1-0.85)*AO163</f>
        <v>0.60556679760225463</v>
      </c>
      <c r="AP164" s="5">
        <f>T164+AL164</f>
        <v>90.719084034510047</v>
      </c>
      <c r="AQ164" s="5">
        <f t="shared" si="41"/>
        <v>90.670076994166735</v>
      </c>
      <c r="AR164" s="5">
        <f t="shared" si="42"/>
        <v>90.687257770001864</v>
      </c>
      <c r="AS164" s="5">
        <f t="shared" si="43"/>
        <v>90.946420512870475</v>
      </c>
      <c r="AT164" s="5">
        <f t="shared" si="49"/>
        <v>1.1908034510042853E-2</v>
      </c>
      <c r="AU164" s="5">
        <f t="shared" si="50"/>
        <v>52.629651005833253</v>
      </c>
      <c r="AV164" s="5">
        <f t="shared" si="51"/>
        <v>90.687257770001864</v>
      </c>
      <c r="AW164" s="5">
        <f t="shared" si="44"/>
        <v>2.4394107696838034</v>
      </c>
      <c r="AY164" s="5">
        <f>0.15*(Y164-Y163)+(1-0.15)*AY163</f>
        <v>-0.20257422143809628</v>
      </c>
      <c r="AZ164" s="5">
        <f>0.25*(Y164-Y163)+(1-0.25)*AZ163</f>
        <v>4.5691016932862427E-2</v>
      </c>
      <c r="BA164" s="5">
        <f>0.45*(Y164-Y163)+(1-0.45)*BA163</f>
        <v>0.72003478819760725</v>
      </c>
      <c r="BB164" s="5">
        <f>0.85*(Y164-Y163)+(1-0.85)*BB163</f>
        <v>1.5142945814531841</v>
      </c>
      <c r="BC164" s="5">
        <f>Y164+AY164</f>
        <v>142.3014994142346</v>
      </c>
      <c r="BD164" s="5">
        <f>Y164+AZ164</f>
        <v>142.54976465260555</v>
      </c>
      <c r="BE164" s="5">
        <f>Y164+BA164</f>
        <v>143.22410842387029</v>
      </c>
      <c r="BF164" s="5">
        <f>Y164+BB164</f>
        <v>144.01836821712587</v>
      </c>
      <c r="BG164" s="5">
        <f t="shared" si="52"/>
        <v>0.9982285857653892</v>
      </c>
      <c r="BH164" s="5">
        <f t="shared" si="53"/>
        <v>0.74996334739444137</v>
      </c>
      <c r="BI164" s="5">
        <f t="shared" si="54"/>
        <v>7.5619576129696497E-2</v>
      </c>
      <c r="BJ164" s="5">
        <f t="shared" si="55"/>
        <v>0.71864021712588055</v>
      </c>
    </row>
    <row r="165" spans="13:62" x14ac:dyDescent="0.35">
      <c r="M165" s="2">
        <v>163</v>
      </c>
      <c r="N165" s="3">
        <v>44014</v>
      </c>
      <c r="O165" s="1">
        <v>90.707176000000004</v>
      </c>
      <c r="P165" s="1">
        <v>144.20462000000001</v>
      </c>
      <c r="R165" s="5">
        <f t="shared" si="45"/>
        <v>88.837034681708673</v>
      </c>
      <c r="S165" s="5">
        <f t="shared" si="46"/>
        <v>90.25344298145707</v>
      </c>
      <c r="T165" s="5">
        <f t="shared" si="47"/>
        <v>90.542330971870712</v>
      </c>
      <c r="U165" s="5">
        <f t="shared" si="48"/>
        <v>90.681393612818397</v>
      </c>
      <c r="V165" s="5"/>
      <c r="W165" s="5">
        <f>0.15*P164+(1-0.15)*W164</f>
        <v>143.45827312715755</v>
      </c>
      <c r="X165" s="5">
        <f>0.35*P164+(1-0.35)*X164</f>
        <v>142.51815282557467</v>
      </c>
      <c r="Y165" s="5">
        <f>0.55*P164+(1-0.55)*Y164</f>
        <v>142.94168353605269</v>
      </c>
      <c r="Z165" s="5">
        <f>0.75*P164+(1-0.75)*Z164</f>
        <v>143.27112019833982</v>
      </c>
      <c r="AB165" s="5">
        <f t="shared" si="37"/>
        <v>2.0617346948286994</v>
      </c>
      <c r="AC165" s="5">
        <f t="shared" si="38"/>
        <v>0.5002173351124215</v>
      </c>
      <c r="AD165" s="5">
        <f t="shared" si="39"/>
        <v>0.18173317194804117</v>
      </c>
      <c r="AE165" s="5">
        <f t="shared" si="40"/>
        <v>2.8423756882925328E-2</v>
      </c>
      <c r="AG165" s="5">
        <f>ABS((P165-W165)/P165)*100</f>
        <v>0.51756099967008795</v>
      </c>
      <c r="AH165" s="5">
        <f>ABS((P165-X165)/P165)*100</f>
        <v>1.1694959387745907</v>
      </c>
      <c r="AI165" s="5">
        <f>ABS((P165-Y165)/P165)*100</f>
        <v>0.87579473108927597</v>
      </c>
      <c r="AJ165" s="5">
        <f>ABS((P165-Z165)/P165)*100</f>
        <v>0.64734389346207499</v>
      </c>
      <c r="AL165" s="5">
        <f>0.15*(T165-T164)+(1-0.15)*AL164</f>
        <v>0.3517173598459169</v>
      </c>
      <c r="AM165" s="5">
        <f>0.25*(T165-T164)+(1-0.25)*AM164</f>
        <v>0.29728677332450298</v>
      </c>
      <c r="AN165" s="5">
        <f>0.45*(T165-T164)+(1-0.45)*AN164</f>
        <v>0.28118699557461962</v>
      </c>
      <c r="AO165" s="5">
        <f>0.85*(T165-T164)+(1-0.85)*AO164</f>
        <v>0.26209068775245248</v>
      </c>
      <c r="AP165" s="5">
        <f>T165+AL165</f>
        <v>90.894048331716633</v>
      </c>
      <c r="AQ165" s="5">
        <f t="shared" si="41"/>
        <v>90.839617745195213</v>
      </c>
      <c r="AR165" s="5">
        <f t="shared" si="42"/>
        <v>90.823517967445326</v>
      </c>
      <c r="AS165" s="5">
        <f t="shared" si="43"/>
        <v>90.804421659623159</v>
      </c>
      <c r="AT165" s="5">
        <f t="shared" si="49"/>
        <v>0.18687233171662854</v>
      </c>
      <c r="AU165" s="5">
        <f t="shared" si="50"/>
        <v>53.365002254804793</v>
      </c>
      <c r="AV165" s="5">
        <f t="shared" si="51"/>
        <v>90.823517967445326</v>
      </c>
      <c r="AW165" s="5">
        <f t="shared" si="44"/>
        <v>1.9673869779144866</v>
      </c>
      <c r="AY165" s="5">
        <f>0.15*(Y165-Y164)+(1-0.15)*AY164</f>
        <v>-0.10654660316538023</v>
      </c>
      <c r="AZ165" s="5">
        <f>0.25*(Y165-Y164)+(1-0.25)*AZ164</f>
        <v>0.14367073779464951</v>
      </c>
      <c r="BA165" s="5">
        <f>0.45*(Y165-Y164)+(1-0.45)*BA164</f>
        <v>0.59294358867968877</v>
      </c>
      <c r="BB165" s="5">
        <f>0.85*(Y165-Y164)+(1-0.85)*BB164</f>
        <v>0.59911260254098675</v>
      </c>
      <c r="BC165" s="5">
        <f>Y165+AY165</f>
        <v>142.83513693288731</v>
      </c>
      <c r="BD165" s="5">
        <f>Y165+AZ165</f>
        <v>143.08535427384734</v>
      </c>
      <c r="BE165" s="5">
        <f>Y165+BA165</f>
        <v>143.5346271247324</v>
      </c>
      <c r="BF165" s="5">
        <f>Y165+BB165</f>
        <v>143.54079613859369</v>
      </c>
      <c r="BG165" s="5">
        <f t="shared" si="52"/>
        <v>1.3694830671126965</v>
      </c>
      <c r="BH165" s="5">
        <f t="shared" si="53"/>
        <v>1.119265726152662</v>
      </c>
      <c r="BI165" s="5">
        <f t="shared" si="54"/>
        <v>0.66999287526761009</v>
      </c>
      <c r="BJ165" s="5">
        <f t="shared" si="55"/>
        <v>0.66382386140631411</v>
      </c>
    </row>
    <row r="166" spans="13:62" x14ac:dyDescent="0.35">
      <c r="M166" s="2">
        <v>164</v>
      </c>
      <c r="N166" s="3">
        <v>44018</v>
      </c>
      <c r="O166" s="1">
        <v>93.133613999999994</v>
      </c>
      <c r="P166" s="1">
        <v>146.39224200000001</v>
      </c>
      <c r="R166" s="5">
        <f t="shared" si="45"/>
        <v>89.117555879452382</v>
      </c>
      <c r="S166" s="5">
        <f t="shared" si="46"/>
        <v>90.412249537947091</v>
      </c>
      <c r="T166" s="5">
        <f t="shared" si="47"/>
        <v>90.632995737341815</v>
      </c>
      <c r="U166" s="5">
        <f t="shared" si="48"/>
        <v>90.700730403204602</v>
      </c>
      <c r="V166" s="5"/>
      <c r="W166" s="5">
        <f>0.15*P165+(1-0.15)*W165</f>
        <v>143.57022515808393</v>
      </c>
      <c r="X166" s="5">
        <f>0.35*P165+(1-0.35)*X165</f>
        <v>143.10841633662355</v>
      </c>
      <c r="Y166" s="5">
        <f>0.55*P165+(1-0.55)*Y165</f>
        <v>143.63629859122372</v>
      </c>
      <c r="Z166" s="5">
        <f>0.75*P165+(1-0.75)*Z165</f>
        <v>143.97124504958498</v>
      </c>
      <c r="AB166" s="5">
        <f t="shared" si="37"/>
        <v>4.3121467621213672</v>
      </c>
      <c r="AC166" s="5">
        <f t="shared" si="38"/>
        <v>2.9220002802134406</v>
      </c>
      <c r="AD166" s="5">
        <f t="shared" si="39"/>
        <v>2.6849793058155988</v>
      </c>
      <c r="AE166" s="5">
        <f t="shared" si="40"/>
        <v>2.6122508214868505</v>
      </c>
      <c r="AG166" s="5">
        <f>ABS((P166-W166)/P166)*100</f>
        <v>1.9277092852475621</v>
      </c>
      <c r="AH166" s="5">
        <f>ABS((P166-X166)/P166)*100</f>
        <v>2.2431691860942067</v>
      </c>
      <c r="AI166" s="5">
        <f>ABS((P166-Y166)/P166)*100</f>
        <v>1.8825747670264448</v>
      </c>
      <c r="AJ166" s="5">
        <f>ABS((P166-Z166)/P166)*100</f>
        <v>1.6537740780109309</v>
      </c>
      <c r="AL166" s="5">
        <f>0.15*(T166-T165)+(1-0.15)*AL165</f>
        <v>0.31255947068969492</v>
      </c>
      <c r="AM166" s="5">
        <f>0.25*(T166-T165)+(1-0.25)*AM165</f>
        <v>0.24563127136115315</v>
      </c>
      <c r="AN166" s="5">
        <f>0.45*(T166-T165)+(1-0.45)*AN165</f>
        <v>0.19545199202803748</v>
      </c>
      <c r="AO166" s="5">
        <f>0.85*(T166-T165)+(1-0.85)*AO165</f>
        <v>0.116378653813306</v>
      </c>
      <c r="AP166" s="5">
        <f>T166+AL166</f>
        <v>90.945555208031507</v>
      </c>
      <c r="AQ166" s="5">
        <f t="shared" si="41"/>
        <v>90.878627008702964</v>
      </c>
      <c r="AR166" s="5">
        <f t="shared" si="42"/>
        <v>90.828447729369856</v>
      </c>
      <c r="AS166" s="5">
        <f t="shared" si="43"/>
        <v>90.749374391155115</v>
      </c>
      <c r="AT166" s="5">
        <f t="shared" si="49"/>
        <v>2.1880587919684871</v>
      </c>
      <c r="AU166" s="5">
        <f t="shared" si="50"/>
        <v>55.513614991297047</v>
      </c>
      <c r="AV166" s="5">
        <f t="shared" si="51"/>
        <v>90.828447729369856</v>
      </c>
      <c r="AW166" s="5">
        <f t="shared" si="44"/>
        <v>1.6318185117027326</v>
      </c>
      <c r="AY166" s="5">
        <f>0.15*(Y166-Y165)+(1-0.15)*AY165</f>
        <v>1.3627645585080936E-2</v>
      </c>
      <c r="AZ166" s="5">
        <f>0.25*(Y166-Y165)+(1-0.25)*AZ165</f>
        <v>0.28140681713874399</v>
      </c>
      <c r="BA166" s="5">
        <f>0.45*(Y166-Y165)+(1-0.45)*BA165</f>
        <v>0.63869574860079126</v>
      </c>
      <c r="BB166" s="5">
        <f>0.85*(Y166-Y165)+(1-0.85)*BB165</f>
        <v>0.68028968727652139</v>
      </c>
      <c r="BC166" s="5">
        <f>Y166+AY166</f>
        <v>143.6499262368088</v>
      </c>
      <c r="BD166" s="5">
        <f>Y166+AZ166</f>
        <v>143.91770540836245</v>
      </c>
      <c r="BE166" s="5">
        <f>Y166+BA166</f>
        <v>144.2749943398245</v>
      </c>
      <c r="BF166" s="5">
        <f>Y166+BB166</f>
        <v>144.31658827850023</v>
      </c>
      <c r="BG166" s="5">
        <f t="shared" si="52"/>
        <v>2.7423157631912147</v>
      </c>
      <c r="BH166" s="5">
        <f t="shared" si="53"/>
        <v>2.474536591637559</v>
      </c>
      <c r="BI166" s="5">
        <f t="shared" si="54"/>
        <v>2.1172476601755079</v>
      </c>
      <c r="BJ166" s="5">
        <f t="shared" si="55"/>
        <v>2.0756537214997763</v>
      </c>
    </row>
    <row r="167" spans="13:62" x14ac:dyDescent="0.35">
      <c r="M167" s="2">
        <v>165</v>
      </c>
      <c r="N167" s="3">
        <v>44019</v>
      </c>
      <c r="O167" s="1">
        <v>92.844634999999997</v>
      </c>
      <c r="P167" s="1">
        <v>144.15489199999999</v>
      </c>
      <c r="R167" s="5">
        <f t="shared" si="45"/>
        <v>89.719964597534528</v>
      </c>
      <c r="S167" s="5">
        <f t="shared" si="46"/>
        <v>91.3647270996656</v>
      </c>
      <c r="T167" s="5">
        <f t="shared" si="47"/>
        <v>92.008335781803822</v>
      </c>
      <c r="U167" s="5">
        <f t="shared" si="48"/>
        <v>92.525393100801153</v>
      </c>
      <c r="V167" s="5"/>
      <c r="W167" s="5">
        <f>0.15*P166+(1-0.15)*W166</f>
        <v>143.99352768437134</v>
      </c>
      <c r="X167" s="5">
        <f>0.35*P166+(1-0.35)*X166</f>
        <v>144.25775531880532</v>
      </c>
      <c r="Y167" s="5">
        <f>0.55*P166+(1-0.55)*Y166</f>
        <v>145.15206746605065</v>
      </c>
      <c r="Z167" s="5">
        <f>0.75*P166+(1-0.75)*Z166</f>
        <v>145.78699276239627</v>
      </c>
      <c r="AB167" s="5">
        <f t="shared" si="37"/>
        <v>3.3654829947529752</v>
      </c>
      <c r="AC167" s="5">
        <f t="shared" si="38"/>
        <v>1.5939616762286761</v>
      </c>
      <c r="AD167" s="5">
        <f t="shared" si="39"/>
        <v>0.90075125848270532</v>
      </c>
      <c r="AE167" s="5">
        <f t="shared" si="40"/>
        <v>0.343845284327784</v>
      </c>
      <c r="AG167" s="5">
        <f>ABS((P167-W167)/P167)*100</f>
        <v>0.11193814749529676</v>
      </c>
      <c r="AH167" s="5">
        <f>ABS((P167-X167)/P167)*100</f>
        <v>7.1356106877963885E-2</v>
      </c>
      <c r="AI167" s="5">
        <f>ABS((P167-Y167)/P167)*100</f>
        <v>0.69173890127201743</v>
      </c>
      <c r="AJ167" s="5">
        <f>ABS((P167-Z167)/P167)*100</f>
        <v>1.1321854844830914</v>
      </c>
      <c r="AL167" s="5">
        <f>0.15*(T167-T166)+(1-0.15)*AL166</f>
        <v>0.47197655675554173</v>
      </c>
      <c r="AM167" s="5">
        <f>0.25*(T167-T166)+(1-0.25)*AM166</f>
        <v>0.52805846463636663</v>
      </c>
      <c r="AN167" s="5">
        <f>0.45*(T167-T166)+(1-0.45)*AN166</f>
        <v>0.72640161562332384</v>
      </c>
      <c r="AO167" s="5">
        <f>0.85*(T167-T166)+(1-0.85)*AO166</f>
        <v>1.1864958358647018</v>
      </c>
      <c r="AP167" s="5">
        <f>T167+AL167</f>
        <v>92.480312338559358</v>
      </c>
      <c r="AQ167" s="5">
        <f t="shared" si="41"/>
        <v>92.536394246440196</v>
      </c>
      <c r="AR167" s="5">
        <f t="shared" si="42"/>
        <v>92.734737397427139</v>
      </c>
      <c r="AS167" s="5">
        <f t="shared" si="43"/>
        <v>93.194831617668527</v>
      </c>
      <c r="AT167" s="5">
        <f t="shared" si="49"/>
        <v>0.36432266144063874</v>
      </c>
      <c r="AU167" s="5">
        <f t="shared" si="50"/>
        <v>51.618497753559794</v>
      </c>
      <c r="AV167" s="5">
        <f t="shared" si="51"/>
        <v>92.734737397427139</v>
      </c>
      <c r="AW167" s="5">
        <f t="shared" si="44"/>
        <v>3.4748670201339991</v>
      </c>
      <c r="AY167" s="5">
        <f>0.15*(Y167-Y166)+(1-0.15)*AY166</f>
        <v>0.23894882997135861</v>
      </c>
      <c r="AZ167" s="5">
        <f>0.25*(Y167-Y166)+(1-0.25)*AZ166</f>
        <v>0.58999733156079104</v>
      </c>
      <c r="BA167" s="5">
        <f>0.45*(Y167-Y166)+(1-0.45)*BA166</f>
        <v>1.0333786554025548</v>
      </c>
      <c r="BB167" s="5">
        <f>0.85*(Y167-Y166)+(1-0.85)*BB166</f>
        <v>1.3904469966943707</v>
      </c>
      <c r="BC167" s="5">
        <f>Y167+AY167</f>
        <v>145.391016296022</v>
      </c>
      <c r="BD167" s="5">
        <f>Y167+AZ167</f>
        <v>145.74206479761145</v>
      </c>
      <c r="BE167" s="5">
        <f>Y167+BA167</f>
        <v>146.1854461214532</v>
      </c>
      <c r="BF167" s="5">
        <f>Y167+BB167</f>
        <v>146.54251446274503</v>
      </c>
      <c r="BG167" s="5">
        <f t="shared" si="52"/>
        <v>1.2361242960220125</v>
      </c>
      <c r="BH167" s="5">
        <f t="shared" si="53"/>
        <v>1.5871727976114585</v>
      </c>
      <c r="BI167" s="5">
        <f t="shared" si="54"/>
        <v>2.030554121453207</v>
      </c>
      <c r="BJ167" s="5">
        <f t="shared" si="55"/>
        <v>2.3876224627450426</v>
      </c>
    </row>
    <row r="168" spans="13:62" x14ac:dyDescent="0.35">
      <c r="M168" s="2">
        <v>166</v>
      </c>
      <c r="N168" s="3">
        <v>44020</v>
      </c>
      <c r="O168" s="1">
        <v>95.006996000000001</v>
      </c>
      <c r="P168" s="1">
        <v>144.77140800000001</v>
      </c>
      <c r="R168" s="5">
        <f t="shared" si="45"/>
        <v>90.188665157904339</v>
      </c>
      <c r="S168" s="5">
        <f t="shared" si="46"/>
        <v>91.882694864782636</v>
      </c>
      <c r="T168" s="5">
        <f t="shared" si="47"/>
        <v>92.468300351811706</v>
      </c>
      <c r="U168" s="5">
        <f t="shared" si="48"/>
        <v>92.764824525200282</v>
      </c>
      <c r="V168" s="5"/>
      <c r="W168" s="5">
        <f>0.15*P167+(1-0.15)*W167</f>
        <v>144.01773233171565</v>
      </c>
      <c r="X168" s="5">
        <f>0.35*P167+(1-0.35)*X167</f>
        <v>144.22175315722345</v>
      </c>
      <c r="Y168" s="5">
        <f>0.55*P167+(1-0.55)*Y167</f>
        <v>144.60362095972278</v>
      </c>
      <c r="Z168" s="5">
        <f>0.75*P167+(1-0.75)*Z167</f>
        <v>144.56291719059905</v>
      </c>
      <c r="AB168" s="5">
        <f t="shared" si="37"/>
        <v>5.0715537223128937</v>
      </c>
      <c r="AC168" s="5">
        <f t="shared" si="38"/>
        <v>3.2884958653122403</v>
      </c>
      <c r="AD168" s="5">
        <f t="shared" si="39"/>
        <v>2.67211442848724</v>
      </c>
      <c r="AE168" s="5">
        <f t="shared" si="40"/>
        <v>2.3600067039270654</v>
      </c>
      <c r="AG168" s="5">
        <f>ABS((P168-W168)/P168)*100</f>
        <v>0.52059704239690674</v>
      </c>
      <c r="AH168" s="5">
        <f>ABS((P168-X168)/P168)*100</f>
        <v>0.37967085515709131</v>
      </c>
      <c r="AI168" s="5">
        <f>ABS((P168-Y168)/P168)*100</f>
        <v>0.11589791285115689</v>
      </c>
      <c r="AJ168" s="5">
        <f>ABS((P168-Z168)/P168)*100</f>
        <v>0.14401380236693997</v>
      </c>
      <c r="AL168" s="5">
        <f>0.15*(T168-T167)+(1-0.15)*AL167</f>
        <v>0.47017475874339298</v>
      </c>
      <c r="AM168" s="5">
        <f>0.25*(T168-T167)+(1-0.25)*AM167</f>
        <v>0.51103499097924598</v>
      </c>
      <c r="AN168" s="5">
        <f>0.45*(T168-T167)+(1-0.45)*AN167</f>
        <v>0.60650494509637587</v>
      </c>
      <c r="AO168" s="5">
        <f>0.85*(T168-T167)+(1-0.85)*AO167</f>
        <v>0.56894425988640651</v>
      </c>
      <c r="AP168" s="5">
        <f>T168+AL168</f>
        <v>92.938475110555103</v>
      </c>
      <c r="AQ168" s="5">
        <f t="shared" si="41"/>
        <v>92.979335342790947</v>
      </c>
      <c r="AR168" s="5">
        <f t="shared" si="42"/>
        <v>93.074805296908082</v>
      </c>
      <c r="AS168" s="5">
        <f t="shared" si="43"/>
        <v>93.037244611698114</v>
      </c>
      <c r="AT168" s="5">
        <f t="shared" si="49"/>
        <v>2.0685208894448976</v>
      </c>
      <c r="AU168" s="5">
        <f t="shared" si="50"/>
        <v>51.792072657209062</v>
      </c>
      <c r="AV168" s="5">
        <f t="shared" si="51"/>
        <v>93.074805296908082</v>
      </c>
      <c r="AW168" s="5">
        <f t="shared" si="44"/>
        <v>2.848579453793775</v>
      </c>
      <c r="AY168" s="5">
        <f>0.15*(Y168-Y167)+(1-0.15)*AY167</f>
        <v>0.12083952952647317</v>
      </c>
      <c r="AZ168" s="5">
        <f>0.25*(Y168-Y167)+(1-0.25)*AZ167</f>
        <v>0.30538637208862385</v>
      </c>
      <c r="BA168" s="5">
        <f>0.45*(Y168-Y167)+(1-0.45)*BA167</f>
        <v>0.32155733262386021</v>
      </c>
      <c r="BB168" s="5">
        <f>0.85*(Y168-Y167)+(1-0.85)*BB167</f>
        <v>-0.25761248087454036</v>
      </c>
      <c r="BC168" s="5">
        <f>Y168+AY168</f>
        <v>144.72446048924925</v>
      </c>
      <c r="BD168" s="5">
        <f>Y168+AZ168</f>
        <v>144.90900733181141</v>
      </c>
      <c r="BE168" s="5">
        <f>Y168+BA168</f>
        <v>144.92517829234663</v>
      </c>
      <c r="BF168" s="5">
        <f>Y168+BB168</f>
        <v>144.34600847884823</v>
      </c>
      <c r="BG168" s="5">
        <f t="shared" si="52"/>
        <v>4.6947510750754873E-2</v>
      </c>
      <c r="BH168" s="5">
        <f t="shared" si="53"/>
        <v>0.13759933181140127</v>
      </c>
      <c r="BI168" s="5">
        <f t="shared" si="54"/>
        <v>0.15377029234662132</v>
      </c>
      <c r="BJ168" s="5">
        <f t="shared" si="55"/>
        <v>0.42539952115177471</v>
      </c>
    </row>
    <row r="169" spans="13:62" x14ac:dyDescent="0.35">
      <c r="M169" s="2">
        <v>167</v>
      </c>
      <c r="N169" s="3">
        <v>44021</v>
      </c>
      <c r="O169" s="1">
        <v>95.415558000000004</v>
      </c>
      <c r="P169" s="1">
        <v>140.57513399999999</v>
      </c>
      <c r="R169" s="5">
        <f t="shared" si="45"/>
        <v>90.911414784218692</v>
      </c>
      <c r="S169" s="5">
        <f t="shared" si="46"/>
        <v>92.976200262108719</v>
      </c>
      <c r="T169" s="5">
        <f t="shared" si="47"/>
        <v>93.864582958315268</v>
      </c>
      <c r="U169" s="5">
        <f t="shared" si="48"/>
        <v>94.446453131300075</v>
      </c>
      <c r="V169" s="5"/>
      <c r="W169" s="5">
        <f>0.15*P168+(1-0.15)*W168</f>
        <v>144.13078368195829</v>
      </c>
      <c r="X169" s="5">
        <f>0.35*P168+(1-0.35)*X168</f>
        <v>144.41413235219525</v>
      </c>
      <c r="Y169" s="5">
        <f>0.55*P168+(1-0.55)*Y168</f>
        <v>144.69590383187523</v>
      </c>
      <c r="Z169" s="5">
        <f>0.75*P168+(1-0.75)*Z168</f>
        <v>144.71928529764978</v>
      </c>
      <c r="AB169" s="5">
        <f t="shared" si="37"/>
        <v>4.7205542892505132</v>
      </c>
      <c r="AC169" s="5">
        <f t="shared" si="38"/>
        <v>2.5565618322866017</v>
      </c>
      <c r="AD169" s="5">
        <f t="shared" si="39"/>
        <v>1.6254949131930212</v>
      </c>
      <c r="AE169" s="5">
        <f t="shared" si="40"/>
        <v>1.0156675588481383</v>
      </c>
      <c r="AG169" s="5">
        <f>ABS((P169-W169)/P169)*100</f>
        <v>2.5293589134749115</v>
      </c>
      <c r="AH169" s="5">
        <f>ABS((P169-X169)/P169)*100</f>
        <v>2.7309227762822275</v>
      </c>
      <c r="AI169" s="5">
        <f>ABS((P169-Y169)/P169)*100</f>
        <v>2.931364683511692</v>
      </c>
      <c r="AJ169" s="5">
        <f>ABS((P169-Z169)/P169)*100</f>
        <v>2.9479974016242338</v>
      </c>
      <c r="AL169" s="5">
        <f>0.15*(T169-T168)+(1-0.15)*AL168</f>
        <v>0.60909093590741825</v>
      </c>
      <c r="AM169" s="5">
        <f>0.25*(T169-T168)+(1-0.25)*AM168</f>
        <v>0.73234689486032489</v>
      </c>
      <c r="AN169" s="5">
        <f>0.45*(T169-T168)+(1-0.45)*AN168</f>
        <v>0.96190489272960944</v>
      </c>
      <c r="AO169" s="5">
        <f>0.85*(T169-T168)+(1-0.85)*AO168</f>
        <v>1.272181854510988</v>
      </c>
      <c r="AP169" s="5">
        <f>T169+AL169</f>
        <v>94.473673894222685</v>
      </c>
      <c r="AQ169" s="5">
        <f t="shared" si="41"/>
        <v>94.596929853175595</v>
      </c>
      <c r="AR169" s="5">
        <f t="shared" si="42"/>
        <v>94.826487851044874</v>
      </c>
      <c r="AS169" s="5">
        <f t="shared" si="43"/>
        <v>95.136764812826257</v>
      </c>
      <c r="AT169" s="5">
        <f t="shared" si="49"/>
        <v>0.94188410577731929</v>
      </c>
      <c r="AU169" s="5">
        <f t="shared" si="50"/>
        <v>45.978204146824396</v>
      </c>
      <c r="AV169" s="5">
        <f t="shared" si="51"/>
        <v>94.826487851044874</v>
      </c>
      <c r="AW169" s="5">
        <f t="shared" si="44"/>
        <v>4.2253500286075649</v>
      </c>
      <c r="AY169" s="5">
        <f>0.15*(Y169-Y168)+(1-0.15)*AY168</f>
        <v>0.11655603092037006</v>
      </c>
      <c r="AZ169" s="5">
        <f>0.25*(Y169-Y168)+(1-0.25)*AZ168</f>
        <v>0.252110497104581</v>
      </c>
      <c r="BA169" s="5">
        <f>0.45*(Y169-Y168)+(1-0.45)*BA168</f>
        <v>0.21838382541172674</v>
      </c>
      <c r="BB169" s="5">
        <f>0.85*(Y169-Y168)+(1-0.85)*BB168</f>
        <v>3.9798569198403522E-2</v>
      </c>
      <c r="BC169" s="5">
        <f>Y169+AY169</f>
        <v>144.81245986279561</v>
      </c>
      <c r="BD169" s="5">
        <f>Y169+AZ169</f>
        <v>144.94801432897981</v>
      </c>
      <c r="BE169" s="5">
        <f>Y169+BA169</f>
        <v>144.91428765728696</v>
      </c>
      <c r="BF169" s="5">
        <f>Y169+BB169</f>
        <v>144.73570240107364</v>
      </c>
      <c r="BG169" s="5">
        <f t="shared" si="52"/>
        <v>4.2373258627956147</v>
      </c>
      <c r="BH169" s="5">
        <f t="shared" si="53"/>
        <v>4.3728803289798179</v>
      </c>
      <c r="BI169" s="5">
        <f t="shared" si="54"/>
        <v>4.3391536572869711</v>
      </c>
      <c r="BJ169" s="5">
        <f t="shared" si="55"/>
        <v>4.1605684010736468</v>
      </c>
    </row>
    <row r="170" spans="13:62" x14ac:dyDescent="0.35">
      <c r="M170" s="2">
        <v>168</v>
      </c>
      <c r="N170" s="3">
        <v>44022</v>
      </c>
      <c r="O170" s="1">
        <v>95.582465999999997</v>
      </c>
      <c r="P170" s="1">
        <v>141.64906300000001</v>
      </c>
      <c r="R170" s="5">
        <f t="shared" si="45"/>
        <v>91.587036266585883</v>
      </c>
      <c r="S170" s="5">
        <f t="shared" si="46"/>
        <v>93.82997547037067</v>
      </c>
      <c r="T170" s="5">
        <f t="shared" si="47"/>
        <v>94.717619231241883</v>
      </c>
      <c r="U170" s="5">
        <f t="shared" si="48"/>
        <v>95.173281782825015</v>
      </c>
      <c r="V170" s="5"/>
      <c r="W170" s="5">
        <f>0.15*P169+(1-0.15)*W169</f>
        <v>143.59743622966454</v>
      </c>
      <c r="X170" s="5">
        <f>0.35*P169+(1-0.35)*X169</f>
        <v>143.07048292892691</v>
      </c>
      <c r="Y170" s="5">
        <f>0.55*P169+(1-0.55)*Y169</f>
        <v>142.42948042434386</v>
      </c>
      <c r="Z170" s="5">
        <f>0.75*P169+(1-0.75)*Z169</f>
        <v>141.61117182441245</v>
      </c>
      <c r="AB170" s="5">
        <f t="shared" si="37"/>
        <v>4.180086474661695</v>
      </c>
      <c r="AC170" s="5">
        <f t="shared" si="38"/>
        <v>1.8334853691987052</v>
      </c>
      <c r="AD170" s="5">
        <f t="shared" si="39"/>
        <v>0.90481738434967063</v>
      </c>
      <c r="AE170" s="5">
        <f t="shared" si="40"/>
        <v>0.42809548058216224</v>
      </c>
      <c r="AG170" s="5">
        <f>ABS((P170-W170)/P170)*100</f>
        <v>1.3754932001664746</v>
      </c>
      <c r="AH170" s="5">
        <f>ABS((P170-X170)/P170)*100</f>
        <v>1.0034799375460002</v>
      </c>
      <c r="AI170" s="5">
        <f>ABS((P170-Y170)/P170)*100</f>
        <v>0.55095134963501469</v>
      </c>
      <c r="AJ170" s="5">
        <f>ABS((P170-Z170)/P170)*100</f>
        <v>2.6750036170419714E-2</v>
      </c>
      <c r="AL170" s="5">
        <f>0.15*(T170-T169)+(1-0.15)*AL169</f>
        <v>0.64568273646029783</v>
      </c>
      <c r="AM170" s="5">
        <f>0.25*(T170-T169)+(1-0.25)*AM169</f>
        <v>0.76251923937689758</v>
      </c>
      <c r="AN170" s="5">
        <f>0.45*(T170-T169)+(1-0.45)*AN169</f>
        <v>0.91291401381826232</v>
      </c>
      <c r="AO170" s="5">
        <f>0.85*(T170-T169)+(1-0.85)*AO169</f>
        <v>0.91590811016427176</v>
      </c>
      <c r="AP170" s="5">
        <f>T170+AL170</f>
        <v>95.363301967702185</v>
      </c>
      <c r="AQ170" s="5">
        <f t="shared" si="41"/>
        <v>95.480138470618783</v>
      </c>
      <c r="AR170" s="5">
        <f t="shared" si="42"/>
        <v>95.63053324506015</v>
      </c>
      <c r="AS170" s="5">
        <f t="shared" si="43"/>
        <v>95.63352734140615</v>
      </c>
      <c r="AT170" s="5">
        <f t="shared" si="49"/>
        <v>0.21916403229781167</v>
      </c>
      <c r="AU170" s="5">
        <f t="shared" si="50"/>
        <v>46.168924529381229</v>
      </c>
      <c r="AV170" s="5">
        <f t="shared" si="51"/>
        <v>95.63053324506015</v>
      </c>
      <c r="AW170" s="5">
        <f t="shared" si="44"/>
        <v>4.0464910748202669</v>
      </c>
      <c r="AY170" s="5">
        <f>0.15*(Y170-Y169)+(1-0.15)*AY169</f>
        <v>-0.24089088484738985</v>
      </c>
      <c r="AZ170" s="5">
        <f>0.25*(Y170-Y169)+(1-0.25)*AZ169</f>
        <v>-0.37752297905440502</v>
      </c>
      <c r="BA170" s="5">
        <f>0.45*(Y170-Y169)+(1-0.45)*BA169</f>
        <v>-0.89977942941266353</v>
      </c>
      <c r="BB170" s="5">
        <f>0.85*(Y170-Y169)+(1-0.85)*BB169</f>
        <v>-1.9204901110218979</v>
      </c>
      <c r="BC170" s="5">
        <f>Y170+AY170</f>
        <v>142.18858953949646</v>
      </c>
      <c r="BD170" s="5">
        <f>Y170+AZ170</f>
        <v>142.05195744528945</v>
      </c>
      <c r="BE170" s="5">
        <f>Y170+BA170</f>
        <v>141.5297009949312</v>
      </c>
      <c r="BF170" s="5">
        <f>Y170+BB170</f>
        <v>140.50899031332196</v>
      </c>
      <c r="BG170" s="5">
        <f t="shared" si="52"/>
        <v>0.53952653949644969</v>
      </c>
      <c r="BH170" s="5">
        <f t="shared" si="53"/>
        <v>0.40289444528943363</v>
      </c>
      <c r="BI170" s="5">
        <f t="shared" si="54"/>
        <v>0.11936200506880823</v>
      </c>
      <c r="BJ170" s="5">
        <f t="shared" si="55"/>
        <v>1.1400726866780531</v>
      </c>
    </row>
    <row r="171" spans="13:62" x14ac:dyDescent="0.35">
      <c r="M171" s="2">
        <v>169</v>
      </c>
      <c r="N171" s="3">
        <v>44025</v>
      </c>
      <c r="O171" s="1">
        <v>95.141525000000001</v>
      </c>
      <c r="P171" s="1">
        <v>142.68322800000001</v>
      </c>
      <c r="R171" s="5">
        <f t="shared" si="45"/>
        <v>92.186350726597993</v>
      </c>
      <c r="S171" s="5">
        <f t="shared" si="46"/>
        <v>94.443347155740938</v>
      </c>
      <c r="T171" s="5">
        <f t="shared" si="47"/>
        <v>95.193284954058839</v>
      </c>
      <c r="U171" s="5">
        <f t="shared" si="48"/>
        <v>95.480169945706251</v>
      </c>
      <c r="V171" s="5"/>
      <c r="W171" s="5">
        <f>0.15*P170+(1-0.15)*W170</f>
        <v>143.30518024521484</v>
      </c>
      <c r="X171" s="5">
        <f>0.35*P170+(1-0.35)*X170</f>
        <v>142.57298595380252</v>
      </c>
      <c r="Y171" s="5">
        <f>0.55*P170+(1-0.55)*Y170</f>
        <v>142.00025084095475</v>
      </c>
      <c r="Z171" s="5">
        <f>0.75*P170+(1-0.75)*Z170</f>
        <v>141.63959020610312</v>
      </c>
      <c r="AB171" s="5">
        <f t="shared" si="37"/>
        <v>3.1060825159172172</v>
      </c>
      <c r="AC171" s="5">
        <f t="shared" si="38"/>
        <v>0.73383083176253883</v>
      </c>
      <c r="AD171" s="5">
        <f t="shared" si="39"/>
        <v>5.4403115841203747E-2</v>
      </c>
      <c r="AE171" s="5">
        <f t="shared" si="40"/>
        <v>0.35593810978565849</v>
      </c>
      <c r="AG171" s="5">
        <f>ABS((P171-W171)/P171)*100</f>
        <v>0.43589723468747721</v>
      </c>
      <c r="AH171" s="5">
        <f>ABS((P171-X171)/P171)*100</f>
        <v>7.7263493223953872E-2</v>
      </c>
      <c r="AI171" s="5">
        <f>ABS((P171-Y171)/P171)*100</f>
        <v>0.47866674213823157</v>
      </c>
      <c r="AJ171" s="5">
        <f>ABS((P171-Z171)/P171)*100</f>
        <v>0.73143690994774213</v>
      </c>
      <c r="AL171" s="5">
        <f>0.15*(T171-T170)+(1-0.15)*AL170</f>
        <v>0.62018018441379652</v>
      </c>
      <c r="AM171" s="5">
        <f>0.25*(T171-T170)+(1-0.25)*AM170</f>
        <v>0.69080586023691215</v>
      </c>
      <c r="AN171" s="5">
        <f>0.45*(T171-T170)+(1-0.45)*AN170</f>
        <v>0.71615228286767441</v>
      </c>
      <c r="AO171" s="5">
        <f>0.85*(T171-T170)+(1-0.85)*AO170</f>
        <v>0.54170208091905325</v>
      </c>
      <c r="AP171" s="5">
        <f>T171+AL171</f>
        <v>95.813465138472637</v>
      </c>
      <c r="AQ171" s="5">
        <f t="shared" si="41"/>
        <v>95.884090814295746</v>
      </c>
      <c r="AR171" s="5">
        <f t="shared" si="42"/>
        <v>95.909437236926507</v>
      </c>
      <c r="AS171" s="5">
        <f t="shared" si="43"/>
        <v>95.734987034977891</v>
      </c>
      <c r="AT171" s="5">
        <f t="shared" si="49"/>
        <v>0.67194013847263534</v>
      </c>
      <c r="AU171" s="5">
        <f t="shared" si="50"/>
        <v>46.799137185704268</v>
      </c>
      <c r="AV171" s="5">
        <f t="shared" si="51"/>
        <v>95.909437236926507</v>
      </c>
      <c r="AW171" s="5">
        <f t="shared" si="44"/>
        <v>3.5486363083798977</v>
      </c>
      <c r="AY171" s="5">
        <f>0.15*(Y171-Y170)+(1-0.15)*AY170</f>
        <v>-0.26914168962864876</v>
      </c>
      <c r="AZ171" s="5">
        <f>0.25*(Y171-Y170)+(1-0.25)*AZ170</f>
        <v>-0.39044963013808276</v>
      </c>
      <c r="BA171" s="5">
        <f>0.45*(Y171-Y170)+(1-0.45)*BA170</f>
        <v>-0.68803199870206722</v>
      </c>
      <c r="BB171" s="5">
        <f>0.85*(Y171-Y170)+(1-0.85)*BB170</f>
        <v>-0.6529186625340333</v>
      </c>
      <c r="BC171" s="5">
        <f>Y171+AY171</f>
        <v>141.73110915132611</v>
      </c>
      <c r="BD171" s="5">
        <f>Y171+AZ171</f>
        <v>141.60980121081667</v>
      </c>
      <c r="BE171" s="5">
        <f>Y171+BA171</f>
        <v>141.31221884225269</v>
      </c>
      <c r="BF171" s="5">
        <f>Y171+BB171</f>
        <v>141.34733217842071</v>
      </c>
      <c r="BG171" s="5">
        <f t="shared" si="52"/>
        <v>0.95211884867390495</v>
      </c>
      <c r="BH171" s="5">
        <f t="shared" si="53"/>
        <v>1.073426789183344</v>
      </c>
      <c r="BI171" s="5">
        <f t="shared" si="54"/>
        <v>1.3710091577473236</v>
      </c>
      <c r="BJ171" s="5">
        <f t="shared" si="55"/>
        <v>1.3358958215792995</v>
      </c>
    </row>
    <row r="172" spans="13:62" x14ac:dyDescent="0.35">
      <c r="M172" s="2">
        <v>170</v>
      </c>
      <c r="N172" s="3">
        <v>44026</v>
      </c>
      <c r="O172" s="1">
        <v>96.715964999999997</v>
      </c>
      <c r="P172" s="1">
        <v>147.267303</v>
      </c>
      <c r="R172" s="5">
        <f t="shared" si="45"/>
        <v>92.629626867608295</v>
      </c>
      <c r="S172" s="5">
        <f t="shared" si="46"/>
        <v>94.687709401231615</v>
      </c>
      <c r="T172" s="5">
        <f t="shared" si="47"/>
        <v>95.164816979326474</v>
      </c>
      <c r="U172" s="5">
        <f t="shared" si="48"/>
        <v>95.226186236426571</v>
      </c>
      <c r="V172" s="5"/>
      <c r="W172" s="5">
        <f>0.15*P171+(1-0.15)*W171</f>
        <v>143.2118874084326</v>
      </c>
      <c r="X172" s="5">
        <f>0.35*P171+(1-0.35)*X171</f>
        <v>142.61157066997163</v>
      </c>
      <c r="Y172" s="5">
        <f>0.55*P171+(1-0.55)*Y171</f>
        <v>142.37588827842964</v>
      </c>
      <c r="Z172" s="5">
        <f>0.75*P171+(1-0.75)*Z171</f>
        <v>142.42231855152579</v>
      </c>
      <c r="AB172" s="5">
        <f t="shared" si="37"/>
        <v>4.2250916199737061</v>
      </c>
      <c r="AC172" s="5">
        <f t="shared" si="38"/>
        <v>2.097125948925167</v>
      </c>
      <c r="AD172" s="5">
        <f t="shared" si="39"/>
        <v>1.6038179639457899</v>
      </c>
      <c r="AE172" s="5">
        <f t="shared" si="40"/>
        <v>1.5403648855423466</v>
      </c>
      <c r="AG172" s="5">
        <f>ABS((P172-W172)/P172)*100</f>
        <v>2.7537786792818473</v>
      </c>
      <c r="AH172" s="5">
        <f>ABS((P172-X172)/P172)*100</f>
        <v>3.1614161699072953</v>
      </c>
      <c r="AI172" s="5">
        <f>ABS((P172-Y172)/P172)*100</f>
        <v>3.3214533178287082</v>
      </c>
      <c r="AJ172" s="5">
        <f>ABS((P172-Z172)/P172)*100</f>
        <v>3.2899254279642833</v>
      </c>
      <c r="AL172" s="5">
        <f>0.15*(T172-T171)+(1-0.15)*AL171</f>
        <v>0.52288296054187222</v>
      </c>
      <c r="AM172" s="5">
        <f>0.25*(T172-T171)+(1-0.25)*AM171</f>
        <v>0.51098740149459287</v>
      </c>
      <c r="AN172" s="5">
        <f>0.45*(T172-T171)+(1-0.45)*AN171</f>
        <v>0.38107316694765664</v>
      </c>
      <c r="AO172" s="5">
        <f>0.85*(T172-T171)+(1-0.85)*AO171</f>
        <v>5.7057533615347697E-2</v>
      </c>
      <c r="AP172" s="5">
        <f>T172+AL172</f>
        <v>95.687699939868352</v>
      </c>
      <c r="AQ172" s="5">
        <f t="shared" si="41"/>
        <v>95.675804380821063</v>
      </c>
      <c r="AR172" s="5">
        <f t="shared" si="42"/>
        <v>95.545890146274132</v>
      </c>
      <c r="AS172" s="5">
        <f t="shared" si="43"/>
        <v>95.221874512941824</v>
      </c>
      <c r="AT172" s="5">
        <f t="shared" si="49"/>
        <v>1.0282650601316448</v>
      </c>
      <c r="AU172" s="5">
        <f t="shared" si="50"/>
        <v>51.591498619178935</v>
      </c>
      <c r="AV172" s="5">
        <f t="shared" si="51"/>
        <v>95.545890146274132</v>
      </c>
      <c r="AW172" s="5">
        <f t="shared" si="44"/>
        <v>2.5922476453335292</v>
      </c>
      <c r="AY172" s="5">
        <f>0.15*(Y172-Y171)+(1-0.15)*AY171</f>
        <v>-0.1724248205631175</v>
      </c>
      <c r="AZ172" s="5">
        <f>0.25*(Y172-Y171)+(1-0.25)*AZ171</f>
        <v>-0.1989278632348388</v>
      </c>
      <c r="BA172" s="5">
        <f>0.45*(Y172-Y171)+(1-0.45)*BA171</f>
        <v>-0.20938075242243515</v>
      </c>
      <c r="BB172" s="5">
        <f>0.85*(Y172-Y171)+(1-0.85)*BB171</f>
        <v>0.22135402247355401</v>
      </c>
      <c r="BC172" s="5">
        <f>Y172+AY172</f>
        <v>142.20346345786652</v>
      </c>
      <c r="BD172" s="5">
        <f>Y172+AZ172</f>
        <v>142.1769604151948</v>
      </c>
      <c r="BE172" s="5">
        <f>Y172+BA172</f>
        <v>142.16650752600719</v>
      </c>
      <c r="BF172" s="5">
        <f>Y172+BB172</f>
        <v>142.59724230090319</v>
      </c>
      <c r="BG172" s="5">
        <f t="shared" si="52"/>
        <v>5.0638395421334792</v>
      </c>
      <c r="BH172" s="5">
        <f t="shared" si="53"/>
        <v>5.0903425848051995</v>
      </c>
      <c r="BI172" s="5">
        <f t="shared" si="54"/>
        <v>5.1007954739928039</v>
      </c>
      <c r="BJ172" s="5">
        <f t="shared" si="55"/>
        <v>4.6700606990968083</v>
      </c>
    </row>
    <row r="173" spans="13:62" x14ac:dyDescent="0.35">
      <c r="M173" s="2">
        <v>171</v>
      </c>
      <c r="N173" s="3">
        <v>44027</v>
      </c>
      <c r="O173" s="1">
        <v>97.381111000000004</v>
      </c>
      <c r="P173" s="1">
        <v>151.07576</v>
      </c>
      <c r="R173" s="5">
        <f t="shared" si="45"/>
        <v>93.242577587467053</v>
      </c>
      <c r="S173" s="5">
        <f t="shared" si="46"/>
        <v>95.397598860800542</v>
      </c>
      <c r="T173" s="5">
        <f t="shared" si="47"/>
        <v>96.017948390696915</v>
      </c>
      <c r="U173" s="5">
        <f t="shared" si="48"/>
        <v>96.343520309106651</v>
      </c>
      <c r="V173" s="5"/>
      <c r="W173" s="5">
        <f>0.15*P172+(1-0.15)*W172</f>
        <v>143.82019974716772</v>
      </c>
      <c r="X173" s="5">
        <f>0.35*P172+(1-0.35)*X172</f>
        <v>144.24107698548156</v>
      </c>
      <c r="Y173" s="5">
        <f>0.55*P172+(1-0.55)*Y172</f>
        <v>145.06616637529334</v>
      </c>
      <c r="Z173" s="5">
        <f>0.75*P172+(1-0.75)*Z172</f>
        <v>146.05605688788145</v>
      </c>
      <c r="AB173" s="5">
        <f t="shared" si="37"/>
        <v>4.2498317897943787</v>
      </c>
      <c r="AC173" s="5">
        <f t="shared" si="38"/>
        <v>2.0368551137185751</v>
      </c>
      <c r="AD173" s="5">
        <f t="shared" si="39"/>
        <v>1.399822404267999</v>
      </c>
      <c r="AE173" s="5">
        <f t="shared" si="40"/>
        <v>1.065494817463474</v>
      </c>
      <c r="AG173" s="5">
        <f>ABS((P173-W173)/P173)*100</f>
        <v>4.8025972219714674</v>
      </c>
      <c r="AH173" s="5">
        <f>ABS((P173-X173)/P173)*100</f>
        <v>4.5240103472049036</v>
      </c>
      <c r="AI173" s="5">
        <f>ABS((P173-Y173)/P173)*100</f>
        <v>3.9778675445396852</v>
      </c>
      <c r="AJ173" s="5">
        <f>ABS((P173-Z173)/P173)*100</f>
        <v>3.3226396558379374</v>
      </c>
      <c r="AL173" s="5">
        <f>0.15*(T173-T172)+(1-0.15)*AL172</f>
        <v>0.57242022816615756</v>
      </c>
      <c r="AM173" s="5">
        <f>0.25*(T173-T172)+(1-0.25)*AM172</f>
        <v>0.59652340396355497</v>
      </c>
      <c r="AN173" s="5">
        <f>0.45*(T173-T172)+(1-0.45)*AN172</f>
        <v>0.59349937693790966</v>
      </c>
      <c r="AO173" s="5">
        <f>0.85*(T173-T172)+(1-0.85)*AO172</f>
        <v>0.73372032970717715</v>
      </c>
      <c r="AP173" s="5">
        <f>T173+AL173</f>
        <v>96.590368618863067</v>
      </c>
      <c r="AQ173" s="5">
        <f t="shared" si="41"/>
        <v>96.614471794660474</v>
      </c>
      <c r="AR173" s="5">
        <f t="shared" si="42"/>
        <v>96.611447767634829</v>
      </c>
      <c r="AS173" s="5">
        <f t="shared" si="43"/>
        <v>96.751668720404098</v>
      </c>
      <c r="AT173" s="5">
        <f t="shared" si="49"/>
        <v>0.79074238113693696</v>
      </c>
      <c r="AU173" s="5">
        <f t="shared" si="50"/>
        <v>54.461288205339528</v>
      </c>
      <c r="AV173" s="5">
        <f t="shared" si="51"/>
        <v>96.611447767634829</v>
      </c>
      <c r="AW173" s="5">
        <f t="shared" si="44"/>
        <v>3.5090911329370442</v>
      </c>
      <c r="AY173" s="5">
        <f>0.15*(Y173-Y172)+(1-0.15)*AY172</f>
        <v>0.25698061705090408</v>
      </c>
      <c r="AZ173" s="5">
        <f>0.25*(Y173-Y172)+(1-0.25)*AZ172</f>
        <v>0.52337362678979416</v>
      </c>
      <c r="BA173" s="5">
        <f>0.45*(Y173-Y172)+(1-0.45)*BA172</f>
        <v>1.0954657297563226</v>
      </c>
      <c r="BB173" s="5">
        <f>0.85*(Y173-Y172)+(1-0.85)*BB172</f>
        <v>2.3199394857051723</v>
      </c>
      <c r="BC173" s="5">
        <f>Y173+AY173</f>
        <v>145.32314699234425</v>
      </c>
      <c r="BD173" s="5">
        <f>Y173+AZ173</f>
        <v>145.58954000208314</v>
      </c>
      <c r="BE173" s="5">
        <f>Y173+BA173</f>
        <v>146.16163210504965</v>
      </c>
      <c r="BF173" s="5">
        <f>Y173+BB173</f>
        <v>147.3861058609985</v>
      </c>
      <c r="BG173" s="5">
        <f t="shared" si="52"/>
        <v>5.7526130076557536</v>
      </c>
      <c r="BH173" s="5">
        <f t="shared" si="53"/>
        <v>5.4862199979168622</v>
      </c>
      <c r="BI173" s="5">
        <f t="shared" si="54"/>
        <v>4.9141278949503544</v>
      </c>
      <c r="BJ173" s="5">
        <f t="shared" si="55"/>
        <v>3.6896541390015045</v>
      </c>
    </row>
    <row r="174" spans="13:62" x14ac:dyDescent="0.35">
      <c r="M174" s="2">
        <v>172</v>
      </c>
      <c r="N174" s="3">
        <v>44028</v>
      </c>
      <c r="O174" s="1">
        <v>96.182845999999998</v>
      </c>
      <c r="P174" s="1">
        <v>152.21929900000001</v>
      </c>
      <c r="R174" s="5">
        <f t="shared" si="45"/>
        <v>93.863357599346983</v>
      </c>
      <c r="S174" s="5">
        <f t="shared" si="46"/>
        <v>96.09182810952035</v>
      </c>
      <c r="T174" s="5">
        <f t="shared" si="47"/>
        <v>96.767687825813624</v>
      </c>
      <c r="U174" s="5">
        <f t="shared" si="48"/>
        <v>97.121713327276666</v>
      </c>
      <c r="V174" s="5"/>
      <c r="W174" s="5">
        <f>0.15*P173+(1-0.15)*W173</f>
        <v>144.90853378509254</v>
      </c>
      <c r="X174" s="5">
        <f>0.35*P173+(1-0.35)*X173</f>
        <v>146.63321604056301</v>
      </c>
      <c r="Y174" s="5">
        <f>0.55*P173+(1-0.55)*Y173</f>
        <v>148.37144286888201</v>
      </c>
      <c r="Z174" s="5">
        <f>0.75*P173+(1-0.75)*Z173</f>
        <v>149.82083422197036</v>
      </c>
      <c r="AB174" s="5">
        <f t="shared" si="37"/>
        <v>2.411540619886642</v>
      </c>
      <c r="AC174" s="5">
        <f t="shared" si="38"/>
        <v>9.4630065822390141E-2</v>
      </c>
      <c r="AD174" s="5">
        <f t="shared" si="39"/>
        <v>0.60805211130228598</v>
      </c>
      <c r="AE174" s="5">
        <f t="shared" si="40"/>
        <v>0.97612762183879254</v>
      </c>
      <c r="AG174" s="5">
        <f>ABS((P174-W174)/P174)*100</f>
        <v>4.8027847079413117</v>
      </c>
      <c r="AH174" s="5">
        <f>ABS((P174-X174)/P174)*100</f>
        <v>3.6697600081820068</v>
      </c>
      <c r="AI174" s="5">
        <f>ABS((P174-Y174)/P174)*100</f>
        <v>2.5278372429753424</v>
      </c>
      <c r="AJ174" s="5">
        <f>ABS((P174-Z174)/P174)*100</f>
        <v>1.5756640542863414</v>
      </c>
      <c r="AL174" s="5">
        <f>0.15*(T174-T173)+(1-0.15)*AL173</f>
        <v>0.59901810920874021</v>
      </c>
      <c r="AM174" s="5">
        <f>0.25*(T174-T173)+(1-0.25)*AM173</f>
        <v>0.63482741175184343</v>
      </c>
      <c r="AN174" s="5">
        <f>0.45*(T174-T173)+(1-0.45)*AN173</f>
        <v>0.66380740311836939</v>
      </c>
      <c r="AO174" s="5">
        <f>0.85*(T174-T173)+(1-0.85)*AO173</f>
        <v>0.74733656930527903</v>
      </c>
      <c r="AP174" s="5">
        <f>T174+AL174</f>
        <v>97.366705935022367</v>
      </c>
      <c r="AQ174" s="5">
        <f t="shared" si="41"/>
        <v>97.402515237565467</v>
      </c>
      <c r="AR174" s="5">
        <f t="shared" si="42"/>
        <v>97.431495228931993</v>
      </c>
      <c r="AS174" s="5">
        <f t="shared" si="43"/>
        <v>97.5150243951189</v>
      </c>
      <c r="AT174" s="5">
        <f t="shared" si="49"/>
        <v>1.1838599350223689</v>
      </c>
      <c r="AU174" s="5">
        <f t="shared" si="50"/>
        <v>54.81678376243454</v>
      </c>
      <c r="AV174" s="5">
        <f t="shared" si="51"/>
        <v>97.431495228931993</v>
      </c>
      <c r="AW174" s="5">
        <f t="shared" si="44"/>
        <v>3.6516667957719164</v>
      </c>
      <c r="AY174" s="5">
        <f>0.15*(Y174-Y173)+(1-0.15)*AY173</f>
        <v>0.71422499853157029</v>
      </c>
      <c r="AZ174" s="5">
        <f>0.25*(Y174-Y173)+(1-0.25)*AZ173</f>
        <v>1.2188493434895151</v>
      </c>
      <c r="BA174" s="5">
        <f>0.45*(Y174-Y173)+(1-0.45)*BA173</f>
        <v>2.0898805734808832</v>
      </c>
      <c r="BB174" s="5">
        <f>0.85*(Y174-Y173)+(1-0.85)*BB173</f>
        <v>3.1574759424061525</v>
      </c>
      <c r="BC174" s="5">
        <f>Y174+AY174</f>
        <v>149.08566786741358</v>
      </c>
      <c r="BD174" s="5">
        <f>Y174+AZ174</f>
        <v>149.59029221237154</v>
      </c>
      <c r="BE174" s="5">
        <f>Y174+BA174</f>
        <v>150.4613234423629</v>
      </c>
      <c r="BF174" s="5">
        <f>Y174+BB174</f>
        <v>151.52891881128818</v>
      </c>
      <c r="BG174" s="5">
        <f t="shared" si="52"/>
        <v>3.1336311325864301</v>
      </c>
      <c r="BH174" s="5">
        <f t="shared" si="53"/>
        <v>2.6290067876284695</v>
      </c>
      <c r="BI174" s="5">
        <f t="shared" si="54"/>
        <v>1.7579755576371099</v>
      </c>
      <c r="BJ174" s="5">
        <f t="shared" si="55"/>
        <v>0.69038018871182771</v>
      </c>
    </row>
    <row r="175" spans="13:62" x14ac:dyDescent="0.35">
      <c r="M175" s="2">
        <v>173</v>
      </c>
      <c r="N175" s="3">
        <v>44029</v>
      </c>
      <c r="O175" s="1">
        <v>95.988533000000004</v>
      </c>
      <c r="P175" s="1">
        <v>154.12851000000001</v>
      </c>
      <c r="R175" s="5">
        <f t="shared" si="45"/>
        <v>94.21128085944494</v>
      </c>
      <c r="S175" s="5">
        <f t="shared" si="46"/>
        <v>96.123684371188233</v>
      </c>
      <c r="T175" s="5">
        <f t="shared" si="47"/>
        <v>96.446024821616135</v>
      </c>
      <c r="U175" s="5">
        <f t="shared" si="48"/>
        <v>96.417562831819168</v>
      </c>
      <c r="V175" s="5"/>
      <c r="W175" s="5">
        <f>0.15*P174+(1-0.15)*W174</f>
        <v>146.00514856732866</v>
      </c>
      <c r="X175" s="5">
        <f>0.35*P174+(1-0.35)*X174</f>
        <v>148.58834507636595</v>
      </c>
      <c r="Y175" s="5">
        <f>0.55*P174+(1-0.55)*Y174</f>
        <v>150.48776374099691</v>
      </c>
      <c r="Z175" s="5">
        <f>0.75*P174+(1-0.75)*Z174</f>
        <v>151.6196828054926</v>
      </c>
      <c r="AB175" s="5">
        <f t="shared" si="37"/>
        <v>1.8515254739387081</v>
      </c>
      <c r="AC175" s="5">
        <f t="shared" si="38"/>
        <v>0.14079949652759988</v>
      </c>
      <c r="AD175" s="5">
        <f t="shared" si="39"/>
        <v>0.47661091103051939</v>
      </c>
      <c r="AE175" s="5">
        <f t="shared" si="40"/>
        <v>0.44695946318834201</v>
      </c>
      <c r="AG175" s="5">
        <f>ABS((P175-W175)/P175)*100</f>
        <v>5.2705118817221708</v>
      </c>
      <c r="AH175" s="5">
        <f>ABS((P175-X175)/P175)*100</f>
        <v>3.594510141980904</v>
      </c>
      <c r="AI175" s="5">
        <f>ABS((P175-Y175)/P175)*100</f>
        <v>2.3621497794295778</v>
      </c>
      <c r="AJ175" s="5">
        <f>ABS((P175-Z175)/P175)*100</f>
        <v>1.6277502419944265</v>
      </c>
      <c r="AL175" s="5">
        <f>0.15*(T175-T174)+(1-0.15)*AL174</f>
        <v>0.46091594219780568</v>
      </c>
      <c r="AM175" s="5">
        <f>0.25*(T175-T174)+(1-0.25)*AM174</f>
        <v>0.39570480776451022</v>
      </c>
      <c r="AN175" s="5">
        <f>0.45*(T175-T174)+(1-0.45)*AN174</f>
        <v>0.22034571982623294</v>
      </c>
      <c r="AO175" s="5">
        <f>0.85*(T175-T174)+(1-0.85)*AO174</f>
        <v>-0.16131306817207419</v>
      </c>
      <c r="AP175" s="5">
        <f>T175+AL175</f>
        <v>96.906940763813935</v>
      </c>
      <c r="AQ175" s="5">
        <f t="shared" si="41"/>
        <v>96.841729629380652</v>
      </c>
      <c r="AR175" s="5">
        <f t="shared" si="42"/>
        <v>96.666370541442362</v>
      </c>
      <c r="AS175" s="5">
        <f t="shared" si="43"/>
        <v>96.284711753444057</v>
      </c>
      <c r="AT175" s="5">
        <f t="shared" si="49"/>
        <v>0.91840776381393141</v>
      </c>
      <c r="AU175" s="5">
        <f t="shared" si="50"/>
        <v>57.286780370619354</v>
      </c>
      <c r="AV175" s="5">
        <f t="shared" si="51"/>
        <v>96.666370541442362</v>
      </c>
      <c r="AW175" s="5">
        <f t="shared" si="44"/>
        <v>2.0734308939991166</v>
      </c>
      <c r="AY175" s="5">
        <f>0.15*(Y175-Y174)+(1-0.15)*AY174</f>
        <v>0.92453937956906929</v>
      </c>
      <c r="AZ175" s="5">
        <f>0.25*(Y175-Y174)+(1-0.25)*AZ174</f>
        <v>1.4432172256458609</v>
      </c>
      <c r="BA175" s="5">
        <f>0.45*(Y175-Y174)+(1-0.45)*BA174</f>
        <v>2.10177870786619</v>
      </c>
      <c r="BB175" s="5">
        <f>0.85*(Y175-Y174)+(1-0.85)*BB174</f>
        <v>2.2724941326585859</v>
      </c>
      <c r="BC175" s="5">
        <f>Y175+AY175</f>
        <v>151.41230312056598</v>
      </c>
      <c r="BD175" s="5">
        <f>Y175+AZ175</f>
        <v>151.93098096664278</v>
      </c>
      <c r="BE175" s="5">
        <f>Y175+BA175</f>
        <v>152.58954244886311</v>
      </c>
      <c r="BF175" s="5">
        <f>Y175+BB175</f>
        <v>152.76025787365549</v>
      </c>
      <c r="BG175" s="5">
        <f t="shared" si="52"/>
        <v>2.7162068794340257</v>
      </c>
      <c r="BH175" s="5">
        <f t="shared" si="53"/>
        <v>2.1975290333572275</v>
      </c>
      <c r="BI175" s="5">
        <f t="shared" si="54"/>
        <v>1.5389675511368921</v>
      </c>
      <c r="BJ175" s="5">
        <f t="shared" si="55"/>
        <v>1.3682521263445153</v>
      </c>
    </row>
    <row r="176" spans="13:62" x14ac:dyDescent="0.35">
      <c r="M176" s="2">
        <v>174</v>
      </c>
      <c r="N176" s="3">
        <v>44032</v>
      </c>
      <c r="O176" s="1">
        <v>98.011391000000003</v>
      </c>
      <c r="P176" s="1">
        <v>152.527557</v>
      </c>
      <c r="R176" s="5">
        <f t="shared" si="45"/>
        <v>94.477868680528204</v>
      </c>
      <c r="S176" s="5">
        <f t="shared" si="46"/>
        <v>96.076381391272349</v>
      </c>
      <c r="T176" s="5">
        <f t="shared" si="47"/>
        <v>96.194404319727269</v>
      </c>
      <c r="U176" s="5">
        <f t="shared" si="48"/>
        <v>96.095790457954791</v>
      </c>
      <c r="V176" s="5"/>
      <c r="W176" s="5">
        <f>0.15*P175+(1-0.15)*W175</f>
        <v>147.22365278222935</v>
      </c>
      <c r="X176" s="5">
        <f>0.35*P175+(1-0.35)*X175</f>
        <v>150.52740279963788</v>
      </c>
      <c r="Y176" s="5">
        <f>0.55*P175+(1-0.55)*Y175</f>
        <v>152.49017418344863</v>
      </c>
      <c r="Z176" s="5">
        <f>0.75*P175+(1-0.75)*Z175</f>
        <v>153.50130320137316</v>
      </c>
      <c r="AB176" s="5">
        <f t="shared" si="37"/>
        <v>3.6052159686946994</v>
      </c>
      <c r="AC176" s="5">
        <f t="shared" si="38"/>
        <v>1.9742701220592347</v>
      </c>
      <c r="AD176" s="5">
        <f t="shared" si="39"/>
        <v>1.8538525591099242</v>
      </c>
      <c r="AE176" s="5">
        <f t="shared" si="40"/>
        <v>1.9544672537554455</v>
      </c>
      <c r="AG176" s="5">
        <f>ABS((P176-W176)/P176)*100</f>
        <v>3.4773416175351519</v>
      </c>
      <c r="AH176" s="5">
        <f>ABS((P176-X176)/P176)*100</f>
        <v>1.3113395636187357</v>
      </c>
      <c r="AI176" s="5">
        <f>ABS((P176-Y176)/P176)*100</f>
        <v>2.4508893531528492E-2</v>
      </c>
      <c r="AJ176" s="5">
        <f>ABS((P176-Z176)/P176)*100</f>
        <v>0.63840673811694248</v>
      </c>
      <c r="AL176" s="5">
        <f>0.15*(T176-T175)+(1-0.15)*AL175</f>
        <v>0.35403547558480503</v>
      </c>
      <c r="AM176" s="5">
        <f>0.25*(T176-T175)+(1-0.25)*AM175</f>
        <v>0.23387348035116629</v>
      </c>
      <c r="AN176" s="5">
        <f>0.45*(T176-T175)+(1-0.45)*AN175</f>
        <v>7.9609200544386305E-3</v>
      </c>
      <c r="AO176" s="5">
        <f>0.85*(T176-T175)+(1-0.85)*AO175</f>
        <v>-0.23807438683134682</v>
      </c>
      <c r="AP176" s="5">
        <f>T176+AL176</f>
        <v>96.548439795312078</v>
      </c>
      <c r="AQ176" s="5">
        <f t="shared" si="41"/>
        <v>96.428277800078433</v>
      </c>
      <c r="AR176" s="5">
        <f t="shared" si="42"/>
        <v>96.202365239781713</v>
      </c>
      <c r="AS176" s="5">
        <f t="shared" si="43"/>
        <v>95.956329932895926</v>
      </c>
      <c r="AT176" s="5">
        <f t="shared" si="49"/>
        <v>1.4629512046879256</v>
      </c>
      <c r="AU176" s="5">
        <f t="shared" si="50"/>
        <v>56.099279199921568</v>
      </c>
      <c r="AV176" s="5">
        <f t="shared" si="51"/>
        <v>96.202365239781713</v>
      </c>
      <c r="AW176" s="5">
        <f t="shared" si="44"/>
        <v>1.4784612523677225</v>
      </c>
      <c r="AY176" s="5">
        <f>0.15*(Y176-Y175)+(1-0.15)*AY175</f>
        <v>1.0862200390014667</v>
      </c>
      <c r="AZ176" s="5">
        <f>0.25*(Y176-Y175)+(1-0.25)*AZ175</f>
        <v>1.5830155298473254</v>
      </c>
      <c r="BA176" s="5">
        <f>0.45*(Y176-Y175)+(1-0.45)*BA175</f>
        <v>2.0570629884296783</v>
      </c>
      <c r="BB176" s="5">
        <f>0.85*(Y176-Y175)+(1-0.85)*BB175</f>
        <v>2.0429229959827491</v>
      </c>
      <c r="BC176" s="5">
        <f>Y176+AY176</f>
        <v>153.57639422245009</v>
      </c>
      <c r="BD176" s="5">
        <f>Y176+AZ176</f>
        <v>154.07318971329596</v>
      </c>
      <c r="BE176" s="5">
        <f>Y176+BA176</f>
        <v>154.54723717187832</v>
      </c>
      <c r="BF176" s="5">
        <f>Y176+BB176</f>
        <v>154.53309717943137</v>
      </c>
      <c r="BG176" s="5">
        <f t="shared" si="52"/>
        <v>1.0488372224500893</v>
      </c>
      <c r="BH176" s="5">
        <f t="shared" si="53"/>
        <v>1.5456327132959586</v>
      </c>
      <c r="BI176" s="5">
        <f t="shared" si="54"/>
        <v>2.0196801718783206</v>
      </c>
      <c r="BJ176" s="5">
        <f t="shared" si="55"/>
        <v>2.0055401794313639</v>
      </c>
    </row>
    <row r="177" spans="13:62" x14ac:dyDescent="0.35">
      <c r="M177" s="2">
        <v>175</v>
      </c>
      <c r="N177" s="3">
        <v>44033</v>
      </c>
      <c r="O177" s="1">
        <v>96.658660999999995</v>
      </c>
      <c r="P177" s="1">
        <v>153.889847</v>
      </c>
      <c r="R177" s="5">
        <f t="shared" si="45"/>
        <v>95.007897028448966</v>
      </c>
      <c r="S177" s="5">
        <f t="shared" si="46"/>
        <v>96.753634754327038</v>
      </c>
      <c r="T177" s="5">
        <f t="shared" si="47"/>
        <v>97.193746993877284</v>
      </c>
      <c r="U177" s="5">
        <f t="shared" si="48"/>
        <v>97.532490864488693</v>
      </c>
      <c r="V177" s="5"/>
      <c r="W177" s="5">
        <f>0.15*P176+(1-0.15)*W176</f>
        <v>148.01923841489494</v>
      </c>
      <c r="X177" s="5">
        <f>0.35*P176+(1-0.35)*X176</f>
        <v>151.22745676976461</v>
      </c>
      <c r="Y177" s="5">
        <f>0.55*P176+(1-0.55)*Y176</f>
        <v>152.5107347325519</v>
      </c>
      <c r="Z177" s="5">
        <f>0.75*P176+(1-0.75)*Z176</f>
        <v>152.77099355034329</v>
      </c>
      <c r="AB177" s="5">
        <f t="shared" si="37"/>
        <v>1.7078283047507037</v>
      </c>
      <c r="AC177" s="5">
        <f t="shared" si="38"/>
        <v>9.8256848733961899E-2</v>
      </c>
      <c r="AD177" s="5">
        <f t="shared" si="39"/>
        <v>0.55358308126913591</v>
      </c>
      <c r="AE177" s="5">
        <f t="shared" si="40"/>
        <v>0.90403679861517861</v>
      </c>
      <c r="AG177" s="5">
        <f>ABS((P177-W177)/P177)*100</f>
        <v>3.8148121526854597</v>
      </c>
      <c r="AH177" s="5">
        <f>ABS((P177-X177)/P177)*100</f>
        <v>1.7300623024437658</v>
      </c>
      <c r="AI177" s="5">
        <f>ABS((P177-Y177)/P177)*100</f>
        <v>0.89616845707053516</v>
      </c>
      <c r="AJ177" s="5">
        <f>ABS((P177-Z177)/P177)*100</f>
        <v>0.72704825657323036</v>
      </c>
      <c r="AL177" s="5">
        <f>0.15*(T177-T176)+(1-0.15)*AL176</f>
        <v>0.45083155536958641</v>
      </c>
      <c r="AM177" s="5">
        <f>0.25*(T177-T176)+(1-0.25)*AM176</f>
        <v>0.42524077880087829</v>
      </c>
      <c r="AN177" s="5">
        <f>0.45*(T177-T176)+(1-0.45)*AN176</f>
        <v>0.45408270939744771</v>
      </c>
      <c r="AO177" s="5">
        <f>0.85*(T177-T176)+(1-0.85)*AO176</f>
        <v>0.81373011500281023</v>
      </c>
      <c r="AP177" s="5">
        <f>T177+AL177</f>
        <v>97.644578549246873</v>
      </c>
      <c r="AQ177" s="5">
        <f t="shared" si="41"/>
        <v>97.618987772678167</v>
      </c>
      <c r="AR177" s="5">
        <f t="shared" si="42"/>
        <v>97.647829703274738</v>
      </c>
      <c r="AS177" s="5">
        <f t="shared" si="43"/>
        <v>98.007477108880096</v>
      </c>
      <c r="AT177" s="5">
        <f t="shared" si="49"/>
        <v>0.98591754924687791</v>
      </c>
      <c r="AU177" s="5">
        <f t="shared" si="50"/>
        <v>56.270859227321836</v>
      </c>
      <c r="AV177" s="5">
        <f t="shared" si="51"/>
        <v>97.647829703274738</v>
      </c>
      <c r="AW177" s="5">
        <f t="shared" si="44"/>
        <v>2.9995800804311301</v>
      </c>
      <c r="AY177" s="5">
        <f>0.15*(Y177-Y176)+(1-0.15)*AY176</f>
        <v>0.92637111551673645</v>
      </c>
      <c r="AZ177" s="5">
        <f>0.25*(Y177-Y176)+(1-0.25)*AZ176</f>
        <v>1.1924017846613104</v>
      </c>
      <c r="BA177" s="5">
        <f>0.45*(Y177-Y176)+(1-0.45)*BA176</f>
        <v>1.1406368907327926</v>
      </c>
      <c r="BB177" s="5">
        <f>0.85*(Y177-Y176)+(1-0.85)*BB176</f>
        <v>0.32391491613518819</v>
      </c>
      <c r="BC177" s="5">
        <f>Y177+AY177</f>
        <v>153.43710584806863</v>
      </c>
      <c r="BD177" s="5">
        <f>Y177+AZ177</f>
        <v>153.70313651721321</v>
      </c>
      <c r="BE177" s="5">
        <f>Y177+BA177</f>
        <v>153.65137162328469</v>
      </c>
      <c r="BF177" s="5">
        <f>Y177+BB177</f>
        <v>152.83464964868708</v>
      </c>
      <c r="BG177" s="5">
        <f t="shared" si="52"/>
        <v>0.45274115193137732</v>
      </c>
      <c r="BH177" s="5">
        <f t="shared" si="53"/>
        <v>0.18671048278679336</v>
      </c>
      <c r="BI177" s="5">
        <f t="shared" si="54"/>
        <v>0.23847537671531427</v>
      </c>
      <c r="BJ177" s="5">
        <f t="shared" si="55"/>
        <v>1.0551973513129269</v>
      </c>
    </row>
    <row r="178" spans="13:62" x14ac:dyDescent="0.35">
      <c r="M178" s="2">
        <v>176</v>
      </c>
      <c r="N178" s="3">
        <v>44034</v>
      </c>
      <c r="O178" s="1">
        <v>96.930199000000002</v>
      </c>
      <c r="P178" s="1">
        <v>153.740692</v>
      </c>
      <c r="R178" s="5">
        <f t="shared" si="45"/>
        <v>95.255511624181622</v>
      </c>
      <c r="S178" s="5">
        <f t="shared" si="46"/>
        <v>96.720393940312562</v>
      </c>
      <c r="T178" s="5">
        <f t="shared" si="47"/>
        <v>96.899449697244762</v>
      </c>
      <c r="U178" s="5">
        <f t="shared" si="48"/>
        <v>96.87711846612217</v>
      </c>
      <c r="V178" s="5"/>
      <c r="W178" s="5">
        <f>0.15*P177+(1-0.15)*W177</f>
        <v>148.8998297026607</v>
      </c>
      <c r="X178" s="5">
        <f>0.35*P177+(1-0.35)*X177</f>
        <v>152.15929335034699</v>
      </c>
      <c r="Y178" s="5">
        <f>0.55*P177+(1-0.55)*Y177</f>
        <v>153.26924647964836</v>
      </c>
      <c r="Z178" s="5">
        <f>0.75*P177+(1-0.75)*Z177</f>
        <v>153.61013363758582</v>
      </c>
      <c r="AB178" s="5">
        <f t="shared" si="37"/>
        <v>1.7277250981589127</v>
      </c>
      <c r="AC178" s="5">
        <f t="shared" si="38"/>
        <v>0.21644963267581874</v>
      </c>
      <c r="AD178" s="5">
        <f t="shared" si="39"/>
        <v>3.1723140024957221E-2</v>
      </c>
      <c r="AE178" s="5">
        <f t="shared" si="40"/>
        <v>5.4761606212974122E-2</v>
      </c>
      <c r="AG178" s="5">
        <f>ABS((P178-W178)/P178)*100</f>
        <v>3.1487189464057437</v>
      </c>
      <c r="AH178" s="5">
        <f>ABS((P178-X178)/P178)*100</f>
        <v>1.0286142393927893</v>
      </c>
      <c r="AI178" s="5">
        <f>ABS((P178-Y178)/P178)*100</f>
        <v>0.30664979727789737</v>
      </c>
      <c r="AJ178" s="5">
        <f>ABS((P178-Z178)/P178)*100</f>
        <v>8.4921149186825251E-2</v>
      </c>
      <c r="AL178" s="5">
        <f>0.15*(T178-T177)+(1-0.15)*AL177</f>
        <v>0.33906222756927024</v>
      </c>
      <c r="AM178" s="5">
        <f>0.25*(T178-T177)+(1-0.25)*AM177</f>
        <v>0.24535625994252835</v>
      </c>
      <c r="AN178" s="5">
        <f>0.45*(T178-T177)+(1-0.45)*AN177</f>
        <v>0.1173117066839616</v>
      </c>
      <c r="AO178" s="5">
        <f>0.85*(T178-T177)+(1-0.85)*AO177</f>
        <v>-0.12809318488722168</v>
      </c>
      <c r="AP178" s="5">
        <f>T178+AL178</f>
        <v>97.238511924814034</v>
      </c>
      <c r="AQ178" s="5">
        <f t="shared" si="41"/>
        <v>97.144805957187288</v>
      </c>
      <c r="AR178" s="5">
        <f t="shared" si="42"/>
        <v>97.016761403928726</v>
      </c>
      <c r="AS178" s="5">
        <f t="shared" si="43"/>
        <v>96.771356512357542</v>
      </c>
      <c r="AT178" s="5">
        <f t="shared" si="49"/>
        <v>0.30831292481403239</v>
      </c>
      <c r="AU178" s="5">
        <f t="shared" si="50"/>
        <v>56.595886042812708</v>
      </c>
      <c r="AV178" s="5">
        <f t="shared" si="51"/>
        <v>97.016761403928726</v>
      </c>
      <c r="AW178" s="5">
        <f t="shared" si="44"/>
        <v>1.5158448881759199</v>
      </c>
      <c r="AY178" s="5">
        <f>0.15*(Y178-Y177)+(1-0.15)*AY177</f>
        <v>0.90119221025369545</v>
      </c>
      <c r="AZ178" s="5">
        <f>0.25*(Y178-Y177)+(1-0.25)*AZ177</f>
        <v>1.0839292752700986</v>
      </c>
      <c r="BA178" s="5">
        <f>0.45*(Y178-Y177)+(1-0.45)*BA177</f>
        <v>0.96868057609644453</v>
      </c>
      <c r="BB178" s="5">
        <f>0.85*(Y178-Y177)+(1-0.85)*BB177</f>
        <v>0.69332222245227204</v>
      </c>
      <c r="BC178" s="5">
        <f>Y178+AY178</f>
        <v>154.17043868990206</v>
      </c>
      <c r="BD178" s="5">
        <f>Y178+AZ178</f>
        <v>154.35317575491845</v>
      </c>
      <c r="BE178" s="5">
        <f>Y178+BA178</f>
        <v>154.23792705574479</v>
      </c>
      <c r="BF178" s="5">
        <f>Y178+BB178</f>
        <v>153.96256870210064</v>
      </c>
      <c r="BG178" s="5">
        <f t="shared" si="52"/>
        <v>0.42974668990206055</v>
      </c>
      <c r="BH178" s="5">
        <f t="shared" si="53"/>
        <v>0.61248375491845763</v>
      </c>
      <c r="BI178" s="5">
        <f t="shared" si="54"/>
        <v>0.49723505574479532</v>
      </c>
      <c r="BJ178" s="5">
        <f t="shared" si="55"/>
        <v>0.22187670210064425</v>
      </c>
    </row>
    <row r="179" spans="13:62" x14ac:dyDescent="0.35">
      <c r="M179" s="2">
        <v>177</v>
      </c>
      <c r="N179" s="3">
        <v>44035</v>
      </c>
      <c r="O179" s="1">
        <v>92.518287999999998</v>
      </c>
      <c r="P179" s="1">
        <v>152.86563100000001</v>
      </c>
      <c r="R179" s="5">
        <f t="shared" si="45"/>
        <v>95.506714730554364</v>
      </c>
      <c r="S179" s="5">
        <f t="shared" si="46"/>
        <v>96.793825711203169</v>
      </c>
      <c r="T179" s="5">
        <f t="shared" si="47"/>
        <v>96.916361813760147</v>
      </c>
      <c r="U179" s="5">
        <f t="shared" si="48"/>
        <v>96.91692886653054</v>
      </c>
      <c r="V179" s="5"/>
      <c r="W179" s="5">
        <f>0.15*P178+(1-0.15)*W178</f>
        <v>149.62595904726157</v>
      </c>
      <c r="X179" s="5">
        <f>0.35*P178+(1-0.35)*X178</f>
        <v>152.71278287772554</v>
      </c>
      <c r="Y179" s="5">
        <f>0.55*P178+(1-0.55)*Y178</f>
        <v>153.52854151584177</v>
      </c>
      <c r="Z179" s="5">
        <f>0.75*P178+(1-0.75)*Z178</f>
        <v>153.70805240939646</v>
      </c>
      <c r="AB179" s="5">
        <f t="shared" si="37"/>
        <v>3.2300929850262317</v>
      </c>
      <c r="AC179" s="5">
        <f t="shared" si="38"/>
        <v>4.6212892646729165</v>
      </c>
      <c r="AD179" s="5">
        <f t="shared" si="39"/>
        <v>4.753734541391589</v>
      </c>
      <c r="AE179" s="5">
        <f t="shared" si="40"/>
        <v>4.7543474502365868</v>
      </c>
      <c r="AG179" s="5">
        <f>ABS((P179-W179)/P179)*100</f>
        <v>2.1192938736755247</v>
      </c>
      <c r="AH179" s="5">
        <f>ABS((P179-X179)/P179)*100</f>
        <v>9.9988546329595224E-2</v>
      </c>
      <c r="AI179" s="5">
        <f>ABS((P179-Y179)/P179)*100</f>
        <v>0.43365569585864505</v>
      </c>
      <c r="AJ179" s="5">
        <f>ABS((P179-Z179)/P179)*100</f>
        <v>0.55108620811989506</v>
      </c>
      <c r="AL179" s="5">
        <f>0.15*(T179-T178)+(1-0.15)*AL178</f>
        <v>0.2907397109111875</v>
      </c>
      <c r="AM179" s="5">
        <f>0.25*(T179-T178)+(1-0.25)*AM178</f>
        <v>0.18824522408574262</v>
      </c>
      <c r="AN179" s="5">
        <f>0.45*(T179-T178)+(1-0.45)*AN178</f>
        <v>7.2131891108102295E-2</v>
      </c>
      <c r="AO179" s="5">
        <f>0.85*(T179-T178)+(1-0.85)*AO178</f>
        <v>-4.8386786950056822E-3</v>
      </c>
      <c r="AP179" s="5">
        <f>T179+AL179</f>
        <v>97.20710152467133</v>
      </c>
      <c r="AQ179" s="5">
        <f t="shared" si="41"/>
        <v>97.104607037845895</v>
      </c>
      <c r="AR179" s="5">
        <f t="shared" si="42"/>
        <v>96.988493704868247</v>
      </c>
      <c r="AS179" s="5">
        <f t="shared" si="43"/>
        <v>96.911523135065138</v>
      </c>
      <c r="AT179" s="5">
        <f t="shared" si="49"/>
        <v>4.6888135246713318</v>
      </c>
      <c r="AU179" s="5">
        <f t="shared" si="50"/>
        <v>55.761023962154113</v>
      </c>
      <c r="AV179" s="5">
        <f t="shared" si="51"/>
        <v>96.988493704868247</v>
      </c>
      <c r="AW179" s="5">
        <f t="shared" si="44"/>
        <v>1.4048084045107743</v>
      </c>
      <c r="AY179" s="5">
        <f>0.15*(Y179-Y178)+(1-0.15)*AY178</f>
        <v>0.80490763414465216</v>
      </c>
      <c r="AZ179" s="5">
        <f>0.25*(Y179-Y178)+(1-0.25)*AZ178</f>
        <v>0.87777071550092578</v>
      </c>
      <c r="BA179" s="5">
        <f>0.45*(Y179-Y178)+(1-0.45)*BA178</f>
        <v>0.64945708314007777</v>
      </c>
      <c r="BB179" s="5">
        <f>0.85*(Y179-Y178)+(1-0.85)*BB178</f>
        <v>0.32439911413223693</v>
      </c>
      <c r="BC179" s="5">
        <f>Y179+AY179</f>
        <v>154.33344914998642</v>
      </c>
      <c r="BD179" s="5">
        <f>Y179+AZ179</f>
        <v>154.4063122313427</v>
      </c>
      <c r="BE179" s="5">
        <f>Y179+BA179</f>
        <v>154.17799859898184</v>
      </c>
      <c r="BF179" s="5">
        <f>Y179+BB179</f>
        <v>153.852940629974</v>
      </c>
      <c r="BG179" s="5">
        <f t="shared" si="52"/>
        <v>1.4678181499864138</v>
      </c>
      <c r="BH179" s="5">
        <f t="shared" si="53"/>
        <v>1.5406812313426883</v>
      </c>
      <c r="BI179" s="5">
        <f t="shared" si="54"/>
        <v>1.3123675989818366</v>
      </c>
      <c r="BJ179" s="5">
        <f t="shared" si="55"/>
        <v>0.98730962997399274</v>
      </c>
    </row>
    <row r="180" spans="13:62" x14ac:dyDescent="0.35">
      <c r="M180" s="2">
        <v>178</v>
      </c>
      <c r="N180" s="3">
        <v>44036</v>
      </c>
      <c r="O180" s="1">
        <v>92.289092999999994</v>
      </c>
      <c r="P180" s="1">
        <v>148.58981299999999</v>
      </c>
      <c r="R180" s="5">
        <f t="shared" si="45"/>
        <v>95.058450720971209</v>
      </c>
      <c r="S180" s="5">
        <f t="shared" si="46"/>
        <v>95.297387512282057</v>
      </c>
      <c r="T180" s="5">
        <f t="shared" si="47"/>
        <v>94.497421216192066</v>
      </c>
      <c r="U180" s="5">
        <f t="shared" si="48"/>
        <v>93.617948216632641</v>
      </c>
      <c r="V180" s="5"/>
      <c r="W180" s="5">
        <f>0.15*P179+(1-0.15)*W179</f>
        <v>150.11190984017233</v>
      </c>
      <c r="X180" s="5">
        <f>0.35*P179+(1-0.35)*X179</f>
        <v>152.7662797205216</v>
      </c>
      <c r="Y180" s="5">
        <f>0.55*P179+(1-0.55)*Y179</f>
        <v>153.16394073212882</v>
      </c>
      <c r="Z180" s="5">
        <f>0.75*P179+(1-0.75)*Z179</f>
        <v>153.07623635234913</v>
      </c>
      <c r="AB180" s="5">
        <f t="shared" si="37"/>
        <v>3.0007421580914384</v>
      </c>
      <c r="AC180" s="5">
        <f t="shared" si="38"/>
        <v>3.2596425151583874</v>
      </c>
      <c r="AD180" s="5">
        <f t="shared" si="39"/>
        <v>2.3928377063929673</v>
      </c>
      <c r="AE180" s="5">
        <f t="shared" si="40"/>
        <v>1.4398832770332317</v>
      </c>
      <c r="AG180" s="5">
        <f>ABS((P180-W180)/P180)*100</f>
        <v>1.0243615019371068</v>
      </c>
      <c r="AH180" s="5">
        <f>ABS((P180-X180)/P180)*100</f>
        <v>2.8107355653793058</v>
      </c>
      <c r="AI180" s="5">
        <f>ABS((P180-Y180)/P180)*100</f>
        <v>3.0783588994279372</v>
      </c>
      <c r="AJ180" s="5">
        <f>ABS((P180-Z180)/P180)*100</f>
        <v>3.0193344091153378</v>
      </c>
      <c r="AL180" s="5">
        <f>0.15*(T180-T179)+(1-0.15)*AL179</f>
        <v>-0.1157123353607028</v>
      </c>
      <c r="AM180" s="5">
        <f>0.25*(T180-T179)+(1-0.25)*AM179</f>
        <v>-0.46355123132771336</v>
      </c>
      <c r="AN180" s="5">
        <f>0.45*(T180-T179)+(1-0.45)*AN179</f>
        <v>-1.0488507287961804</v>
      </c>
      <c r="AO180" s="5">
        <f>0.85*(T180-T179)+(1-0.85)*AO179</f>
        <v>-2.0568253097371199</v>
      </c>
      <c r="AP180" s="5">
        <f>T180+AL180</f>
        <v>94.381708880831368</v>
      </c>
      <c r="AQ180" s="5">
        <f t="shared" si="41"/>
        <v>94.033869984864353</v>
      </c>
      <c r="AR180" s="5">
        <f t="shared" si="42"/>
        <v>93.448570487395884</v>
      </c>
      <c r="AS180" s="5">
        <f t="shared" si="43"/>
        <v>92.440595906454945</v>
      </c>
      <c r="AT180" s="5">
        <f t="shared" si="49"/>
        <v>2.0926158808313744</v>
      </c>
      <c r="AU180" s="5">
        <f t="shared" si="50"/>
        <v>54.555943015135639</v>
      </c>
      <c r="AV180" s="5">
        <f t="shared" si="51"/>
        <v>93.448570487395884</v>
      </c>
      <c r="AW180" s="5">
        <f t="shared" si="44"/>
        <v>2.6178548145162637</v>
      </c>
      <c r="AY180" s="5">
        <f>0.15*(Y180-Y179)+(1-0.15)*AY179</f>
        <v>0.62948137146601268</v>
      </c>
      <c r="AZ180" s="5">
        <f>0.25*(Y180-Y179)+(1-0.25)*AZ179</f>
        <v>0.56717784069745814</v>
      </c>
      <c r="BA180" s="5">
        <f>0.45*(Y180-Y179)+(1-0.45)*BA179</f>
        <v>0.19313104305621773</v>
      </c>
      <c r="BB180" s="5">
        <f>0.85*(Y180-Y179)+(1-0.85)*BB179</f>
        <v>-0.26125079903616732</v>
      </c>
      <c r="BC180" s="5">
        <f>Y180+AY180</f>
        <v>153.79342210359482</v>
      </c>
      <c r="BD180" s="5">
        <f>Y180+AZ180</f>
        <v>153.73111857282629</v>
      </c>
      <c r="BE180" s="5">
        <f>Y180+BA180</f>
        <v>153.35707177518503</v>
      </c>
      <c r="BF180" s="5">
        <f>Y180+BB180</f>
        <v>152.90268993309266</v>
      </c>
      <c r="BG180" s="5">
        <f t="shared" si="52"/>
        <v>5.2036091035948289</v>
      </c>
      <c r="BH180" s="5">
        <f t="shared" si="53"/>
        <v>5.1413055728262975</v>
      </c>
      <c r="BI180" s="5">
        <f t="shared" si="54"/>
        <v>4.7672587751850415</v>
      </c>
      <c r="BJ180" s="5">
        <f t="shared" si="55"/>
        <v>4.3128769330926673</v>
      </c>
    </row>
    <row r="181" spans="13:62" x14ac:dyDescent="0.35">
      <c r="M181" s="2">
        <v>179</v>
      </c>
      <c r="N181" s="3">
        <v>44039</v>
      </c>
      <c r="O181" s="1">
        <v>94.476364000000004</v>
      </c>
      <c r="P181" s="1">
        <v>149.91233800000001</v>
      </c>
      <c r="R181" s="5">
        <f t="shared" si="45"/>
        <v>94.643047062825516</v>
      </c>
      <c r="S181" s="5">
        <f t="shared" si="46"/>
        <v>94.244484432983342</v>
      </c>
      <c r="T181" s="5">
        <f t="shared" si="47"/>
        <v>93.282840697286431</v>
      </c>
      <c r="U181" s="5">
        <f t="shared" si="48"/>
        <v>92.621306804158166</v>
      </c>
      <c r="V181" s="5"/>
      <c r="W181" s="5">
        <f>0.15*P180+(1-0.15)*W180</f>
        <v>149.88359531414648</v>
      </c>
      <c r="X181" s="5">
        <f>0.35*P180+(1-0.35)*X180</f>
        <v>151.30451636833902</v>
      </c>
      <c r="Y181" s="5">
        <f>0.55*P180+(1-0.55)*Y180</f>
        <v>150.64817047945797</v>
      </c>
      <c r="Z181" s="5">
        <f>0.75*P180+(1-0.75)*Z180</f>
        <v>149.71141883808727</v>
      </c>
      <c r="AB181" s="5">
        <f t="shared" si="37"/>
        <v>0.17642832108305173</v>
      </c>
      <c r="AC181" s="5">
        <f t="shared" si="38"/>
        <v>0.24543659090930109</v>
      </c>
      <c r="AD181" s="5">
        <f t="shared" si="39"/>
        <v>1.2633035948690534</v>
      </c>
      <c r="AE181" s="5">
        <f t="shared" si="40"/>
        <v>1.9635145948692916</v>
      </c>
      <c r="AG181" s="5">
        <f>ABS((P181-W181)/P181)*100</f>
        <v>1.9172995523243586E-2</v>
      </c>
      <c r="AH181" s="5">
        <f>ABS((P181-X181)/P181)*100</f>
        <v>0.9286616344673494</v>
      </c>
      <c r="AI181" s="5">
        <f>ABS((P181-Y181)/P181)*100</f>
        <v>0.4908418408216465</v>
      </c>
      <c r="AJ181" s="5">
        <f>ABS((P181-Z181)/P181)*100</f>
        <v>0.1340244336078171</v>
      </c>
      <c r="AL181" s="5">
        <f>0.15*(T181-T180)+(1-0.15)*AL180</f>
        <v>-0.28054256289244256</v>
      </c>
      <c r="AM181" s="5">
        <f>0.25*(T181-T180)+(1-0.25)*AM180</f>
        <v>-0.65130855322219372</v>
      </c>
      <c r="AN181" s="5">
        <f>0.45*(T181-T180)+(1-0.45)*AN180</f>
        <v>-1.123429134345435</v>
      </c>
      <c r="AO181" s="5">
        <f>0.85*(T181-T180)+(1-0.85)*AO180</f>
        <v>-1.3409172375303575</v>
      </c>
      <c r="AP181" s="5">
        <f>T181+AL181</f>
        <v>93.002298134393982</v>
      </c>
      <c r="AQ181" s="5">
        <f t="shared" si="41"/>
        <v>92.631532144064238</v>
      </c>
      <c r="AR181" s="5">
        <f t="shared" si="42"/>
        <v>92.159411562941003</v>
      </c>
      <c r="AS181" s="5">
        <f t="shared" si="43"/>
        <v>91.941923459756069</v>
      </c>
      <c r="AT181" s="5">
        <f t="shared" si="49"/>
        <v>1.4740658656060219</v>
      </c>
      <c r="AU181" s="5">
        <f t="shared" si="50"/>
        <v>57.280805855935768</v>
      </c>
      <c r="AV181" s="5">
        <f t="shared" si="51"/>
        <v>92.159411562941003</v>
      </c>
      <c r="AW181" s="5">
        <f t="shared" si="44"/>
        <v>2.7011236030694477</v>
      </c>
      <c r="AY181" s="5">
        <f>0.15*(Y181-Y180)+(1-0.15)*AY180</f>
        <v>0.15769362784548363</v>
      </c>
      <c r="AZ181" s="5">
        <f>0.25*(Y181-Y180)+(1-0.25)*AZ180</f>
        <v>-0.20355918264461831</v>
      </c>
      <c r="BA181" s="5">
        <f>0.45*(Y181-Y180)+(1-0.45)*BA180</f>
        <v>-1.0258745400209617</v>
      </c>
      <c r="BB181" s="5">
        <f>0.85*(Y181-Y180)+(1-0.85)*BB180</f>
        <v>-2.1775923346256456</v>
      </c>
      <c r="BC181" s="5">
        <f>Y181+AY181</f>
        <v>150.80586410730345</v>
      </c>
      <c r="BD181" s="5">
        <f>Y181+AZ181</f>
        <v>150.44461129681335</v>
      </c>
      <c r="BE181" s="5">
        <f>Y181+BA181</f>
        <v>149.62229593943701</v>
      </c>
      <c r="BF181" s="5">
        <f>Y181+BB181</f>
        <v>148.47057814483233</v>
      </c>
      <c r="BG181" s="5">
        <f t="shared" si="52"/>
        <v>0.89352610730344395</v>
      </c>
      <c r="BH181" s="5">
        <f t="shared" si="53"/>
        <v>0.53227329681334368</v>
      </c>
      <c r="BI181" s="5">
        <f t="shared" si="54"/>
        <v>0.29004206056299608</v>
      </c>
      <c r="BJ181" s="5">
        <f t="shared" si="55"/>
        <v>1.4417598551676747</v>
      </c>
    </row>
    <row r="182" spans="13:62" x14ac:dyDescent="0.35">
      <c r="M182" s="2">
        <v>180</v>
      </c>
      <c r="N182" s="3">
        <v>44040</v>
      </c>
      <c r="O182" s="1">
        <v>92.924355000000006</v>
      </c>
      <c r="P182" s="1">
        <v>151.155304</v>
      </c>
      <c r="R182" s="5">
        <f t="shared" si="45"/>
        <v>94.618044603401685</v>
      </c>
      <c r="S182" s="5">
        <f t="shared" si="46"/>
        <v>94.325642281439173</v>
      </c>
      <c r="T182" s="5">
        <f t="shared" si="47"/>
        <v>93.939278513778902</v>
      </c>
      <c r="U182" s="5">
        <f t="shared" si="48"/>
        <v>94.012599701039548</v>
      </c>
      <c r="V182" s="5"/>
      <c r="W182" s="5">
        <f>0.15*P181+(1-0.15)*W181</f>
        <v>149.88790671702449</v>
      </c>
      <c r="X182" s="5">
        <f>0.35*P181+(1-0.35)*X181</f>
        <v>150.81725393942037</v>
      </c>
      <c r="Y182" s="5">
        <f>0.55*P181+(1-0.55)*Y181</f>
        <v>150.24346261575607</v>
      </c>
      <c r="Z182" s="5">
        <f>0.75*P181+(1-0.75)*Z181</f>
        <v>149.86210820952184</v>
      </c>
      <c r="AB182" s="5">
        <f t="shared" si="37"/>
        <v>1.8226541399202389</v>
      </c>
      <c r="AC182" s="5">
        <f t="shared" si="38"/>
        <v>1.5079870949216347</v>
      </c>
      <c r="AD182" s="5">
        <f t="shared" si="39"/>
        <v>1.0922039908470671</v>
      </c>
      <c r="AE182" s="5">
        <f t="shared" si="40"/>
        <v>1.1711081567792883</v>
      </c>
      <c r="AG182" s="5">
        <f>ABS((P182-W182)/P182)*100</f>
        <v>0.83847357614093965</v>
      </c>
      <c r="AH182" s="5">
        <f>ABS((P182-X182)/P182)*100</f>
        <v>0.22364419351082304</v>
      </c>
      <c r="AI182" s="5">
        <f>ABS((P182-Y182)/P182)*100</f>
        <v>0.60324802379672238</v>
      </c>
      <c r="AJ182" s="5">
        <f>ABS((P182-Z182)/P182)*100</f>
        <v>0.85554112641536251</v>
      </c>
      <c r="AL182" s="5">
        <f>0.15*(T182-T181)+(1-0.15)*AL181</f>
        <v>-0.13999550598470561</v>
      </c>
      <c r="AM182" s="5">
        <f>0.25*(T182-T181)+(1-0.25)*AM181</f>
        <v>-0.3243719607935277</v>
      </c>
      <c r="AN182" s="5">
        <f>0.45*(T182-T181)+(1-0.45)*AN181</f>
        <v>-0.32248900646837753</v>
      </c>
      <c r="AO182" s="5">
        <f>0.85*(T182-T181)+(1-0.85)*AO181</f>
        <v>0.35683455838904621</v>
      </c>
      <c r="AP182" s="5">
        <f>T182+AL182</f>
        <v>93.799283007794202</v>
      </c>
      <c r="AQ182" s="5">
        <f t="shared" si="41"/>
        <v>93.614906552985374</v>
      </c>
      <c r="AR182" s="5">
        <f t="shared" si="42"/>
        <v>93.616789507310529</v>
      </c>
      <c r="AS182" s="5">
        <f t="shared" si="43"/>
        <v>94.296113072167941</v>
      </c>
      <c r="AT182" s="5">
        <f t="shared" si="49"/>
        <v>0.87492800779419611</v>
      </c>
      <c r="AU182" s="5">
        <f t="shared" si="50"/>
        <v>57.540397447014627</v>
      </c>
      <c r="AV182" s="5">
        <f t="shared" si="51"/>
        <v>93.616789507310529</v>
      </c>
      <c r="AW182" s="5">
        <f t="shared" si="44"/>
        <v>0.32193153123374429</v>
      </c>
      <c r="AY182" s="5">
        <f>0.15*(Y182-Y181)+(1-0.15)*AY181</f>
        <v>7.3333404113375911E-2</v>
      </c>
      <c r="AZ182" s="5">
        <f>0.25*(Y182-Y181)+(1-0.25)*AZ181</f>
        <v>-0.25384635290893903</v>
      </c>
      <c r="BA182" s="5">
        <f>0.45*(Y182-Y181)+(1-0.45)*BA181</f>
        <v>-0.7463495356773846</v>
      </c>
      <c r="BB182" s="5">
        <f>0.85*(Y182-Y181)+(1-0.85)*BB181</f>
        <v>-0.67064053434046289</v>
      </c>
      <c r="BC182" s="5">
        <f>Y182+AY182</f>
        <v>150.31679601986946</v>
      </c>
      <c r="BD182" s="5">
        <f>Y182+AZ182</f>
        <v>149.98961626284714</v>
      </c>
      <c r="BE182" s="5">
        <f>Y182+BA182</f>
        <v>149.49711308007869</v>
      </c>
      <c r="BF182" s="5">
        <f>Y182+BB182</f>
        <v>149.57282208141561</v>
      </c>
      <c r="BG182" s="5">
        <f t="shared" si="52"/>
        <v>0.83850798013054373</v>
      </c>
      <c r="BH182" s="5">
        <f t="shared" si="53"/>
        <v>1.1656877371528651</v>
      </c>
      <c r="BI182" s="5">
        <f t="shared" si="54"/>
        <v>1.6581909199213101</v>
      </c>
      <c r="BJ182" s="5">
        <f t="shared" si="55"/>
        <v>1.5824819185843921</v>
      </c>
    </row>
    <row r="183" spans="13:62" x14ac:dyDescent="0.35">
      <c r="M183" s="2">
        <v>181</v>
      </c>
      <c r="N183" s="3">
        <v>44041</v>
      </c>
      <c r="O183" s="1">
        <v>94.705558999999994</v>
      </c>
      <c r="P183" s="1">
        <v>153.71086099999999</v>
      </c>
      <c r="R183" s="5">
        <f t="shared" si="45"/>
        <v>94.363991162891438</v>
      </c>
      <c r="S183" s="5">
        <f t="shared" si="46"/>
        <v>93.835191732935471</v>
      </c>
      <c r="T183" s="5">
        <f t="shared" si="47"/>
        <v>93.381070581200504</v>
      </c>
      <c r="U183" s="5">
        <f t="shared" si="48"/>
        <v>93.196416175259898</v>
      </c>
      <c r="V183" s="5"/>
      <c r="W183" s="5">
        <f>0.15*P182+(1-0.15)*W182</f>
        <v>150.0780163094708</v>
      </c>
      <c r="X183" s="5">
        <f>0.35*P182+(1-0.35)*X182</f>
        <v>150.93557146062324</v>
      </c>
      <c r="Y183" s="5">
        <f>0.55*P182+(1-0.55)*Y182</f>
        <v>150.74497537709021</v>
      </c>
      <c r="Z183" s="5">
        <f>0.75*P182+(1-0.75)*Z182</f>
        <v>150.83200505238045</v>
      </c>
      <c r="AB183" s="5">
        <f t="shared" si="37"/>
        <v>0.36066292276312545</v>
      </c>
      <c r="AC183" s="5">
        <f t="shared" si="38"/>
        <v>0.91902447570635559</v>
      </c>
      <c r="AD183" s="5">
        <f t="shared" si="39"/>
        <v>1.398532919064962</v>
      </c>
      <c r="AE183" s="5">
        <f t="shared" si="40"/>
        <v>1.5935102866982662</v>
      </c>
      <c r="AG183" s="5">
        <f>ABS((P183-W183)/P183)*100</f>
        <v>2.3634274552200947</v>
      </c>
      <c r="AH183" s="5">
        <f>ABS((P183-X183)/P183)*100</f>
        <v>1.8055259864667321</v>
      </c>
      <c r="AI183" s="5">
        <f>ABS((P183-Y183)/P183)*100</f>
        <v>1.9295224837168667</v>
      </c>
      <c r="AJ183" s="5">
        <f>ABS((P183-Z183)/P183)*100</f>
        <v>1.8729034037611316</v>
      </c>
      <c r="AL183" s="5">
        <f>0.15*(T183-T182)+(1-0.15)*AL182</f>
        <v>-0.20272736997375945</v>
      </c>
      <c r="AM183" s="5">
        <f>0.25*(T183-T182)+(1-0.25)*AM182</f>
        <v>-0.38283095373974529</v>
      </c>
      <c r="AN183" s="5">
        <f>0.45*(T183-T182)+(1-0.45)*AN182</f>
        <v>-0.42856252321788679</v>
      </c>
      <c r="AO183" s="5">
        <f>0.85*(T183-T182)+(1-0.85)*AO182</f>
        <v>-0.42095155893328129</v>
      </c>
      <c r="AP183" s="5">
        <f>T183+AL183</f>
        <v>93.178343211226746</v>
      </c>
      <c r="AQ183" s="5">
        <f t="shared" si="41"/>
        <v>92.998239627460762</v>
      </c>
      <c r="AR183" s="5">
        <f t="shared" si="42"/>
        <v>92.952508057982612</v>
      </c>
      <c r="AS183" s="5">
        <f t="shared" si="43"/>
        <v>92.960119022267222</v>
      </c>
      <c r="AT183" s="5">
        <f t="shared" si="49"/>
        <v>1.5272157887732476</v>
      </c>
      <c r="AU183" s="5">
        <f t="shared" si="50"/>
        <v>60.712621372539232</v>
      </c>
      <c r="AV183" s="5">
        <f t="shared" si="51"/>
        <v>92.952508057982612</v>
      </c>
      <c r="AW183" s="5">
        <f t="shared" si="44"/>
        <v>1.4038721406242161</v>
      </c>
      <c r="AY183" s="5">
        <f>0.15*(Y183-Y182)+(1-0.15)*AY182</f>
        <v>0.13756030769649061</v>
      </c>
      <c r="AZ183" s="5">
        <f>0.25*(Y183-Y182)+(1-0.25)*AZ182</f>
        <v>-6.5006574348169144E-2</v>
      </c>
      <c r="BA183" s="5">
        <f>0.45*(Y183-Y182)+(1-0.45)*BA182</f>
        <v>-0.18481150202219829</v>
      </c>
      <c r="BB183" s="5">
        <f>0.85*(Y183-Y182)+(1-0.85)*BB182</f>
        <v>0.32568976698294999</v>
      </c>
      <c r="BC183" s="5">
        <f>Y183+AY183</f>
        <v>150.88253568478672</v>
      </c>
      <c r="BD183" s="5">
        <f>Y183+AZ183</f>
        <v>150.67996880274205</v>
      </c>
      <c r="BE183" s="5">
        <f>Y183+BA183</f>
        <v>150.56016387506801</v>
      </c>
      <c r="BF183" s="5">
        <f>Y183+BB183</f>
        <v>151.07066514407316</v>
      </c>
      <c r="BG183" s="5">
        <f t="shared" si="52"/>
        <v>2.8283253152132772</v>
      </c>
      <c r="BH183" s="5">
        <f t="shared" si="53"/>
        <v>3.0308921972579412</v>
      </c>
      <c r="BI183" s="5">
        <f t="shared" si="54"/>
        <v>3.1506971249319804</v>
      </c>
      <c r="BJ183" s="5">
        <f t="shared" si="55"/>
        <v>2.6401958559268337</v>
      </c>
    </row>
    <row r="184" spans="13:62" x14ac:dyDescent="0.35">
      <c r="M184" s="2">
        <v>182</v>
      </c>
      <c r="N184" s="3">
        <v>44042</v>
      </c>
      <c r="O184" s="1">
        <v>95.851517000000001</v>
      </c>
      <c r="P184" s="1">
        <v>148.321335</v>
      </c>
      <c r="R184" s="5">
        <f t="shared" si="45"/>
        <v>94.415226338457728</v>
      </c>
      <c r="S184" s="5">
        <f t="shared" si="46"/>
        <v>94.139820276408059</v>
      </c>
      <c r="T184" s="5">
        <f t="shared" si="47"/>
        <v>94.109539211540223</v>
      </c>
      <c r="U184" s="5">
        <f t="shared" si="48"/>
        <v>94.328273293814973</v>
      </c>
      <c r="V184" s="5"/>
      <c r="W184" s="5">
        <f>0.15*P183+(1-0.15)*W183</f>
        <v>150.62294301305016</v>
      </c>
      <c r="X184" s="5">
        <f>0.35*P183+(1-0.35)*X183</f>
        <v>151.90692279940509</v>
      </c>
      <c r="Y184" s="5">
        <f>0.55*P183+(1-0.55)*Y183</f>
        <v>152.37621246969059</v>
      </c>
      <c r="Z184" s="5">
        <f>0.75*P183+(1-0.75)*Z183</f>
        <v>152.99114701309509</v>
      </c>
      <c r="AB184" s="5">
        <f t="shared" si="37"/>
        <v>1.4984537610836905</v>
      </c>
      <c r="AC184" s="5">
        <f t="shared" si="38"/>
        <v>1.785779481812418</v>
      </c>
      <c r="AD184" s="5">
        <f t="shared" si="39"/>
        <v>1.81737112043806</v>
      </c>
      <c r="AE184" s="5">
        <f t="shared" si="40"/>
        <v>1.5891701601186212</v>
      </c>
      <c r="AG184" s="5">
        <f>ABS((P184-W184)/P184)*100</f>
        <v>1.5517713706191738</v>
      </c>
      <c r="AH184" s="5">
        <f>ABS((P184-X184)/P184)*100</f>
        <v>2.4174457433282206</v>
      </c>
      <c r="AI184" s="5">
        <f>ABS((P184-Y184)/P184)*100</f>
        <v>2.7338463948497904</v>
      </c>
      <c r="AJ184" s="5">
        <f>ABS((P184-Z184)/P184)*100</f>
        <v>3.1484425440851664</v>
      </c>
      <c r="AL184" s="5">
        <f>0.15*(T184-T183)+(1-0.15)*AL183</f>
        <v>-6.3047969926737613E-2</v>
      </c>
      <c r="AM184" s="5">
        <f>0.25*(T184-T183)+(1-0.25)*AM183</f>
        <v>-0.10500605771987914</v>
      </c>
      <c r="AN184" s="5">
        <f>0.45*(T184-T183)+(1-0.45)*AN183</f>
        <v>9.2101495883036011E-2</v>
      </c>
      <c r="AO184" s="5">
        <f>0.85*(T184-T183)+(1-0.85)*AO183</f>
        <v>0.55605560194876924</v>
      </c>
      <c r="AP184" s="5">
        <f>T184+AL184</f>
        <v>94.046491241613481</v>
      </c>
      <c r="AQ184" s="5">
        <f t="shared" si="41"/>
        <v>94.004533153820347</v>
      </c>
      <c r="AR184" s="5">
        <f t="shared" si="42"/>
        <v>94.201640707423266</v>
      </c>
      <c r="AS184" s="5">
        <f t="shared" si="43"/>
        <v>94.665594813488994</v>
      </c>
      <c r="AT184" s="5">
        <f t="shared" si="49"/>
        <v>1.8050257583865204</v>
      </c>
      <c r="AU184" s="5">
        <f t="shared" si="50"/>
        <v>54.316801846179658</v>
      </c>
      <c r="AV184" s="5">
        <f t="shared" si="51"/>
        <v>94.201640707423266</v>
      </c>
      <c r="AW184" s="5">
        <f t="shared" si="44"/>
        <v>0.2503684750312658</v>
      </c>
      <c r="AY184" s="5">
        <f>0.15*(Y184-Y183)+(1-0.15)*AY183</f>
        <v>0.36161182543207282</v>
      </c>
      <c r="AZ184" s="5">
        <f>0.25*(Y184-Y183)+(1-0.25)*AZ183</f>
        <v>0.35905434238896622</v>
      </c>
      <c r="BA184" s="5">
        <f>0.45*(Y184-Y183)+(1-0.45)*BA183</f>
        <v>0.63241036555795849</v>
      </c>
      <c r="BB184" s="5">
        <f>0.85*(Y184-Y183)+(1-0.85)*BB183</f>
        <v>1.4354049937577591</v>
      </c>
      <c r="BC184" s="5">
        <f>Y184+AY184</f>
        <v>152.73782429512266</v>
      </c>
      <c r="BD184" s="5">
        <f>Y184+AZ184</f>
        <v>152.73526681207954</v>
      </c>
      <c r="BE184" s="5">
        <f>Y184+BA184</f>
        <v>153.00862283524853</v>
      </c>
      <c r="BF184" s="5">
        <f>Y184+BB184</f>
        <v>153.81161746344836</v>
      </c>
      <c r="BG184" s="5">
        <f t="shared" si="52"/>
        <v>4.4164892951226591</v>
      </c>
      <c r="BH184" s="5">
        <f t="shared" si="53"/>
        <v>4.4139318120795394</v>
      </c>
      <c r="BI184" s="5">
        <f t="shared" si="54"/>
        <v>4.6872878352485259</v>
      </c>
      <c r="BJ184" s="5">
        <f t="shared" si="55"/>
        <v>5.4902824634483522</v>
      </c>
    </row>
    <row r="185" spans="13:62" x14ac:dyDescent="0.35">
      <c r="M185" s="2">
        <v>183</v>
      </c>
      <c r="N185" s="3">
        <v>44043</v>
      </c>
      <c r="O185" s="1">
        <v>105.88608600000001</v>
      </c>
      <c r="P185" s="1">
        <v>148.53015099999999</v>
      </c>
      <c r="R185" s="5">
        <f t="shared" si="45"/>
        <v>94.630669937689063</v>
      </c>
      <c r="S185" s="5">
        <f t="shared" si="46"/>
        <v>94.738914129665233</v>
      </c>
      <c r="T185" s="5">
        <f t="shared" si="47"/>
        <v>95.067626995193109</v>
      </c>
      <c r="U185" s="5">
        <f t="shared" si="48"/>
        <v>95.470706073453741</v>
      </c>
      <c r="V185" s="5"/>
      <c r="W185" s="5">
        <f>0.15*P184+(1-0.15)*W184</f>
        <v>150.27770181109264</v>
      </c>
      <c r="X185" s="5">
        <f>0.35*P184+(1-0.35)*X184</f>
        <v>150.65196706961331</v>
      </c>
      <c r="Y185" s="5">
        <f>0.55*P184+(1-0.55)*Y184</f>
        <v>150.14602986136077</v>
      </c>
      <c r="Z185" s="5">
        <f>0.75*P184+(1-0.75)*Z184</f>
        <v>149.48878800327378</v>
      </c>
      <c r="AB185" s="5">
        <f t="shared" si="37"/>
        <v>10.629740400746272</v>
      </c>
      <c r="AC185" s="5">
        <f t="shared" si="38"/>
        <v>10.527513379175025</v>
      </c>
      <c r="AD185" s="5">
        <f t="shared" si="39"/>
        <v>10.217073284592743</v>
      </c>
      <c r="AE185" s="5">
        <f t="shared" si="40"/>
        <v>9.8364009096967333</v>
      </c>
      <c r="AG185" s="5">
        <f>ABS((P185-W185)/P185)*100</f>
        <v>1.1765630071248303</v>
      </c>
      <c r="AH185" s="5">
        <f>ABS((P185-X185)/P185)*100</f>
        <v>1.4285423231094116</v>
      </c>
      <c r="AI185" s="5">
        <f>ABS((P185-Y185)/P185)*100</f>
        <v>1.0879130267367627</v>
      </c>
      <c r="AJ185" s="5">
        <f>ABS((P185-Z185)/P185)*100</f>
        <v>0.64541576024775815</v>
      </c>
      <c r="AL185" s="5">
        <f>0.15*(T185-T184)+(1-0.15)*AL184</f>
        <v>9.0122393110205867E-2</v>
      </c>
      <c r="AM185" s="5">
        <f>0.25*(T185-T184)+(1-0.25)*AM184</f>
        <v>0.16076740262331204</v>
      </c>
      <c r="AN185" s="5">
        <f>0.45*(T185-T184)+(1-0.45)*AN184</f>
        <v>0.48179532537946834</v>
      </c>
      <c r="AO185" s="5">
        <f>0.85*(T185-T184)+(1-0.85)*AO184</f>
        <v>0.89778295639726813</v>
      </c>
      <c r="AP185" s="5">
        <f>T185+AL185</f>
        <v>95.157749388303316</v>
      </c>
      <c r="AQ185" s="5">
        <f t="shared" si="41"/>
        <v>95.228394397816416</v>
      </c>
      <c r="AR185" s="5">
        <f t="shared" si="42"/>
        <v>95.549422320572575</v>
      </c>
      <c r="AS185" s="5">
        <f t="shared" si="43"/>
        <v>95.965409951590374</v>
      </c>
      <c r="AT185" s="5">
        <f t="shared" si="49"/>
        <v>10.72833661169669</v>
      </c>
      <c r="AU185" s="5">
        <f t="shared" si="50"/>
        <v>53.301756602183573</v>
      </c>
      <c r="AV185" s="5">
        <f t="shared" si="51"/>
        <v>95.549422320572575</v>
      </c>
      <c r="AW185" s="5">
        <f t="shared" si="44"/>
        <v>1.3347400139013104</v>
      </c>
      <c r="AY185" s="5">
        <f>0.15*(Y185-Y184)+(1-0.15)*AY184</f>
        <v>-2.7157339632209954E-2</v>
      </c>
      <c r="AZ185" s="5">
        <f>0.25*(Y185-Y184)+(1-0.25)*AZ184</f>
        <v>-0.28825489529072845</v>
      </c>
      <c r="BA185" s="5">
        <f>0.45*(Y185-Y184)+(1-0.45)*BA184</f>
        <v>-0.65575647269153836</v>
      </c>
      <c r="BB185" s="5">
        <f>0.85*(Y185-Y184)+(1-0.85)*BB184</f>
        <v>-1.6803444680166766</v>
      </c>
      <c r="BC185" s="5">
        <f>Y185+AY185</f>
        <v>150.11887252172858</v>
      </c>
      <c r="BD185" s="5">
        <f>Y185+AZ185</f>
        <v>149.85777496607005</v>
      </c>
      <c r="BE185" s="5">
        <f>Y185+BA185</f>
        <v>149.49027338866924</v>
      </c>
      <c r="BF185" s="5">
        <f>Y185+BB185</f>
        <v>148.4656853933441</v>
      </c>
      <c r="BG185" s="5">
        <f t="shared" si="52"/>
        <v>1.588721521728587</v>
      </c>
      <c r="BH185" s="5">
        <f t="shared" si="53"/>
        <v>1.3276239660700639</v>
      </c>
      <c r="BI185" s="5">
        <f t="shared" si="54"/>
        <v>0.96012238866924804</v>
      </c>
      <c r="BJ185" s="5">
        <f t="shared" si="55"/>
        <v>6.4465606655886631E-2</v>
      </c>
    </row>
    <row r="186" spans="13:62" x14ac:dyDescent="0.35">
      <c r="M186" s="2">
        <v>184</v>
      </c>
      <c r="N186" s="3">
        <v>44046</v>
      </c>
      <c r="O186" s="1">
        <v>108.554153</v>
      </c>
      <c r="P186" s="1">
        <v>147.694885</v>
      </c>
      <c r="R186" s="5">
        <f t="shared" si="45"/>
        <v>96.3189823470357</v>
      </c>
      <c r="S186" s="5">
        <f t="shared" si="46"/>
        <v>98.640424284282403</v>
      </c>
      <c r="T186" s="5">
        <f t="shared" si="47"/>
        <v>101.01777944783692</v>
      </c>
      <c r="U186" s="5">
        <f t="shared" si="48"/>
        <v>103.28224101836345</v>
      </c>
      <c r="V186" s="5"/>
      <c r="W186" s="5">
        <f>0.15*P185+(1-0.15)*W185</f>
        <v>150.01556918942873</v>
      </c>
      <c r="X186" s="5">
        <f>0.35*P185+(1-0.35)*X185</f>
        <v>149.90933144524865</v>
      </c>
      <c r="Y186" s="5">
        <f>0.55*P185+(1-0.55)*Y185</f>
        <v>149.25729648761234</v>
      </c>
      <c r="Z186" s="5">
        <f>0.75*P185+(1-0.75)*Z185</f>
        <v>148.76981025081844</v>
      </c>
      <c r="AB186" s="5">
        <f t="shared" si="37"/>
        <v>11.271029541324227</v>
      </c>
      <c r="AC186" s="5">
        <f t="shared" si="38"/>
        <v>9.132519062368436</v>
      </c>
      <c r="AD186" s="5">
        <f t="shared" si="39"/>
        <v>6.9425013635020338</v>
      </c>
      <c r="AE186" s="5">
        <f t="shared" si="40"/>
        <v>4.8564811533618153</v>
      </c>
      <c r="AG186" s="5">
        <f>ABS((P186-W186)/P186)*100</f>
        <v>1.5712691671270349</v>
      </c>
      <c r="AH186" s="5">
        <f>ABS((P186-X186)/P186)*100</f>
        <v>1.4993386163973481</v>
      </c>
      <c r="AI186" s="5">
        <f>ABS((P186-Y186)/P186)*100</f>
        <v>1.0578643177875369</v>
      </c>
      <c r="AJ186" s="5">
        <f>ABS((P186-Z186)/P186)*100</f>
        <v>0.72780127139706863</v>
      </c>
      <c r="AL186" s="5">
        <f>0.15*(T186-T185)+(1-0.15)*AL185</f>
        <v>0.96912690204024587</v>
      </c>
      <c r="AM186" s="5">
        <f>0.25*(T186-T185)+(1-0.25)*AM185</f>
        <v>1.6081136651284356</v>
      </c>
      <c r="AN186" s="5">
        <f>0.45*(T186-T185)+(1-0.45)*AN185</f>
        <v>2.9425560326484206</v>
      </c>
      <c r="AO186" s="5">
        <f>0.85*(T186-T185)+(1-0.85)*AO185</f>
        <v>5.1922970282068253</v>
      </c>
      <c r="AP186" s="5">
        <f>T186+AL186</f>
        <v>101.98690634987716</v>
      </c>
      <c r="AQ186" s="5">
        <f t="shared" si="41"/>
        <v>102.62589311296536</v>
      </c>
      <c r="AR186" s="5">
        <f t="shared" si="42"/>
        <v>103.96033548048534</v>
      </c>
      <c r="AS186" s="5">
        <f t="shared" si="43"/>
        <v>106.21007647604374</v>
      </c>
      <c r="AT186" s="5">
        <f t="shared" si="49"/>
        <v>6.5672466501228399</v>
      </c>
      <c r="AU186" s="5">
        <f t="shared" si="50"/>
        <v>45.068991887034642</v>
      </c>
      <c r="AV186" s="5">
        <f t="shared" si="51"/>
        <v>103.96033548048534</v>
      </c>
      <c r="AW186" s="5">
        <f t="shared" si="44"/>
        <v>9.8910941290080387</v>
      </c>
      <c r="AY186" s="5">
        <f>0.15*(Y186-Y185)+(1-0.15)*AY185</f>
        <v>-0.15639374474964399</v>
      </c>
      <c r="AZ186" s="5">
        <f>0.25*(Y186-Y185)+(1-0.25)*AZ185</f>
        <v>-0.43837451490515555</v>
      </c>
      <c r="BA186" s="5">
        <f>0.45*(Y186-Y185)+(1-0.45)*BA185</f>
        <v>-0.7605960781671427</v>
      </c>
      <c r="BB186" s="5">
        <f>0.85*(Y186-Y185)+(1-0.85)*BB185</f>
        <v>-1.007475037888673</v>
      </c>
      <c r="BC186" s="5">
        <f>Y186+AY186</f>
        <v>149.1009027428627</v>
      </c>
      <c r="BD186" s="5">
        <f>Y186+AZ186</f>
        <v>148.81892197270719</v>
      </c>
      <c r="BE186" s="5">
        <f>Y186+BA186</f>
        <v>148.4967004094452</v>
      </c>
      <c r="BF186" s="5">
        <f>Y186+BB186</f>
        <v>148.24982144972367</v>
      </c>
      <c r="BG186" s="5">
        <f t="shared" si="52"/>
        <v>1.4060177428627014</v>
      </c>
      <c r="BH186" s="5">
        <f t="shared" si="53"/>
        <v>1.1240369727071879</v>
      </c>
      <c r="BI186" s="5">
        <f t="shared" si="54"/>
        <v>0.80181540944519725</v>
      </c>
      <c r="BJ186" s="5">
        <f t="shared" si="55"/>
        <v>0.55493644972366951</v>
      </c>
    </row>
    <row r="187" spans="13:62" x14ac:dyDescent="0.35">
      <c r="M187" s="2">
        <v>185</v>
      </c>
      <c r="N187" s="3">
        <v>44047</v>
      </c>
      <c r="O187" s="1">
        <v>109.279099</v>
      </c>
      <c r="P187" s="1">
        <v>146.501633</v>
      </c>
      <c r="R187" s="5">
        <f t="shared" si="45"/>
        <v>98.154257944980344</v>
      </c>
      <c r="S187" s="5">
        <f t="shared" si="46"/>
        <v>102.11022933478357</v>
      </c>
      <c r="T187" s="5">
        <f t="shared" si="47"/>
        <v>105.16278490152661</v>
      </c>
      <c r="U187" s="5">
        <f t="shared" si="48"/>
        <v>107.23617500459086</v>
      </c>
      <c r="V187" s="5"/>
      <c r="W187" s="5">
        <f>0.15*P186+(1-0.15)*W186</f>
        <v>149.66746656101441</v>
      </c>
      <c r="X187" s="5">
        <f>0.35*P186+(1-0.35)*X186</f>
        <v>149.13427518941162</v>
      </c>
      <c r="Y187" s="5">
        <f>0.55*P186+(1-0.55)*Y186</f>
        <v>148.39797016942555</v>
      </c>
      <c r="Z187" s="5">
        <f>0.75*P186+(1-0.75)*Z186</f>
        <v>147.9636163127046</v>
      </c>
      <c r="AB187" s="5">
        <f t="shared" si="37"/>
        <v>10.180209350938791</v>
      </c>
      <c r="AC187" s="5">
        <f t="shared" si="38"/>
        <v>6.5601471194564231</v>
      </c>
      <c r="AD187" s="5">
        <f t="shared" si="39"/>
        <v>3.7667899315983524</v>
      </c>
      <c r="AE187" s="5">
        <f t="shared" si="40"/>
        <v>1.8694553799433689</v>
      </c>
      <c r="AG187" s="5">
        <f>ABS((P187-W187)/P187)*100</f>
        <v>2.1609544523059405</v>
      </c>
      <c r="AH187" s="5">
        <f>ABS((P187-X187)/P187)*100</f>
        <v>1.7970053544806746</v>
      </c>
      <c r="AI187" s="5">
        <f>ABS((P187-Y187)/P187)*100</f>
        <v>1.2944136734814076</v>
      </c>
      <c r="AJ187" s="5">
        <f>ABS((P187-Z187)/P187)*100</f>
        <v>0.99792970410411985</v>
      </c>
      <c r="AL187" s="5">
        <f>0.15*(T187-T186)+(1-0.15)*AL186</f>
        <v>1.4455086847876626</v>
      </c>
      <c r="AM187" s="5">
        <f>0.25*(T187-T186)+(1-0.25)*AM186</f>
        <v>2.2423366122687494</v>
      </c>
      <c r="AN187" s="5">
        <f>0.45*(T187-T186)+(1-0.45)*AN186</f>
        <v>3.4836582721169926</v>
      </c>
      <c r="AO187" s="5">
        <f>0.85*(T187-T186)+(1-0.85)*AO186</f>
        <v>4.3020991898672616</v>
      </c>
      <c r="AP187" s="5">
        <f>T187+AL187</f>
        <v>106.60829358631428</v>
      </c>
      <c r="AQ187" s="5">
        <f t="shared" si="41"/>
        <v>107.40512151379535</v>
      </c>
      <c r="AR187" s="5">
        <f t="shared" si="42"/>
        <v>108.6464431736436</v>
      </c>
      <c r="AS187" s="5">
        <f t="shared" si="43"/>
        <v>109.46488409139387</v>
      </c>
      <c r="AT187" s="5">
        <f t="shared" si="49"/>
        <v>2.6708054136857271</v>
      </c>
      <c r="AU187" s="5">
        <f t="shared" si="50"/>
        <v>39.096511486204648</v>
      </c>
      <c r="AV187" s="5">
        <f t="shared" si="51"/>
        <v>108.6464431736436</v>
      </c>
      <c r="AW187" s="5">
        <f t="shared" si="44"/>
        <v>11.310626146413526</v>
      </c>
      <c r="AY187" s="5">
        <f>0.15*(Y187-Y186)+(1-0.15)*AY186</f>
        <v>-0.2618336307652156</v>
      </c>
      <c r="AZ187" s="5">
        <f>0.25*(Y187-Y186)+(1-0.25)*AZ186</f>
        <v>-0.54361246572556376</v>
      </c>
      <c r="BA187" s="5">
        <f>0.45*(Y187-Y186)+(1-0.45)*BA186</f>
        <v>-0.80502468617598333</v>
      </c>
      <c r="BB187" s="5">
        <f>0.85*(Y187-Y186)+(1-0.85)*BB186</f>
        <v>-0.88154862614207108</v>
      </c>
      <c r="BC187" s="5">
        <f>Y187+AY187</f>
        <v>148.13613653866034</v>
      </c>
      <c r="BD187" s="5">
        <f>Y187+AZ187</f>
        <v>147.85435770369997</v>
      </c>
      <c r="BE187" s="5">
        <f>Y187+BA187</f>
        <v>147.59294548324957</v>
      </c>
      <c r="BF187" s="5">
        <f>Y187+BB187</f>
        <v>147.51642154328349</v>
      </c>
      <c r="BG187" s="5">
        <f t="shared" si="52"/>
        <v>1.6345035386603399</v>
      </c>
      <c r="BH187" s="5">
        <f t="shared" si="53"/>
        <v>1.3527247036999768</v>
      </c>
      <c r="BI187" s="5">
        <f t="shared" si="54"/>
        <v>1.0913124832495669</v>
      </c>
      <c r="BJ187" s="5">
        <f t="shared" si="55"/>
        <v>1.0147885432834869</v>
      </c>
    </row>
    <row r="188" spans="13:62" x14ac:dyDescent="0.35">
      <c r="M188" s="2">
        <v>186</v>
      </c>
      <c r="N188" s="3">
        <v>44048</v>
      </c>
      <c r="O188" s="1">
        <v>109.675194</v>
      </c>
      <c r="P188" s="1">
        <v>149.972015</v>
      </c>
      <c r="R188" s="5">
        <f t="shared" si="45"/>
        <v>99.822984103233296</v>
      </c>
      <c r="S188" s="5">
        <f t="shared" si="46"/>
        <v>104.61933371760932</v>
      </c>
      <c r="T188" s="5">
        <f t="shared" si="47"/>
        <v>107.42675765568697</v>
      </c>
      <c r="U188" s="5">
        <f t="shared" si="48"/>
        <v>108.76836800114772</v>
      </c>
      <c r="V188" s="5"/>
      <c r="W188" s="5">
        <f>0.15*P187+(1-0.15)*W187</f>
        <v>149.19259152686223</v>
      </c>
      <c r="X188" s="5">
        <f>0.35*P187+(1-0.35)*X187</f>
        <v>148.21285042311757</v>
      </c>
      <c r="Y188" s="5">
        <f>0.55*P187+(1-0.55)*Y187</f>
        <v>147.3549847262415</v>
      </c>
      <c r="Z188" s="5">
        <f>0.75*P187+(1-0.75)*Z187</f>
        <v>146.86712882817616</v>
      </c>
      <c r="AB188" s="5">
        <f t="shared" si="37"/>
        <v>8.983079525500278</v>
      </c>
      <c r="AC188" s="5">
        <f t="shared" si="38"/>
        <v>4.6098484971822185</v>
      </c>
      <c r="AD188" s="5">
        <f t="shared" si="39"/>
        <v>2.0500864984228198</v>
      </c>
      <c r="AE188" s="5">
        <f t="shared" si="40"/>
        <v>0.82682871648468104</v>
      </c>
      <c r="AG188" s="5">
        <f>ABS((P188-W188)/P188)*100</f>
        <v>0.5197126098077488</v>
      </c>
      <c r="AH188" s="5">
        <f>ABS((P188-X188)/P188)*100</f>
        <v>1.1729952263976893</v>
      </c>
      <c r="AI188" s="5">
        <f>ABS((P188-Y188)/P188)*100</f>
        <v>1.7450124103210203</v>
      </c>
      <c r="AJ188" s="5">
        <f>ABS((P188-Z188)/P188)*100</f>
        <v>2.0703103654530719</v>
      </c>
      <c r="AL188" s="5">
        <f>0.15*(T188-T187)+(1-0.15)*AL187</f>
        <v>1.5682782951935677</v>
      </c>
      <c r="AM188" s="5">
        <f>0.25*(T188-T187)+(1-0.25)*AM187</f>
        <v>2.2477456477416529</v>
      </c>
      <c r="AN188" s="5">
        <f>0.45*(T188-T187)+(1-0.45)*AN187</f>
        <v>2.9347997890365098</v>
      </c>
      <c r="AO188" s="5">
        <f>0.85*(T188-T187)+(1-0.85)*AO187</f>
        <v>2.5696917195163982</v>
      </c>
      <c r="AP188" s="5">
        <f>T188+AL188</f>
        <v>108.99503595088053</v>
      </c>
      <c r="AQ188" s="5">
        <f t="shared" si="41"/>
        <v>109.67450330342862</v>
      </c>
      <c r="AR188" s="5">
        <f t="shared" si="42"/>
        <v>110.36155744472347</v>
      </c>
      <c r="AS188" s="5">
        <f t="shared" si="43"/>
        <v>109.99644937520337</v>
      </c>
      <c r="AT188" s="5">
        <f t="shared" si="49"/>
        <v>0.68015804911946987</v>
      </c>
      <c r="AU188" s="5">
        <f t="shared" si="50"/>
        <v>40.297511696571377</v>
      </c>
      <c r="AV188" s="5">
        <f t="shared" si="51"/>
        <v>110.36155744472347</v>
      </c>
      <c r="AW188" s="5">
        <f t="shared" si="44"/>
        <v>10.173465271970073</v>
      </c>
      <c r="AY188" s="5">
        <f>0.15*(Y188-Y187)+(1-0.15)*AY187</f>
        <v>-0.37900640262804092</v>
      </c>
      <c r="AZ188" s="5">
        <f>0.25*(Y188-Y187)+(1-0.25)*AZ187</f>
        <v>-0.66845571009018556</v>
      </c>
      <c r="BA188" s="5">
        <f>0.45*(Y188-Y187)+(1-0.45)*BA187</f>
        <v>-0.91210702682961387</v>
      </c>
      <c r="BB188" s="5">
        <f>0.85*(Y188-Y187)+(1-0.85)*BB187</f>
        <v>-1.0187699206277541</v>
      </c>
      <c r="BC188" s="5">
        <f>Y188+AY188</f>
        <v>146.97597832361345</v>
      </c>
      <c r="BD188" s="5">
        <f>Y188+AZ188</f>
        <v>146.68652901615133</v>
      </c>
      <c r="BE188" s="5">
        <f>Y188+BA188</f>
        <v>146.44287769941189</v>
      </c>
      <c r="BF188" s="5">
        <f>Y188+BB188</f>
        <v>146.33621480561374</v>
      </c>
      <c r="BG188" s="5">
        <f t="shared" si="52"/>
        <v>2.9960366763865522</v>
      </c>
      <c r="BH188" s="5">
        <f t="shared" si="53"/>
        <v>3.2854859838486732</v>
      </c>
      <c r="BI188" s="5">
        <f t="shared" si="54"/>
        <v>3.5291373005881042</v>
      </c>
      <c r="BJ188" s="5">
        <f t="shared" si="55"/>
        <v>3.6358001943862632</v>
      </c>
    </row>
    <row r="189" spans="13:62" x14ac:dyDescent="0.35">
      <c r="M189" s="2">
        <v>187</v>
      </c>
      <c r="N189" s="3">
        <v>44049</v>
      </c>
      <c r="O189" s="1">
        <v>113.501678</v>
      </c>
      <c r="P189" s="1">
        <v>151.72210699999999</v>
      </c>
      <c r="R189" s="5">
        <f t="shared" si="45"/>
        <v>101.3008155877483</v>
      </c>
      <c r="S189" s="5">
        <f t="shared" si="46"/>
        <v>106.38888481644605</v>
      </c>
      <c r="T189" s="5">
        <f t="shared" si="47"/>
        <v>108.66339764505915</v>
      </c>
      <c r="U189" s="5">
        <f t="shared" si="48"/>
        <v>109.44848750028693</v>
      </c>
      <c r="V189" s="5"/>
      <c r="W189" s="5">
        <f>0.15*P188+(1-0.15)*W188</f>
        <v>149.30950504783289</v>
      </c>
      <c r="X189" s="5">
        <f>0.35*P188+(1-0.35)*X188</f>
        <v>148.82855802502641</v>
      </c>
      <c r="Y189" s="5">
        <f>0.55*P188+(1-0.55)*Y188</f>
        <v>148.79435137680866</v>
      </c>
      <c r="Z189" s="5">
        <f>0.75*P188+(1-0.75)*Z188</f>
        <v>149.19579345704403</v>
      </c>
      <c r="AB189" s="5">
        <f t="shared" si="37"/>
        <v>10.749499590879788</v>
      </c>
      <c r="AC189" s="5">
        <f t="shared" si="38"/>
        <v>6.2666854877281617</v>
      </c>
      <c r="AD189" s="5">
        <f t="shared" si="39"/>
        <v>4.2627390539026653</v>
      </c>
      <c r="AE189" s="5">
        <f t="shared" si="40"/>
        <v>3.5710401565279657</v>
      </c>
      <c r="AG189" s="5">
        <f>ABS((P189-W189)/P189)*100</f>
        <v>1.5901452991073399</v>
      </c>
      <c r="AH189" s="5">
        <f>ABS((P189-X189)/P189)*100</f>
        <v>1.907137352748195</v>
      </c>
      <c r="AI189" s="5">
        <f>ABS((P189-Y189)/P189)*100</f>
        <v>1.9296829454071125</v>
      </c>
      <c r="AJ189" s="5">
        <f>ABS((P189-Z189)/P189)*100</f>
        <v>1.6650925780749677</v>
      </c>
      <c r="AL189" s="5">
        <f>0.15*(T189-T188)+(1-0.15)*AL188</f>
        <v>1.5185325493203594</v>
      </c>
      <c r="AM189" s="5">
        <f>0.25*(T189-T188)+(1-0.25)*AM188</f>
        <v>1.9949692331492845</v>
      </c>
      <c r="AN189" s="5">
        <f>0.45*(T189-T188)+(1-0.45)*AN188</f>
        <v>2.1706278791875611</v>
      </c>
      <c r="AO189" s="5">
        <f>0.85*(T189-T188)+(1-0.85)*AO188</f>
        <v>1.436597748893812</v>
      </c>
      <c r="AP189" s="5">
        <f>T189+AL189</f>
        <v>110.1819301943795</v>
      </c>
      <c r="AQ189" s="5">
        <f t="shared" si="41"/>
        <v>110.65836687820844</v>
      </c>
      <c r="AR189" s="5">
        <f t="shared" si="42"/>
        <v>110.83402552424671</v>
      </c>
      <c r="AS189" s="5">
        <f t="shared" si="43"/>
        <v>110.09999539395297</v>
      </c>
      <c r="AT189" s="5">
        <f t="shared" si="49"/>
        <v>3.3197478056204943</v>
      </c>
      <c r="AU189" s="5">
        <f t="shared" si="50"/>
        <v>41.063740121791554</v>
      </c>
      <c r="AV189" s="5">
        <f t="shared" si="51"/>
        <v>110.83402552424671</v>
      </c>
      <c r="AW189" s="5">
        <f t="shared" si="44"/>
        <v>8.7991798062046627</v>
      </c>
      <c r="AY189" s="5">
        <f>0.15*(Y189-Y188)+(1-0.15)*AY188</f>
        <v>-0.10625044464875985</v>
      </c>
      <c r="AZ189" s="5">
        <f>0.25*(Y189-Y188)+(1-0.25)*AZ188</f>
        <v>-0.14150011992584766</v>
      </c>
      <c r="BA189" s="5">
        <f>0.45*(Y189-Y188)+(1-0.45)*BA188</f>
        <v>0.14605612799893708</v>
      </c>
      <c r="BB189" s="5">
        <f>0.85*(Y189-Y188)+(1-0.85)*BB188</f>
        <v>1.0706461648879282</v>
      </c>
      <c r="BC189" s="5">
        <f>Y189+AY189</f>
        <v>148.6881009321599</v>
      </c>
      <c r="BD189" s="5">
        <f>Y189+AZ189</f>
        <v>148.65285125688283</v>
      </c>
      <c r="BE189" s="5">
        <f>Y189+BA189</f>
        <v>148.94040750480761</v>
      </c>
      <c r="BF189" s="5">
        <f>Y189+BB189</f>
        <v>149.8649975416966</v>
      </c>
      <c r="BG189" s="5">
        <f t="shared" si="52"/>
        <v>3.034006067840096</v>
      </c>
      <c r="BH189" s="5">
        <f t="shared" si="53"/>
        <v>3.0692557431171679</v>
      </c>
      <c r="BI189" s="5">
        <f t="shared" si="54"/>
        <v>2.7816994951923846</v>
      </c>
      <c r="BJ189" s="5">
        <f t="shared" si="55"/>
        <v>1.8571094583033982</v>
      </c>
    </row>
    <row r="190" spans="13:62" x14ac:dyDescent="0.35">
      <c r="M190" s="2">
        <v>188</v>
      </c>
      <c r="N190" s="3">
        <v>44050</v>
      </c>
      <c r="O190" s="1">
        <v>110.92113500000001</v>
      </c>
      <c r="P190" s="1">
        <v>154.23788500000001</v>
      </c>
      <c r="R190" s="5">
        <f t="shared" si="45"/>
        <v>103.13094494958605</v>
      </c>
      <c r="S190" s="5">
        <f t="shared" si="46"/>
        <v>108.87836243068992</v>
      </c>
      <c r="T190" s="5">
        <f t="shared" si="47"/>
        <v>111.32445184027662</v>
      </c>
      <c r="U190" s="5">
        <f t="shared" si="48"/>
        <v>112.48838037507174</v>
      </c>
      <c r="V190" s="5"/>
      <c r="W190" s="5">
        <f>0.15*P189+(1-0.15)*W189</f>
        <v>149.67139534065794</v>
      </c>
      <c r="X190" s="5">
        <f>0.35*P189+(1-0.35)*X189</f>
        <v>149.84130016626716</v>
      </c>
      <c r="Y190" s="5">
        <f>0.55*P189+(1-0.55)*Y189</f>
        <v>150.4046169695639</v>
      </c>
      <c r="Z190" s="5">
        <f>0.75*P189+(1-0.75)*Z189</f>
        <v>151.09052861426102</v>
      </c>
      <c r="AB190" s="5">
        <f t="shared" si="37"/>
        <v>7.0231791717727683</v>
      </c>
      <c r="AC190" s="5">
        <f t="shared" si="38"/>
        <v>1.8416441278842739</v>
      </c>
      <c r="AD190" s="5">
        <f t="shared" si="39"/>
        <v>0.36360684577976643</v>
      </c>
      <c r="AE190" s="5">
        <f t="shared" si="40"/>
        <v>1.4129366554640244</v>
      </c>
      <c r="AG190" s="5">
        <f>ABS((P190-W190)/P190)*100</f>
        <v>2.9606796406356763</v>
      </c>
      <c r="AH190" s="5">
        <f>ABS((P190-X190)/P190)*100</f>
        <v>2.8505219931749228</v>
      </c>
      <c r="AI190" s="5">
        <f>ABS((P190-Y190)/P190)*100</f>
        <v>2.4852960285575114</v>
      </c>
      <c r="AJ190" s="5">
        <f>ABS((P190-Z190)/P190)*100</f>
        <v>2.0405858040253779</v>
      </c>
      <c r="AL190" s="5">
        <f>0.15*(T190-T189)+(1-0.15)*AL189</f>
        <v>1.6899107962049267</v>
      </c>
      <c r="AM190" s="5">
        <f>0.25*(T190-T189)+(1-0.25)*AM189</f>
        <v>2.1614904736663321</v>
      </c>
      <c r="AN190" s="5">
        <f>0.45*(T190-T189)+(1-0.45)*AN189</f>
        <v>2.3913197214010222</v>
      </c>
      <c r="AO190" s="5">
        <f>0.85*(T190-T189)+(1-0.85)*AO189</f>
        <v>2.4773857282689247</v>
      </c>
      <c r="AP190" s="5">
        <f>T190+AL190</f>
        <v>113.01436263648155</v>
      </c>
      <c r="AQ190" s="5">
        <f t="shared" si="41"/>
        <v>113.48594231394296</v>
      </c>
      <c r="AR190" s="5">
        <f t="shared" si="42"/>
        <v>113.71577156167764</v>
      </c>
      <c r="AS190" s="5">
        <f t="shared" si="43"/>
        <v>113.80183756854555</v>
      </c>
      <c r="AT190" s="5">
        <f t="shared" si="49"/>
        <v>2.0932276364815436</v>
      </c>
      <c r="AU190" s="5">
        <f t="shared" si="50"/>
        <v>40.751942686057049</v>
      </c>
      <c r="AV190" s="5">
        <f t="shared" si="51"/>
        <v>113.71577156167764</v>
      </c>
      <c r="AW190" s="5">
        <f t="shared" si="44"/>
        <v>10.670892618959499</v>
      </c>
      <c r="AY190" s="5">
        <f>0.15*(Y190-Y189)+(1-0.15)*AY189</f>
        <v>0.15122696096184018</v>
      </c>
      <c r="AZ190" s="5">
        <f>0.25*(Y190-Y189)+(1-0.25)*AZ189</f>
        <v>0.29644130824442438</v>
      </c>
      <c r="BA190" s="5">
        <f>0.45*(Y190-Y189)+(1-0.45)*BA189</f>
        <v>0.80495038713927369</v>
      </c>
      <c r="BB190" s="5">
        <f>0.85*(Y190-Y189)+(1-0.85)*BB189</f>
        <v>1.5293226785751437</v>
      </c>
      <c r="BC190" s="5">
        <f>Y190+AY190</f>
        <v>150.55584393052575</v>
      </c>
      <c r="BD190" s="5">
        <f>Y190+AZ190</f>
        <v>150.70105827780833</v>
      </c>
      <c r="BE190" s="5">
        <f>Y190+BA190</f>
        <v>151.20956735670319</v>
      </c>
      <c r="BF190" s="5">
        <f>Y190+BB190</f>
        <v>151.93393964813905</v>
      </c>
      <c r="BG190" s="5">
        <f t="shared" si="52"/>
        <v>3.682041069474252</v>
      </c>
      <c r="BH190" s="5">
        <f t="shared" si="53"/>
        <v>3.5368267221916767</v>
      </c>
      <c r="BI190" s="5">
        <f t="shared" si="54"/>
        <v>3.0283176432968162</v>
      </c>
      <c r="BJ190" s="5">
        <f t="shared" si="55"/>
        <v>2.3039453518609605</v>
      </c>
    </row>
    <row r="191" spans="13:62" x14ac:dyDescent="0.35">
      <c r="M191" s="2">
        <v>189</v>
      </c>
      <c r="N191" s="3">
        <v>44053</v>
      </c>
      <c r="O191" s="1">
        <v>112.533356</v>
      </c>
      <c r="P191" s="1">
        <v>158.53358499999999</v>
      </c>
      <c r="R191" s="5">
        <f t="shared" si="45"/>
        <v>104.29947345714814</v>
      </c>
      <c r="S191" s="5">
        <f t="shared" si="46"/>
        <v>109.59333282994845</v>
      </c>
      <c r="T191" s="5">
        <f t="shared" si="47"/>
        <v>111.10262757812448</v>
      </c>
      <c r="U191" s="5">
        <f t="shared" si="48"/>
        <v>111.31294634376795</v>
      </c>
      <c r="V191" s="5"/>
      <c r="W191" s="5">
        <f>0.15*P190+(1-0.15)*W190</f>
        <v>150.35636878955924</v>
      </c>
      <c r="X191" s="5">
        <f>0.35*P190+(1-0.35)*X190</f>
        <v>151.38010485807365</v>
      </c>
      <c r="Y191" s="5">
        <f>0.55*P190+(1-0.55)*Y190</f>
        <v>152.51291438630375</v>
      </c>
      <c r="Z191" s="5">
        <f>0.75*P190+(1-0.75)*Z190</f>
        <v>153.45104590356527</v>
      </c>
      <c r="AB191" s="5">
        <f t="shared" si="37"/>
        <v>7.3168372787636935</v>
      </c>
      <c r="AC191" s="5">
        <f t="shared" si="38"/>
        <v>2.612579304976514</v>
      </c>
      <c r="AD191" s="5">
        <f t="shared" si="39"/>
        <v>1.2713816353930778</v>
      </c>
      <c r="AE191" s="5">
        <f t="shared" si="40"/>
        <v>1.0844870353213762</v>
      </c>
      <c r="AG191" s="5">
        <f>ABS((P191-W191)/P191)*100</f>
        <v>5.1580339966706408</v>
      </c>
      <c r="AH191" s="5">
        <f>ABS((P191-X191)/P191)*100</f>
        <v>4.512280563090993</v>
      </c>
      <c r="AI191" s="5">
        <f>ABS((P191-Y191)/P191)*100</f>
        <v>3.7977256451345878</v>
      </c>
      <c r="AJ191" s="5">
        <f>ABS((P191-Z191)/P191)*100</f>
        <v>3.2059699504270434</v>
      </c>
      <c r="AL191" s="5">
        <f>0.15*(T191-T190)+(1-0.15)*AL190</f>
        <v>1.4031505374513666</v>
      </c>
      <c r="AM191" s="5">
        <f>0.25*(T191-T190)+(1-0.25)*AM190</f>
        <v>1.5656617897117142</v>
      </c>
      <c r="AN191" s="5">
        <f>0.45*(T191-T190)+(1-0.45)*AN190</f>
        <v>1.2154049288020996</v>
      </c>
      <c r="AO191" s="5">
        <f>0.85*(T191-T190)+(1-0.85)*AO190</f>
        <v>0.18305723641101992</v>
      </c>
      <c r="AP191" s="5">
        <f>T191+AL191</f>
        <v>112.50577811557585</v>
      </c>
      <c r="AQ191" s="5">
        <f t="shared" si="41"/>
        <v>112.66828936783619</v>
      </c>
      <c r="AR191" s="5">
        <f t="shared" si="42"/>
        <v>112.31803250692658</v>
      </c>
      <c r="AS191" s="5">
        <f t="shared" si="43"/>
        <v>111.2856848145355</v>
      </c>
      <c r="AT191" s="5">
        <f t="shared" si="49"/>
        <v>2.7577884424147214E-2</v>
      </c>
      <c r="AU191" s="5">
        <f t="shared" si="50"/>
        <v>45.865295632163793</v>
      </c>
      <c r="AV191" s="5">
        <f t="shared" si="51"/>
        <v>112.31803250692658</v>
      </c>
      <c r="AW191" s="5">
        <f t="shared" si="44"/>
        <v>6.9862113573873614</v>
      </c>
      <c r="AY191" s="5">
        <f>0.15*(Y191-Y190)+(1-0.15)*AY190</f>
        <v>0.44478752932854082</v>
      </c>
      <c r="AZ191" s="5">
        <f>0.25*(Y191-Y190)+(1-0.25)*AZ190</f>
        <v>0.74940533536827947</v>
      </c>
      <c r="BA191" s="5">
        <f>0.45*(Y191-Y190)+(1-0.45)*BA190</f>
        <v>1.3914565504595306</v>
      </c>
      <c r="BB191" s="5">
        <f>0.85*(Y191-Y190)+(1-0.85)*BB190</f>
        <v>2.0214512060151395</v>
      </c>
      <c r="BC191" s="5">
        <f>Y191+AY191</f>
        <v>152.9577019156323</v>
      </c>
      <c r="BD191" s="5">
        <f>Y191+AZ191</f>
        <v>153.26231972167201</v>
      </c>
      <c r="BE191" s="5">
        <f>Y191+BA191</f>
        <v>153.90437093676329</v>
      </c>
      <c r="BF191" s="5">
        <f>Y191+BB191</f>
        <v>154.53436559231889</v>
      </c>
      <c r="BG191" s="5">
        <f t="shared" si="52"/>
        <v>5.575883084367689</v>
      </c>
      <c r="BH191" s="5">
        <f t="shared" si="53"/>
        <v>5.2712652783279736</v>
      </c>
      <c r="BI191" s="5">
        <f t="shared" si="54"/>
        <v>4.6292140632367023</v>
      </c>
      <c r="BJ191" s="5">
        <f t="shared" si="55"/>
        <v>3.9992194076810961</v>
      </c>
    </row>
    <row r="192" spans="13:62" x14ac:dyDescent="0.35">
      <c r="M192" s="2">
        <v>190</v>
      </c>
      <c r="N192" s="3">
        <v>44054</v>
      </c>
      <c r="O192" s="1">
        <v>109.186623</v>
      </c>
      <c r="P192" s="1">
        <v>159.378815</v>
      </c>
      <c r="R192" s="5">
        <f t="shared" si="45"/>
        <v>105.53455583857593</v>
      </c>
      <c r="S192" s="5">
        <f t="shared" si="46"/>
        <v>110.62234093946648</v>
      </c>
      <c r="T192" s="5">
        <f t="shared" si="47"/>
        <v>111.88952821015602</v>
      </c>
      <c r="U192" s="5">
        <f t="shared" si="48"/>
        <v>112.22825358594199</v>
      </c>
      <c r="V192" s="5"/>
      <c r="W192" s="5">
        <f>0.15*P191+(1-0.15)*W191</f>
        <v>151.58295122112534</v>
      </c>
      <c r="X192" s="5">
        <f>0.35*P191+(1-0.35)*X191</f>
        <v>153.88382290774788</v>
      </c>
      <c r="Y192" s="5">
        <f>0.55*P191+(1-0.55)*Y191</f>
        <v>155.82428322383669</v>
      </c>
      <c r="Z192" s="5">
        <f>0.75*P191+(1-0.75)*Z191</f>
        <v>157.2629502258913</v>
      </c>
      <c r="AB192" s="5">
        <f t="shared" si="37"/>
        <v>3.3447935846720629</v>
      </c>
      <c r="AC192" s="5">
        <f t="shared" si="38"/>
        <v>1.3149210956606703</v>
      </c>
      <c r="AD192" s="5">
        <f t="shared" si="39"/>
        <v>2.4754911690565047</v>
      </c>
      <c r="AE192" s="5">
        <f t="shared" si="40"/>
        <v>2.7857172448148599</v>
      </c>
      <c r="AG192" s="5">
        <f>ABS((P192-W192)/P192)*100</f>
        <v>4.8914052842434934</v>
      </c>
      <c r="AH192" s="5">
        <f>ABS((P192-X192)/P192)*100</f>
        <v>3.4477556457250098</v>
      </c>
      <c r="AI192" s="5">
        <f>ABS((P192-Y192)/P192)*100</f>
        <v>2.2302410619399549</v>
      </c>
      <c r="AJ192" s="5">
        <f>ABS((P192-Z192)/P192)*100</f>
        <v>1.3275696485186572</v>
      </c>
      <c r="AL192" s="5">
        <f>0.15*(T192-T191)+(1-0.15)*AL191</f>
        <v>1.3107130516383914</v>
      </c>
      <c r="AM192" s="5">
        <f>0.25*(T192-T191)+(1-0.25)*AM191</f>
        <v>1.3709715002916687</v>
      </c>
      <c r="AN192" s="5">
        <f>0.45*(T192-T191)+(1-0.45)*AN191</f>
        <v>1.0225779952553442</v>
      </c>
      <c r="AO192" s="5">
        <f>0.85*(T192-T191)+(1-0.85)*AO191</f>
        <v>0.69632412268845534</v>
      </c>
      <c r="AP192" s="5">
        <f>T192+AL192</f>
        <v>113.2002412617944</v>
      </c>
      <c r="AQ192" s="5">
        <f t="shared" si="41"/>
        <v>113.26049971044769</v>
      </c>
      <c r="AR192" s="5">
        <f t="shared" si="42"/>
        <v>112.91210620541136</v>
      </c>
      <c r="AS192" s="5">
        <f t="shared" si="43"/>
        <v>112.58585233284447</v>
      </c>
      <c r="AT192" s="5">
        <f t="shared" si="49"/>
        <v>4.0136182617944058</v>
      </c>
      <c r="AU192" s="5">
        <f t="shared" si="50"/>
        <v>46.118315289552314</v>
      </c>
      <c r="AV192" s="5">
        <f t="shared" si="51"/>
        <v>112.91210620541136</v>
      </c>
      <c r="AW192" s="5">
        <f t="shared" si="44"/>
        <v>7.0512964942685414</v>
      </c>
      <c r="AY192" s="5">
        <f>0.15*(Y192-Y191)+(1-0.15)*AY191</f>
        <v>0.87477472555920044</v>
      </c>
      <c r="AZ192" s="5">
        <f>0.25*(Y192-Y191)+(1-0.25)*AZ191</f>
        <v>1.3898962109094444</v>
      </c>
      <c r="BA192" s="5">
        <f>0.45*(Y192-Y191)+(1-0.45)*BA191</f>
        <v>2.2554170796425641</v>
      </c>
      <c r="BB192" s="5">
        <f>0.85*(Y192-Y191)+(1-0.85)*BB191</f>
        <v>3.1178811928052692</v>
      </c>
      <c r="BC192" s="5">
        <f>Y192+AY192</f>
        <v>156.69905794939589</v>
      </c>
      <c r="BD192" s="5">
        <f>Y192+AZ192</f>
        <v>157.21417943474614</v>
      </c>
      <c r="BE192" s="5">
        <f>Y192+BA192</f>
        <v>158.07970030347926</v>
      </c>
      <c r="BF192" s="5">
        <f>Y192+BB192</f>
        <v>158.94216441664196</v>
      </c>
      <c r="BG192" s="5">
        <f t="shared" si="52"/>
        <v>2.6797570506041097</v>
      </c>
      <c r="BH192" s="5">
        <f t="shared" si="53"/>
        <v>2.1646355652538602</v>
      </c>
      <c r="BI192" s="5">
        <f t="shared" si="54"/>
        <v>1.2991146965207463</v>
      </c>
      <c r="BJ192" s="5">
        <f t="shared" si="55"/>
        <v>0.43665058335804474</v>
      </c>
    </row>
    <row r="193" spans="13:62" x14ac:dyDescent="0.35">
      <c r="M193" s="2">
        <v>191</v>
      </c>
      <c r="N193" s="3">
        <v>44055</v>
      </c>
      <c r="O193" s="1">
        <v>112.815369</v>
      </c>
      <c r="P193" s="1">
        <v>159.16999799999999</v>
      </c>
      <c r="R193" s="5">
        <f t="shared" si="45"/>
        <v>106.08236591278953</v>
      </c>
      <c r="S193" s="5">
        <f t="shared" si="46"/>
        <v>110.11983966065321</v>
      </c>
      <c r="T193" s="5">
        <f t="shared" si="47"/>
        <v>110.40293034457021</v>
      </c>
      <c r="U193" s="5">
        <f t="shared" si="48"/>
        <v>109.9470306464855</v>
      </c>
      <c r="V193" s="5"/>
      <c r="W193" s="5">
        <f>0.15*P192+(1-0.15)*W192</f>
        <v>152.75233078795654</v>
      </c>
      <c r="X193" s="5">
        <f>0.35*P192+(1-0.35)*X192</f>
        <v>155.80707014003613</v>
      </c>
      <c r="Y193" s="5">
        <f>0.55*P192+(1-0.55)*Y192</f>
        <v>157.77927570072649</v>
      </c>
      <c r="Z193" s="5">
        <f>0.75*P192+(1-0.75)*Z192</f>
        <v>158.84984880647283</v>
      </c>
      <c r="AB193" s="5">
        <f t="shared" si="37"/>
        <v>5.9681612061300591</v>
      </c>
      <c r="AC193" s="5">
        <f t="shared" si="38"/>
        <v>2.3893281236768291</v>
      </c>
      <c r="AD193" s="5">
        <f t="shared" si="39"/>
        <v>2.1383953948949945</v>
      </c>
      <c r="AE193" s="5">
        <f t="shared" si="40"/>
        <v>2.5425067337363427</v>
      </c>
      <c r="AG193" s="5">
        <f>ABS((P193-W193)/P193)*100</f>
        <v>4.031957839217573</v>
      </c>
      <c r="AH193" s="5">
        <f>ABS((P193-X193)/P193)*100</f>
        <v>2.1127900372052912</v>
      </c>
      <c r="AI193" s="5">
        <f>ABS((P193-Y193)/P193)*100</f>
        <v>0.87373394279586891</v>
      </c>
      <c r="AJ193" s="5">
        <f>ABS((P193-Z193)/P193)*100</f>
        <v>0.2011366448136524</v>
      </c>
      <c r="AL193" s="5">
        <f>0.15*(T193-T192)+(1-0.15)*AL192</f>
        <v>0.8911164140547615</v>
      </c>
      <c r="AM193" s="5">
        <f>0.25*(T193-T192)+(1-0.25)*AM192</f>
        <v>0.65657915882229978</v>
      </c>
      <c r="AN193" s="5">
        <f>0.45*(T193-T192)+(1-0.45)*AN192</f>
        <v>-0.10655114212317396</v>
      </c>
      <c r="AO193" s="5">
        <f>0.85*(T193-T192)+(1-0.85)*AO192</f>
        <v>-1.1591595673446677</v>
      </c>
      <c r="AP193" s="5">
        <f>T193+AL193</f>
        <v>111.29404675862497</v>
      </c>
      <c r="AQ193" s="5">
        <f t="shared" si="41"/>
        <v>111.0595095033925</v>
      </c>
      <c r="AR193" s="5">
        <f t="shared" si="42"/>
        <v>110.29637920244703</v>
      </c>
      <c r="AS193" s="5">
        <f t="shared" si="43"/>
        <v>109.24377077722554</v>
      </c>
      <c r="AT193" s="5">
        <f t="shared" si="49"/>
        <v>1.5213222413750316</v>
      </c>
      <c r="AU193" s="5">
        <f t="shared" si="50"/>
        <v>48.110488496607488</v>
      </c>
      <c r="AV193" s="5">
        <f t="shared" si="51"/>
        <v>110.29637920244703</v>
      </c>
      <c r="AW193" s="5">
        <f t="shared" si="44"/>
        <v>3.1614048644360082</v>
      </c>
      <c r="AY193" s="5">
        <f>0.15*(Y193-Y192)+(1-0.15)*AY192</f>
        <v>1.0368073882587903</v>
      </c>
      <c r="AZ193" s="5">
        <f>0.25*(Y193-Y192)+(1-0.25)*AZ192</f>
        <v>1.531170277404533</v>
      </c>
      <c r="BA193" s="5">
        <f>0.45*(Y193-Y192)+(1-0.45)*BA192</f>
        <v>2.1202260084038205</v>
      </c>
      <c r="BB193" s="5">
        <f>0.85*(Y193-Y192)+(1-0.85)*BB192</f>
        <v>2.12942578427712</v>
      </c>
      <c r="BC193" s="5">
        <f>Y193+AY193</f>
        <v>158.81608308898527</v>
      </c>
      <c r="BD193" s="5">
        <f>Y193+AZ193</f>
        <v>159.31044597813101</v>
      </c>
      <c r="BE193" s="5">
        <f>Y193+BA193</f>
        <v>159.89950170913031</v>
      </c>
      <c r="BF193" s="5">
        <f>Y193+BB193</f>
        <v>159.9087014850036</v>
      </c>
      <c r="BG193" s="5">
        <f t="shared" si="52"/>
        <v>0.35391491101472639</v>
      </c>
      <c r="BH193" s="5">
        <f t="shared" si="53"/>
        <v>0.1404479781310215</v>
      </c>
      <c r="BI193" s="5">
        <f t="shared" si="54"/>
        <v>0.72950370913031293</v>
      </c>
      <c r="BJ193" s="5">
        <f t="shared" si="55"/>
        <v>0.7387034850036116</v>
      </c>
    </row>
    <row r="194" spans="13:62" x14ac:dyDescent="0.35">
      <c r="M194" s="2">
        <v>192</v>
      </c>
      <c r="N194" s="3">
        <v>44056</v>
      </c>
      <c r="O194" s="1">
        <v>114.81192</v>
      </c>
      <c r="P194" s="1">
        <v>158.979996</v>
      </c>
      <c r="R194" s="5">
        <f t="shared" si="45"/>
        <v>107.09231637587109</v>
      </c>
      <c r="S194" s="5">
        <f t="shared" si="46"/>
        <v>111.06327492942459</v>
      </c>
      <c r="T194" s="5">
        <f t="shared" si="47"/>
        <v>111.72977160505658</v>
      </c>
      <c r="U194" s="5">
        <f t="shared" si="48"/>
        <v>112.09828441162136</v>
      </c>
      <c r="V194" s="5"/>
      <c r="W194" s="5">
        <f>0.15*P193+(1-0.15)*W193</f>
        <v>153.71498086976305</v>
      </c>
      <c r="X194" s="5">
        <f>0.35*P193+(1-0.35)*X193</f>
        <v>156.98409489102349</v>
      </c>
      <c r="Y194" s="5">
        <f>0.55*P193+(1-0.55)*Y193</f>
        <v>158.54417296532694</v>
      </c>
      <c r="Z194" s="5">
        <f>0.75*P193+(1-0.75)*Z193</f>
        <v>159.08996070161822</v>
      </c>
      <c r="AB194" s="5">
        <f t="shared" si="37"/>
        <v>6.7236952610224696</v>
      </c>
      <c r="AC194" s="5">
        <f t="shared" si="38"/>
        <v>3.2650312533536647</v>
      </c>
      <c r="AD194" s="5">
        <f t="shared" si="39"/>
        <v>2.6845195123846173</v>
      </c>
      <c r="AE194" s="5">
        <f t="shared" si="40"/>
        <v>2.363548652769361</v>
      </c>
      <c r="AG194" s="5">
        <f>ABS((P194-W194)/P194)*100</f>
        <v>3.3117469258440204</v>
      </c>
      <c r="AH194" s="5">
        <f>ABS((P194-X194)/P194)*100</f>
        <v>1.2554416651114466</v>
      </c>
      <c r="AI194" s="5">
        <f>ABS((P194-Y194)/P194)*100</f>
        <v>0.27413702707167231</v>
      </c>
      <c r="AJ194" s="5">
        <f>ABS((P194-Z194)/P194)*100</f>
        <v>6.9168891926645021E-2</v>
      </c>
      <c r="AL194" s="5">
        <f>0.15*(T194-T193)+(1-0.15)*AL193</f>
        <v>0.95647514101950359</v>
      </c>
      <c r="AM194" s="5">
        <f>0.25*(T194-T193)+(1-0.25)*AM193</f>
        <v>0.82414468423831866</v>
      </c>
      <c r="AN194" s="5">
        <f>0.45*(T194-T193)+(1-0.45)*AN193</f>
        <v>0.53847543905112327</v>
      </c>
      <c r="AO194" s="5">
        <f>0.85*(T194-T193)+(1-0.85)*AO193</f>
        <v>0.95394113631171895</v>
      </c>
      <c r="AP194" s="5">
        <f>T194+AL194</f>
        <v>112.68624674607609</v>
      </c>
      <c r="AQ194" s="5">
        <f t="shared" si="41"/>
        <v>112.5539162892949</v>
      </c>
      <c r="AR194" s="5">
        <f t="shared" si="42"/>
        <v>112.26824704410771</v>
      </c>
      <c r="AS194" s="5">
        <f t="shared" si="43"/>
        <v>112.6837127413683</v>
      </c>
      <c r="AT194" s="5">
        <f t="shared" si="49"/>
        <v>2.1256732539239067</v>
      </c>
      <c r="AU194" s="5">
        <f t="shared" si="50"/>
        <v>46.426079710705096</v>
      </c>
      <c r="AV194" s="5">
        <f t="shared" si="51"/>
        <v>112.26824704410771</v>
      </c>
      <c r="AW194" s="5">
        <f t="shared" si="44"/>
        <v>5.5913963654972036</v>
      </c>
      <c r="AY194" s="5">
        <f>0.15*(Y194-Y193)+(1-0.15)*AY193</f>
        <v>0.99602086971003911</v>
      </c>
      <c r="AZ194" s="5">
        <f>0.25*(Y194-Y193)+(1-0.25)*AZ193</f>
        <v>1.3396020242035123</v>
      </c>
      <c r="BA194" s="5">
        <f>0.45*(Y194-Y193)+(1-0.45)*BA193</f>
        <v>1.5103280736923035</v>
      </c>
      <c r="BB194" s="5">
        <f>0.85*(Y194-Y193)+(1-0.85)*BB193</f>
        <v>0.96957654255195003</v>
      </c>
      <c r="BC194" s="5">
        <f>Y194+AY194</f>
        <v>159.54019383503697</v>
      </c>
      <c r="BD194" s="5">
        <f>Y194+AZ194</f>
        <v>159.88377498953045</v>
      </c>
      <c r="BE194" s="5">
        <f>Y194+BA194</f>
        <v>160.05450103901924</v>
      </c>
      <c r="BF194" s="5">
        <f>Y194+BB194</f>
        <v>159.51374950787888</v>
      </c>
      <c r="BG194" s="5">
        <f t="shared" si="52"/>
        <v>0.5601978350369734</v>
      </c>
      <c r="BH194" s="5">
        <f t="shared" si="53"/>
        <v>0.90377898953045133</v>
      </c>
      <c r="BI194" s="5">
        <f t="shared" si="54"/>
        <v>1.0745050390192432</v>
      </c>
      <c r="BJ194" s="5">
        <f t="shared" si="55"/>
        <v>0.53375350787888465</v>
      </c>
    </row>
    <row r="195" spans="13:62" x14ac:dyDescent="0.35">
      <c r="M195" s="2">
        <v>193</v>
      </c>
      <c r="N195" s="3">
        <v>44057</v>
      </c>
      <c r="O195" s="1">
        <v>114.709602</v>
      </c>
      <c r="P195" s="1">
        <v>160.279999</v>
      </c>
      <c r="R195" s="5">
        <f t="shared" si="45"/>
        <v>108.25025691949043</v>
      </c>
      <c r="S195" s="5">
        <f t="shared" si="46"/>
        <v>112.37530070412598</v>
      </c>
      <c r="T195" s="5">
        <f t="shared" si="47"/>
        <v>113.42495322227546</v>
      </c>
      <c r="U195" s="5">
        <f t="shared" si="48"/>
        <v>114.13351110290535</v>
      </c>
      <c r="V195" s="5"/>
      <c r="W195" s="5">
        <f>0.15*P194+(1-0.15)*W194</f>
        <v>154.50473313929857</v>
      </c>
      <c r="X195" s="5">
        <f>0.35*P194+(1-0.35)*X194</f>
        <v>157.68266027916528</v>
      </c>
      <c r="Y195" s="5">
        <f>0.55*P194+(1-0.55)*Y194</f>
        <v>158.78387563439713</v>
      </c>
      <c r="Z195" s="5">
        <f>0.75*P194+(1-0.75)*Z194</f>
        <v>159.00748717540455</v>
      </c>
      <c r="AB195" s="5">
        <f t="shared" si="37"/>
        <v>5.6310413146665601</v>
      </c>
      <c r="AC195" s="5">
        <f t="shared" si="38"/>
        <v>2.0349659097187236</v>
      </c>
      <c r="AD195" s="5">
        <f t="shared" si="39"/>
        <v>1.1199139002544367</v>
      </c>
      <c r="AE195" s="5">
        <f t="shared" si="40"/>
        <v>0.50221680404283742</v>
      </c>
      <c r="AG195" s="5">
        <f>ABS((P195-W195)/P195)*100</f>
        <v>3.6032355232928581</v>
      </c>
      <c r="AH195" s="5">
        <f>ABS((P195-X195)/P195)*100</f>
        <v>1.6205008341900025</v>
      </c>
      <c r="AI195" s="5">
        <f>ABS((P195-Y195)/P195)*100</f>
        <v>0.93344358306545139</v>
      </c>
      <c r="AJ195" s="5">
        <f>ABS((P195-Z195)/P195)*100</f>
        <v>0.79393051692959804</v>
      </c>
      <c r="AL195" s="5">
        <f>0.15*(T195-T194)+(1-0.15)*AL194</f>
        <v>1.0672811124494097</v>
      </c>
      <c r="AM195" s="5">
        <f>0.25*(T195-T194)+(1-0.25)*AM194</f>
        <v>1.0419039174834586</v>
      </c>
      <c r="AN195" s="5">
        <f>0.45*(T195-T194)+(1-0.45)*AN194</f>
        <v>1.0589932192266132</v>
      </c>
      <c r="AO195" s="5">
        <f>0.85*(T195-T194)+(1-0.85)*AO194</f>
        <v>1.5839955450828045</v>
      </c>
      <c r="AP195" s="5">
        <f>T195+AL195</f>
        <v>114.49223433472487</v>
      </c>
      <c r="AQ195" s="5">
        <f t="shared" si="41"/>
        <v>114.46685713975891</v>
      </c>
      <c r="AR195" s="5">
        <f t="shared" si="42"/>
        <v>114.48394644150207</v>
      </c>
      <c r="AS195" s="5">
        <f t="shared" si="43"/>
        <v>115.00894876735826</v>
      </c>
      <c r="AT195" s="5">
        <f t="shared" si="49"/>
        <v>0.21736766527513396</v>
      </c>
      <c r="AU195" s="5">
        <f t="shared" si="50"/>
        <v>45.813141860241089</v>
      </c>
      <c r="AV195" s="5">
        <f t="shared" si="51"/>
        <v>114.48394644150207</v>
      </c>
      <c r="AW195" s="5">
        <f t="shared" si="44"/>
        <v>6.7586918478678371</v>
      </c>
      <c r="AY195" s="5">
        <f>0.15*(Y195-Y194)+(1-0.15)*AY194</f>
        <v>0.88257313961406292</v>
      </c>
      <c r="AZ195" s="5">
        <f>0.25*(Y195-Y194)+(1-0.25)*AZ194</f>
        <v>1.0646271854201836</v>
      </c>
      <c r="BA195" s="5">
        <f>0.45*(Y195-Y194)+(1-0.45)*BA194</f>
        <v>0.9385466416123559</v>
      </c>
      <c r="BB195" s="5">
        <f>0.85*(Y195-Y194)+(1-0.85)*BB194</f>
        <v>0.34918375009246061</v>
      </c>
      <c r="BC195" s="5">
        <f>Y195+AY195</f>
        <v>159.6664487740112</v>
      </c>
      <c r="BD195" s="5">
        <f>Y195+AZ195</f>
        <v>159.84850281981733</v>
      </c>
      <c r="BE195" s="5">
        <f>Y195+BA195</f>
        <v>159.7224222760095</v>
      </c>
      <c r="BF195" s="5">
        <f>Y195+BB195</f>
        <v>159.1330593844896</v>
      </c>
      <c r="BG195" s="5">
        <f t="shared" si="52"/>
        <v>0.61355022598880282</v>
      </c>
      <c r="BH195" s="5">
        <f t="shared" si="53"/>
        <v>0.43149618018267688</v>
      </c>
      <c r="BI195" s="5">
        <f t="shared" si="54"/>
        <v>0.55757672399050762</v>
      </c>
      <c r="BJ195" s="5">
        <f t="shared" si="55"/>
        <v>1.146939615510405</v>
      </c>
    </row>
    <row r="196" spans="13:62" x14ac:dyDescent="0.35">
      <c r="M196" s="2">
        <v>194</v>
      </c>
      <c r="N196" s="3">
        <v>44060</v>
      </c>
      <c r="O196" s="1">
        <v>114.41011</v>
      </c>
      <c r="P196" s="1">
        <v>158.759995</v>
      </c>
      <c r="R196" s="5">
        <f t="shared" si="45"/>
        <v>109.21915868156685</v>
      </c>
      <c r="S196" s="5">
        <f t="shared" si="46"/>
        <v>113.19230615768188</v>
      </c>
      <c r="T196" s="5">
        <f t="shared" si="47"/>
        <v>114.13151005002396</v>
      </c>
      <c r="U196" s="5">
        <f t="shared" si="48"/>
        <v>114.56557927572634</v>
      </c>
      <c r="V196" s="5"/>
      <c r="W196" s="5">
        <f>0.15*P195+(1-0.15)*W195</f>
        <v>155.37102301840378</v>
      </c>
      <c r="X196" s="5">
        <f>0.35*P195+(1-0.35)*X195</f>
        <v>158.59172883145743</v>
      </c>
      <c r="Y196" s="5">
        <f>0.55*P195+(1-0.55)*Y195</f>
        <v>159.60674348547872</v>
      </c>
      <c r="Z196" s="5">
        <f>0.75*P195+(1-0.75)*Z195</f>
        <v>159.96187104385115</v>
      </c>
      <c r="AB196" s="5">
        <f t="shared" ref="AB196:AB256" si="56">ABS((O196-R196)/O196)*100</f>
        <v>4.5371438926447585</v>
      </c>
      <c r="AC196" s="5">
        <f t="shared" ref="AC196:AC255" si="57">ABS((O196-S196)/O196)*100</f>
        <v>1.064419781012464</v>
      </c>
      <c r="AD196" s="5">
        <f t="shared" ref="AD196:AD254" si="58">ABS((O196-T196)/O196)*100</f>
        <v>0.24350990482925045</v>
      </c>
      <c r="AE196" s="5">
        <f t="shared" ref="AE196:AE254" si="59">ABS((O196-U196)/O196)*100</f>
        <v>0.13588770758662194</v>
      </c>
      <c r="AG196" s="5">
        <f>ABS((P196-W196)/P196)*100</f>
        <v>2.1346511012401002</v>
      </c>
      <c r="AH196" s="5">
        <f>ABS((P196-X196)/P196)*100</f>
        <v>0.10598776382083712</v>
      </c>
      <c r="AI196" s="5">
        <f>ABS((P196-Y196)/P196)*100</f>
        <v>0.53335129260914438</v>
      </c>
      <c r="AJ196" s="5">
        <f>ABS((P196-Z196)/P196)*100</f>
        <v>0.75703960802665904</v>
      </c>
      <c r="AL196" s="5">
        <f>0.15*(T196-T195)+(1-0.15)*AL195</f>
        <v>1.0131724697442732</v>
      </c>
      <c r="AM196" s="5">
        <f>0.25*(T196-T195)+(1-0.25)*AM195</f>
        <v>0.9580671450497189</v>
      </c>
      <c r="AN196" s="5">
        <f>0.45*(T196-T195)+(1-0.45)*AN195</f>
        <v>0.90039684306146217</v>
      </c>
      <c r="AO196" s="5">
        <f>0.85*(T196-T195)+(1-0.85)*AO195</f>
        <v>0.83817263534864561</v>
      </c>
      <c r="AP196" s="5">
        <f>T196+AL196</f>
        <v>115.14468251976824</v>
      </c>
      <c r="AQ196" s="5">
        <f t="shared" ref="AQ196:AQ255" si="60">T196+AM196</f>
        <v>115.08957719507369</v>
      </c>
      <c r="AR196" s="5">
        <f t="shared" ref="AR196:AR255" si="61">T196+AN196</f>
        <v>115.03190689308542</v>
      </c>
      <c r="AS196" s="5">
        <f t="shared" ref="AS196:AS255" si="62">T196+AO196</f>
        <v>114.9696826853726</v>
      </c>
      <c r="AT196" s="5">
        <f t="shared" si="49"/>
        <v>0.73457251976823557</v>
      </c>
      <c r="AU196" s="5">
        <f t="shared" si="50"/>
        <v>43.670417804926316</v>
      </c>
      <c r="AV196" s="5">
        <f t="shared" si="51"/>
        <v>115.03190689308542</v>
      </c>
      <c r="AW196" s="5">
        <f t="shared" si="51"/>
        <v>5.7505240038057508</v>
      </c>
      <c r="AY196" s="5">
        <f>0.15*(Y196-Y195)+(1-0.15)*AY195</f>
        <v>0.87361734633419086</v>
      </c>
      <c r="AZ196" s="5">
        <f>0.25*(Y196-Y195)+(1-0.25)*AZ195</f>
        <v>1.0041873518355333</v>
      </c>
      <c r="BA196" s="5">
        <f>0.45*(Y196-Y195)+(1-0.45)*BA195</f>
        <v>0.88649118587350806</v>
      </c>
      <c r="BB196" s="5">
        <f>0.85*(Y196-Y195)+(1-0.85)*BB195</f>
        <v>0.7518152359332142</v>
      </c>
      <c r="BC196" s="5">
        <f>Y196+AY196</f>
        <v>160.4803608318129</v>
      </c>
      <c r="BD196" s="5">
        <f>Y196+AZ196</f>
        <v>160.61093083731424</v>
      </c>
      <c r="BE196" s="5">
        <f>Y196+BA196</f>
        <v>160.49323467135221</v>
      </c>
      <c r="BF196" s="5">
        <f>Y196+BB196</f>
        <v>160.35855872141192</v>
      </c>
      <c r="BG196" s="5">
        <f t="shared" si="52"/>
        <v>1.7203658318128987</v>
      </c>
      <c r="BH196" s="5">
        <f t="shared" si="53"/>
        <v>1.8509358373142391</v>
      </c>
      <c r="BI196" s="5">
        <f t="shared" si="54"/>
        <v>1.7332396713522087</v>
      </c>
      <c r="BJ196" s="5">
        <f t="shared" si="55"/>
        <v>1.5985637214119208</v>
      </c>
    </row>
    <row r="197" spans="13:62" x14ac:dyDescent="0.35">
      <c r="M197" s="2">
        <v>195</v>
      </c>
      <c r="N197" s="3">
        <v>44061</v>
      </c>
      <c r="O197" s="1">
        <v>115.363472</v>
      </c>
      <c r="P197" s="1">
        <v>157.38000500000001</v>
      </c>
      <c r="R197" s="5">
        <f t="shared" ref="R197:R255" si="63">0.15*O196+(1-0.15)*R196</f>
        <v>109.99780137933183</v>
      </c>
      <c r="S197" s="5">
        <f t="shared" ref="S197:S255" si="64">0.35*O196+(1-0.35)*S196</f>
        <v>113.61853750249323</v>
      </c>
      <c r="T197" s="5">
        <f t="shared" ref="T197:T255" si="65">0.55*O196+(1-0.55)*T196</f>
        <v>114.28474002251079</v>
      </c>
      <c r="U197" s="5">
        <f t="shared" ref="U197:U255" si="66">0.75*O196+(1-0.75)*U196</f>
        <v>114.44897731893158</v>
      </c>
      <c r="V197" s="5"/>
      <c r="W197" s="5">
        <f>0.15*P196+(1-0.15)*W196</f>
        <v>155.8793688156432</v>
      </c>
      <c r="X197" s="5">
        <f>0.35*P196+(1-0.35)*X196</f>
        <v>158.65062199044732</v>
      </c>
      <c r="Y197" s="5">
        <f>0.55*P196+(1-0.55)*Y196</f>
        <v>159.14103181846542</v>
      </c>
      <c r="Z197" s="5">
        <f>0.75*P196+(1-0.75)*Z196</f>
        <v>159.06046401096279</v>
      </c>
      <c r="AB197" s="5">
        <f t="shared" si="56"/>
        <v>4.6511001512403931</v>
      </c>
      <c r="AC197" s="5">
        <f t="shared" si="57"/>
        <v>1.5125537288846298</v>
      </c>
      <c r="AD197" s="5">
        <f t="shared" si="58"/>
        <v>0.93507239231601191</v>
      </c>
      <c r="AE197" s="5">
        <f t="shared" si="59"/>
        <v>0.79270731472820011</v>
      </c>
      <c r="AG197" s="5">
        <f>ABS((P197-W197)/P197)*100</f>
        <v>0.95351133351203476</v>
      </c>
      <c r="AH197" s="5">
        <f>ABS((P197-X197)/P197)*100</f>
        <v>0.80735604910376535</v>
      </c>
      <c r="AI197" s="5">
        <f>ABS((P197-Y197)/P197)*100</f>
        <v>1.1189647747599258</v>
      </c>
      <c r="AJ197" s="5">
        <f>ABS((P197-Z197)/P197)*100</f>
        <v>1.0677716085742772</v>
      </c>
      <c r="AL197" s="5">
        <f>0.15*(T197-T196)+(1-0.15)*AL196</f>
        <v>0.88418109515565624</v>
      </c>
      <c r="AM197" s="5">
        <f>0.25*(T197-T196)+(1-0.25)*AM196</f>
        <v>0.7568578519089959</v>
      </c>
      <c r="AN197" s="5">
        <f>0.45*(T197-T196)+(1-0.45)*AN196</f>
        <v>0.56417175130287622</v>
      </c>
      <c r="AO197" s="5">
        <f>0.85*(T197-T196)+(1-0.85)*AO196</f>
        <v>0.25597137191609953</v>
      </c>
      <c r="AP197" s="5">
        <f>T197+AL197</f>
        <v>115.16892111766644</v>
      </c>
      <c r="AQ197" s="5">
        <f t="shared" si="60"/>
        <v>115.04159787441978</v>
      </c>
      <c r="AR197" s="5">
        <f t="shared" si="61"/>
        <v>114.84891177381367</v>
      </c>
      <c r="AS197" s="5">
        <f t="shared" si="62"/>
        <v>114.54071139442689</v>
      </c>
      <c r="AT197" s="5">
        <f t="shared" ref="AT197:AT255" si="67">ABS(O197-AP197)</f>
        <v>0.19455088233355866</v>
      </c>
      <c r="AU197" s="5">
        <f t="shared" ref="AU197:AU255" si="68">ABS(P197-AQ197)</f>
        <v>42.338407125580233</v>
      </c>
      <c r="AV197" s="5">
        <f t="shared" ref="AT197:AW255" si="69">ABS(Q197-AR197)</f>
        <v>114.84891177381367</v>
      </c>
      <c r="AW197" s="5">
        <f t="shared" si="69"/>
        <v>4.5429100150950603</v>
      </c>
      <c r="AY197" s="5">
        <f>0.15*(Y197-Y196)+(1-0.15)*AY196</f>
        <v>0.67271799433206803</v>
      </c>
      <c r="AZ197" s="5">
        <f>0.25*(Y197-Y196)+(1-0.25)*AZ196</f>
        <v>0.63671259712332628</v>
      </c>
      <c r="BA197" s="5">
        <f>0.45*(Y197-Y196)+(1-0.45)*BA196</f>
        <v>0.27799990207444669</v>
      </c>
      <c r="BB197" s="5">
        <f>0.85*(Y197-Y196)+(1-0.85)*BB196</f>
        <v>-0.28308263157131863</v>
      </c>
      <c r="BC197" s="5">
        <f>Y197+AY197</f>
        <v>159.81374981279748</v>
      </c>
      <c r="BD197" s="5">
        <f>Y197+AZ197</f>
        <v>159.77774441558876</v>
      </c>
      <c r="BE197" s="5">
        <f>Y197+BA197</f>
        <v>159.41903172053986</v>
      </c>
      <c r="BF197" s="5">
        <f>Y197+BB197</f>
        <v>158.8579491868941</v>
      </c>
      <c r="BG197" s="5">
        <f t="shared" ref="BG197:BG255" si="70">ABS(P197-BC197)</f>
        <v>2.433744812797471</v>
      </c>
      <c r="BH197" s="5">
        <f t="shared" ref="BH197:BH255" si="71">ABS(P197-BD197)</f>
        <v>2.3977394155887453</v>
      </c>
      <c r="BI197" s="5">
        <f t="shared" ref="BI197:BI255" si="72">ABS(P197-BE197)</f>
        <v>2.0390267205398516</v>
      </c>
      <c r="BJ197" s="5">
        <f t="shared" ref="BJ197:BJ255" si="73">ABS(P197-BF197)</f>
        <v>1.4779441868940921</v>
      </c>
    </row>
    <row r="198" spans="13:62" x14ac:dyDescent="0.35">
      <c r="M198" s="2">
        <v>196</v>
      </c>
      <c r="N198" s="3">
        <v>44062</v>
      </c>
      <c r="O198" s="1">
        <v>115.508217</v>
      </c>
      <c r="P198" s="1">
        <v>156.85000600000001</v>
      </c>
      <c r="R198" s="5">
        <f t="shared" si="63"/>
        <v>110.80265197243205</v>
      </c>
      <c r="S198" s="5">
        <f t="shared" si="64"/>
        <v>114.22926457662059</v>
      </c>
      <c r="T198" s="5">
        <f t="shared" si="65"/>
        <v>114.87804261012985</v>
      </c>
      <c r="U198" s="5">
        <f t="shared" si="66"/>
        <v>115.1348483297329</v>
      </c>
      <c r="V198" s="5"/>
      <c r="W198" s="5">
        <f>0.15*P197+(1-0.15)*W197</f>
        <v>156.10446424329672</v>
      </c>
      <c r="X198" s="5">
        <f>0.35*P197+(1-0.35)*X197</f>
        <v>158.20590604379078</v>
      </c>
      <c r="Y198" s="5">
        <f>0.55*P197+(1-0.55)*Y197</f>
        <v>158.17246706830946</v>
      </c>
      <c r="Z198" s="5">
        <f>0.75*P197+(1-0.75)*Z197</f>
        <v>157.80011975274073</v>
      </c>
      <c r="AB198" s="5">
        <f t="shared" si="56"/>
        <v>4.0737924537160479</v>
      </c>
      <c r="AC198" s="5">
        <f t="shared" si="57"/>
        <v>1.1072393433095831</v>
      </c>
      <c r="AD198" s="5">
        <f t="shared" si="58"/>
        <v>0.54556671917994271</v>
      </c>
      <c r="AE198" s="5">
        <f t="shared" si="59"/>
        <v>0.32323992176859412</v>
      </c>
      <c r="AG198" s="5">
        <f>ABS((P198-W198)/P198)*100</f>
        <v>0.47532147158686722</v>
      </c>
      <c r="AH198" s="5">
        <f>ABS((P198-X198)/P198)*100</f>
        <v>0.86445648194031199</v>
      </c>
      <c r="AI198" s="5">
        <f>ABS((P198-Y198)/P198)*100</f>
        <v>0.84313740371132084</v>
      </c>
      <c r="AJ198" s="5">
        <f>ABS((P198-Z198)/P198)*100</f>
        <v>0.60574671112267564</v>
      </c>
      <c r="AL198" s="5">
        <f>0.15*(T198-T197)+(1-0.15)*AL197</f>
        <v>0.84054931902516739</v>
      </c>
      <c r="AM198" s="5">
        <f>0.25*(T198-T197)+(1-0.25)*AM197</f>
        <v>0.71596903583651295</v>
      </c>
      <c r="AN198" s="5">
        <f>0.45*(T198-T197)+(1-0.45)*AN197</f>
        <v>0.57728062764516075</v>
      </c>
      <c r="AO198" s="5">
        <f>0.85*(T198-T197)+(1-0.85)*AO197</f>
        <v>0.54270290526361931</v>
      </c>
      <c r="AP198" s="5">
        <f>T198+AL198</f>
        <v>115.71859192915502</v>
      </c>
      <c r="AQ198" s="5">
        <f t="shared" si="60"/>
        <v>115.59401164596636</v>
      </c>
      <c r="AR198" s="5">
        <f t="shared" si="61"/>
        <v>115.45532323777502</v>
      </c>
      <c r="AS198" s="5">
        <f t="shared" si="62"/>
        <v>115.42074551539348</v>
      </c>
      <c r="AT198" s="5">
        <f t="shared" si="67"/>
        <v>0.21037492915502298</v>
      </c>
      <c r="AU198" s="5">
        <f t="shared" si="68"/>
        <v>41.255994354033646</v>
      </c>
      <c r="AV198" s="5">
        <f t="shared" si="69"/>
        <v>115.45532323777502</v>
      </c>
      <c r="AW198" s="5">
        <f t="shared" si="69"/>
        <v>4.6180935429614323</v>
      </c>
      <c r="AY198" s="5">
        <f>0.15*(Y198-Y197)+(1-0.15)*AY197</f>
        <v>0.42652558265886337</v>
      </c>
      <c r="AZ198" s="5">
        <f>0.25*(Y198-Y197)+(1-0.25)*AZ197</f>
        <v>0.23539326030350399</v>
      </c>
      <c r="BA198" s="5">
        <f>0.45*(Y198-Y197)+(1-0.45)*BA197</f>
        <v>-0.28295419142923761</v>
      </c>
      <c r="BB198" s="5">
        <f>0.85*(Y198-Y197)+(1-0.85)*BB197</f>
        <v>-0.8657424323682662</v>
      </c>
      <c r="BC198" s="5">
        <f>Y198+AY198</f>
        <v>158.59899265096831</v>
      </c>
      <c r="BD198" s="5">
        <f>Y198+AZ198</f>
        <v>158.40786032861297</v>
      </c>
      <c r="BE198" s="5">
        <f>Y198+BA198</f>
        <v>157.88951287688022</v>
      </c>
      <c r="BF198" s="5">
        <f>Y198+BB198</f>
        <v>157.30672463594118</v>
      </c>
      <c r="BG198" s="5">
        <f t="shared" si="70"/>
        <v>1.7489866509683054</v>
      </c>
      <c r="BH198" s="5">
        <f t="shared" si="71"/>
        <v>1.5578543286129616</v>
      </c>
      <c r="BI198" s="5">
        <f t="shared" si="72"/>
        <v>1.0395068768802105</v>
      </c>
      <c r="BJ198" s="5">
        <f t="shared" si="73"/>
        <v>0.45671863594117212</v>
      </c>
    </row>
    <row r="199" spans="13:62" x14ac:dyDescent="0.35">
      <c r="M199" s="2">
        <v>197</v>
      </c>
      <c r="N199" s="3">
        <v>44063</v>
      </c>
      <c r="O199" s="1">
        <v>118.071297</v>
      </c>
      <c r="P199" s="1">
        <v>156.16999799999999</v>
      </c>
      <c r="R199" s="5">
        <f t="shared" si="63"/>
        <v>111.50848672656724</v>
      </c>
      <c r="S199" s="5">
        <f t="shared" si="64"/>
        <v>114.67689792480338</v>
      </c>
      <c r="T199" s="5">
        <f t="shared" si="65"/>
        <v>115.22463852455843</v>
      </c>
      <c r="U199" s="5">
        <f t="shared" si="66"/>
        <v>115.41487483243323</v>
      </c>
      <c r="V199" s="5"/>
      <c r="W199" s="5">
        <f>0.15*P198+(1-0.15)*W198</f>
        <v>156.21629550680223</v>
      </c>
      <c r="X199" s="5">
        <f>0.35*P198+(1-0.35)*X198</f>
        <v>157.73134102846399</v>
      </c>
      <c r="Y199" s="5">
        <f>0.55*P198+(1-0.55)*Y198</f>
        <v>157.44511348073928</v>
      </c>
      <c r="Z199" s="5">
        <f>0.75*P198+(1-0.75)*Z198</f>
        <v>157.08753443818517</v>
      </c>
      <c r="AB199" s="5">
        <f t="shared" si="56"/>
        <v>5.5583452034348024</v>
      </c>
      <c r="AC199" s="5">
        <f t="shared" si="57"/>
        <v>2.8748723537750389</v>
      </c>
      <c r="AD199" s="5">
        <f t="shared" si="58"/>
        <v>2.4109657027326228</v>
      </c>
      <c r="AE199" s="5">
        <f t="shared" si="59"/>
        <v>2.2498458431999557</v>
      </c>
      <c r="AG199" s="5">
        <f>ABS((P199-W199)/P199)*100</f>
        <v>2.9645583271527672E-2</v>
      </c>
      <c r="AH199" s="5">
        <f>ABS((P199-X199)/P199)*100</f>
        <v>0.99977143398823298</v>
      </c>
      <c r="AI199" s="5">
        <f>ABS((P199-Y199)/P199)*100</f>
        <v>0.81649196200878993</v>
      </c>
      <c r="AJ199" s="5">
        <f>ABS((P199-Z199)/P199)*100</f>
        <v>0.58752414031866784</v>
      </c>
      <c r="AL199" s="5">
        <f>0.15*(T199-T198)+(1-0.15)*AL198</f>
        <v>0.76645630833567868</v>
      </c>
      <c r="AM199" s="5">
        <f>0.25*(T199-T198)+(1-0.25)*AM198</f>
        <v>0.62362575548452881</v>
      </c>
      <c r="AN199" s="5">
        <f>0.45*(T199-T198)+(1-0.45)*AN198</f>
        <v>0.47347250669769769</v>
      </c>
      <c r="AO199" s="5">
        <f>0.85*(T199-T198)+(1-0.85)*AO198</f>
        <v>0.37601196305383267</v>
      </c>
      <c r="AP199" s="5">
        <f>T199+AL199</f>
        <v>115.99109483289411</v>
      </c>
      <c r="AQ199" s="5">
        <f t="shared" si="60"/>
        <v>115.84826428004295</v>
      </c>
      <c r="AR199" s="5">
        <f t="shared" si="61"/>
        <v>115.69811103125613</v>
      </c>
      <c r="AS199" s="5">
        <f t="shared" si="62"/>
        <v>115.60065048761226</v>
      </c>
      <c r="AT199" s="5">
        <f t="shared" si="67"/>
        <v>2.0802021671058952</v>
      </c>
      <c r="AU199" s="5">
        <f t="shared" si="68"/>
        <v>40.321733719957038</v>
      </c>
      <c r="AV199" s="5">
        <f t="shared" si="69"/>
        <v>115.69811103125613</v>
      </c>
      <c r="AW199" s="5">
        <f t="shared" si="69"/>
        <v>4.0921637610450148</v>
      </c>
      <c r="AY199" s="5">
        <f>0.15*(Y199-Y198)+(1-0.15)*AY198</f>
        <v>0.25344370712450709</v>
      </c>
      <c r="AZ199" s="5">
        <f>0.25*(Y199-Y198)+(1-0.25)*AZ198</f>
        <v>-5.2934516649165708E-3</v>
      </c>
      <c r="BA199" s="5">
        <f>0.45*(Y199-Y198)+(1-0.45)*BA198</f>
        <v>-0.48293391969266092</v>
      </c>
      <c r="BB199" s="5">
        <f>0.85*(Y199-Y198)+(1-0.85)*BB198</f>
        <v>-0.74811191428989132</v>
      </c>
      <c r="BC199" s="5">
        <f>Y199+AY199</f>
        <v>157.6985571878638</v>
      </c>
      <c r="BD199" s="5">
        <f>Y199+AZ199</f>
        <v>157.43982002907435</v>
      </c>
      <c r="BE199" s="5">
        <f>Y199+BA199</f>
        <v>156.96217956104661</v>
      </c>
      <c r="BF199" s="5">
        <f>Y199+BB199</f>
        <v>156.69700156644939</v>
      </c>
      <c r="BG199" s="5">
        <f t="shared" si="70"/>
        <v>1.5285591878638058</v>
      </c>
      <c r="BH199" s="5">
        <f t="shared" si="71"/>
        <v>1.269822029074362</v>
      </c>
      <c r="BI199" s="5">
        <f t="shared" si="72"/>
        <v>0.7921815610466183</v>
      </c>
      <c r="BJ199" s="5">
        <f t="shared" si="73"/>
        <v>0.52700356644939461</v>
      </c>
    </row>
    <row r="200" spans="13:62" x14ac:dyDescent="0.35">
      <c r="M200" s="2">
        <v>198</v>
      </c>
      <c r="N200" s="3">
        <v>44064</v>
      </c>
      <c r="O200" s="1">
        <v>124.1558</v>
      </c>
      <c r="P200" s="1">
        <v>157.5</v>
      </c>
      <c r="R200" s="5">
        <f t="shared" si="63"/>
        <v>112.49290826758215</v>
      </c>
      <c r="S200" s="5">
        <f t="shared" si="64"/>
        <v>115.86493760112219</v>
      </c>
      <c r="T200" s="5">
        <f t="shared" si="65"/>
        <v>116.7903006860513</v>
      </c>
      <c r="U200" s="5">
        <f t="shared" si="66"/>
        <v>117.4071914581083</v>
      </c>
      <c r="V200" s="5"/>
      <c r="W200" s="5">
        <f>0.15*P199+(1-0.15)*W199</f>
        <v>156.20935088078187</v>
      </c>
      <c r="X200" s="5">
        <f>0.35*P199+(1-0.35)*X199</f>
        <v>157.18487096850157</v>
      </c>
      <c r="Y200" s="5">
        <f>0.55*P199+(1-0.55)*Y199</f>
        <v>156.74379996633269</v>
      </c>
      <c r="Z200" s="5">
        <f>0.75*P199+(1-0.75)*Z199</f>
        <v>156.39938210954631</v>
      </c>
      <c r="AB200" s="5">
        <f t="shared" si="56"/>
        <v>9.3937550500402303</v>
      </c>
      <c r="AC200" s="5">
        <f t="shared" si="57"/>
        <v>6.6777890351298979</v>
      </c>
      <c r="AD200" s="5">
        <f t="shared" si="58"/>
        <v>5.9324649464211117</v>
      </c>
      <c r="AE200" s="5">
        <f t="shared" si="59"/>
        <v>5.4355966792463173</v>
      </c>
      <c r="AG200" s="5">
        <f>ABS((P200-W200)/P200)*100</f>
        <v>0.81945975823373374</v>
      </c>
      <c r="AH200" s="5">
        <f>ABS((P200-X200)/P200)*100</f>
        <v>0.20008192476090755</v>
      </c>
      <c r="AI200" s="5">
        <f>ABS((P200-Y200)/P200)*100</f>
        <v>0.48012700550305537</v>
      </c>
      <c r="AJ200" s="5">
        <f>ABS((P200-Z200)/P200)*100</f>
        <v>0.69880500981186733</v>
      </c>
      <c r="AL200" s="5">
        <f>0.15*(T200-T199)+(1-0.15)*AL199</f>
        <v>0.88633718630925684</v>
      </c>
      <c r="AM200" s="5">
        <f>0.25*(T200-T199)+(1-0.25)*AM199</f>
        <v>0.85913485698661329</v>
      </c>
      <c r="AN200" s="5">
        <f>0.45*(T200-T199)+(1-0.45)*AN199</f>
        <v>0.96495785135552381</v>
      </c>
      <c r="AO200" s="5">
        <f>0.85*(T200-T199)+(1-0.85)*AO199</f>
        <v>1.3872146317270115</v>
      </c>
      <c r="AP200" s="5">
        <f>T200+AL200</f>
        <v>117.67663787236056</v>
      </c>
      <c r="AQ200" s="5">
        <f t="shared" si="60"/>
        <v>117.64943554303791</v>
      </c>
      <c r="AR200" s="5">
        <f t="shared" si="61"/>
        <v>117.75525853740682</v>
      </c>
      <c r="AS200" s="5">
        <f t="shared" si="62"/>
        <v>118.1775153177783</v>
      </c>
      <c r="AT200" s="5">
        <f t="shared" si="67"/>
        <v>6.4791621276394409</v>
      </c>
      <c r="AU200" s="5">
        <f t="shared" si="68"/>
        <v>39.85056445696209</v>
      </c>
      <c r="AV200" s="5">
        <f t="shared" si="69"/>
        <v>117.75525853740682</v>
      </c>
      <c r="AW200" s="5">
        <f t="shared" si="69"/>
        <v>5.6846070501961492</v>
      </c>
      <c r="AY200" s="5">
        <f>0.15*(Y200-Y199)+(1-0.15)*AY199</f>
        <v>0.11023012389484212</v>
      </c>
      <c r="AZ200" s="5">
        <f>0.25*(Y200-Y199)+(1-0.25)*AZ199</f>
        <v>-0.17929846735033561</v>
      </c>
      <c r="BA200" s="5">
        <f>0.45*(Y200-Y199)+(1-0.45)*BA199</f>
        <v>-0.58120473731393019</v>
      </c>
      <c r="BB200" s="5">
        <f>0.85*(Y200-Y199)+(1-0.85)*BB199</f>
        <v>-0.70833327438908755</v>
      </c>
      <c r="BC200" s="5">
        <f>Y200+AY200</f>
        <v>156.85403009022752</v>
      </c>
      <c r="BD200" s="5">
        <f>Y200+AZ200</f>
        <v>156.56450149898234</v>
      </c>
      <c r="BE200" s="5">
        <f>Y200+BA200</f>
        <v>156.16259522901876</v>
      </c>
      <c r="BF200" s="5">
        <f>Y200+BB200</f>
        <v>156.03546669194361</v>
      </c>
      <c r="BG200" s="5">
        <f t="shared" si="70"/>
        <v>0.64596990977247515</v>
      </c>
      <c r="BH200" s="5">
        <f t="shared" si="71"/>
        <v>0.93549850101766197</v>
      </c>
      <c r="BI200" s="5">
        <f t="shared" si="72"/>
        <v>1.3374047709812373</v>
      </c>
      <c r="BJ200" s="5">
        <f t="shared" si="73"/>
        <v>1.4645333080563887</v>
      </c>
    </row>
    <row r="201" spans="13:62" x14ac:dyDescent="0.35">
      <c r="M201" s="2">
        <v>199</v>
      </c>
      <c r="N201" s="3">
        <v>44067</v>
      </c>
      <c r="O201" s="1">
        <v>125.640739</v>
      </c>
      <c r="P201" s="1">
        <v>159.36999499999999</v>
      </c>
      <c r="R201" s="5">
        <f t="shared" si="63"/>
        <v>114.24234202744482</v>
      </c>
      <c r="S201" s="5">
        <f t="shared" si="64"/>
        <v>118.76673944072942</v>
      </c>
      <c r="T201" s="5">
        <f t="shared" si="65"/>
        <v>120.84132530872307</v>
      </c>
      <c r="U201" s="5">
        <f t="shared" si="66"/>
        <v>122.46864786452707</v>
      </c>
      <c r="V201" s="5"/>
      <c r="W201" s="5">
        <f>0.15*P200+(1-0.15)*W200</f>
        <v>156.40294824866459</v>
      </c>
      <c r="X201" s="5">
        <f>0.35*P200+(1-0.35)*X200</f>
        <v>157.29516612952602</v>
      </c>
      <c r="Y201" s="5">
        <f>0.55*P200+(1-0.55)*Y200</f>
        <v>157.15970998484971</v>
      </c>
      <c r="Z201" s="5">
        <f>0.75*P200+(1-0.75)*Z200</f>
        <v>157.22484552738658</v>
      </c>
      <c r="AB201" s="5">
        <f t="shared" si="56"/>
        <v>9.0722142063771027</v>
      </c>
      <c r="AC201" s="5">
        <f t="shared" si="57"/>
        <v>5.4711549884075197</v>
      </c>
      <c r="AD201" s="5">
        <f t="shared" si="58"/>
        <v>3.8199502243272585</v>
      </c>
      <c r="AE201" s="5">
        <f t="shared" si="59"/>
        <v>2.5247313576155626</v>
      </c>
      <c r="AG201" s="5">
        <f>ABS((P201-W201)/P201)*100</f>
        <v>1.8617348587702489</v>
      </c>
      <c r="AH201" s="5">
        <f>ABS((P201-X201)/P201)*100</f>
        <v>1.3018942935111248</v>
      </c>
      <c r="AI201" s="5">
        <f>ABS((P201-Y201)/P201)*100</f>
        <v>1.3868890534571936</v>
      </c>
      <c r="AJ201" s="5">
        <f>ABS((P201-Z201)/P201)*100</f>
        <v>1.346018409935579</v>
      </c>
      <c r="AL201" s="5">
        <f>0.15*(T201-T200)+(1-0.15)*AL200</f>
        <v>1.3610403017636346</v>
      </c>
      <c r="AM201" s="5">
        <f>0.25*(T201-T200)+(1-0.25)*AM200</f>
        <v>1.6571072984079038</v>
      </c>
      <c r="AN201" s="5">
        <f>0.45*(T201-T200)+(1-0.45)*AN200</f>
        <v>2.3536878984478373</v>
      </c>
      <c r="AO201" s="5">
        <f>0.85*(T201-T200)+(1-0.85)*AO200</f>
        <v>3.6514531240300605</v>
      </c>
      <c r="AP201" s="5">
        <f>T201+AL201</f>
        <v>122.20236561048671</v>
      </c>
      <c r="AQ201" s="5">
        <f t="shared" si="60"/>
        <v>122.49843260713098</v>
      </c>
      <c r="AR201" s="5">
        <f t="shared" si="61"/>
        <v>123.1950132071709</v>
      </c>
      <c r="AS201" s="5">
        <f t="shared" si="62"/>
        <v>124.49277843275313</v>
      </c>
      <c r="AT201" s="5">
        <f t="shared" si="67"/>
        <v>3.4383733895132877</v>
      </c>
      <c r="AU201" s="5">
        <f t="shared" si="68"/>
        <v>36.871562392869009</v>
      </c>
      <c r="AV201" s="5">
        <f t="shared" si="69"/>
        <v>123.1950132071709</v>
      </c>
      <c r="AW201" s="5">
        <f t="shared" si="69"/>
        <v>10.250436405308307</v>
      </c>
      <c r="AY201" s="5">
        <f>0.15*(Y201-Y200)+(1-0.15)*AY200</f>
        <v>0.15608210808816947</v>
      </c>
      <c r="AZ201" s="5">
        <f>0.25*(Y201-Y200)+(1-0.25)*AZ200</f>
        <v>-3.0496345883495563E-2</v>
      </c>
      <c r="BA201" s="5">
        <f>0.45*(Y201-Y200)+(1-0.45)*BA200</f>
        <v>-0.13250309719000056</v>
      </c>
      <c r="BB201" s="5">
        <f>0.85*(Y201-Y200)+(1-0.85)*BB200</f>
        <v>0.24727352458110774</v>
      </c>
      <c r="BC201" s="5">
        <f>Y201+AY201</f>
        <v>157.31579209293787</v>
      </c>
      <c r="BD201" s="5">
        <f>Y201+AZ201</f>
        <v>157.12921363896621</v>
      </c>
      <c r="BE201" s="5">
        <f>Y201+BA201</f>
        <v>157.0272068876597</v>
      </c>
      <c r="BF201" s="5">
        <f>Y201+BB201</f>
        <v>157.40698350943083</v>
      </c>
      <c r="BG201" s="5">
        <f t="shared" si="70"/>
        <v>2.0542029070621197</v>
      </c>
      <c r="BH201" s="5">
        <f t="shared" si="71"/>
        <v>2.2407813610337826</v>
      </c>
      <c r="BI201" s="5">
        <f t="shared" si="72"/>
        <v>2.3427881123402869</v>
      </c>
      <c r="BJ201" s="5">
        <f t="shared" si="73"/>
        <v>1.9630114905691585</v>
      </c>
    </row>
    <row r="202" spans="13:62" x14ac:dyDescent="0.35">
      <c r="M202" s="2">
        <v>200</v>
      </c>
      <c r="N202" s="3">
        <v>44068</v>
      </c>
      <c r="O202" s="1">
        <v>124.610016</v>
      </c>
      <c r="P202" s="1">
        <v>164.529999</v>
      </c>
      <c r="R202" s="5">
        <f t="shared" si="63"/>
        <v>115.95210157332809</v>
      </c>
      <c r="S202" s="5">
        <f t="shared" si="64"/>
        <v>121.17263928647412</v>
      </c>
      <c r="T202" s="5">
        <f t="shared" si="65"/>
        <v>123.48100283892538</v>
      </c>
      <c r="U202" s="5">
        <f t="shared" si="66"/>
        <v>124.84771621613177</v>
      </c>
      <c r="V202" s="5"/>
      <c r="W202" s="5">
        <f>0.15*P201+(1-0.15)*W201</f>
        <v>156.84800526136488</v>
      </c>
      <c r="X202" s="5">
        <f>0.35*P201+(1-0.35)*X201</f>
        <v>158.02135623419193</v>
      </c>
      <c r="Y202" s="5">
        <f>0.55*P201+(1-0.55)*Y201</f>
        <v>158.37536674318238</v>
      </c>
      <c r="Z202" s="5">
        <f>0.75*P201+(1-0.75)*Z201</f>
        <v>158.83370763184664</v>
      </c>
      <c r="AB202" s="5">
        <f t="shared" si="56"/>
        <v>6.9480084383200049</v>
      </c>
      <c r="AC202" s="5">
        <f t="shared" si="57"/>
        <v>2.758507561323063</v>
      </c>
      <c r="AD202" s="5">
        <f t="shared" si="58"/>
        <v>0.90603724910413641</v>
      </c>
      <c r="AE202" s="5">
        <f t="shared" si="59"/>
        <v>0.19075530504046359</v>
      </c>
      <c r="AG202" s="5">
        <f>ABS((P202-W202)/P202)*100</f>
        <v>4.6690535375467475</v>
      </c>
      <c r="AH202" s="5">
        <f>ABS((P202-X202)/P202)*100</f>
        <v>3.9559003253917702</v>
      </c>
      <c r="AI202" s="5">
        <f>ABS((P202-Y202)/P202)*100</f>
        <v>3.7407356070169437</v>
      </c>
      <c r="AJ202" s="5">
        <f>ABS((P202-Z202)/P202)*100</f>
        <v>3.4621597293958333</v>
      </c>
      <c r="AL202" s="5">
        <f>0.15*(T202-T201)+(1-0.15)*AL201</f>
        <v>1.5528358860294351</v>
      </c>
      <c r="AM202" s="5">
        <f>0.25*(T202-T201)+(1-0.25)*AM201</f>
        <v>1.9027498563565044</v>
      </c>
      <c r="AN202" s="5">
        <f>0.45*(T202-T201)+(1-0.45)*AN201</f>
        <v>2.4823832327373481</v>
      </c>
      <c r="AO202" s="5">
        <f>0.85*(T202-T201)+(1-0.85)*AO201</f>
        <v>2.7914438692764691</v>
      </c>
      <c r="AP202" s="5">
        <f>T202+AL202</f>
        <v>125.03383872495482</v>
      </c>
      <c r="AQ202" s="5">
        <f t="shared" si="60"/>
        <v>125.38375269528188</v>
      </c>
      <c r="AR202" s="5">
        <f t="shared" si="61"/>
        <v>125.96338607166273</v>
      </c>
      <c r="AS202" s="5">
        <f t="shared" si="62"/>
        <v>126.27244670820184</v>
      </c>
      <c r="AT202" s="5">
        <f t="shared" si="67"/>
        <v>0.42382272495481743</v>
      </c>
      <c r="AU202" s="5">
        <f t="shared" si="68"/>
        <v>39.146246304718119</v>
      </c>
      <c r="AV202" s="5">
        <f t="shared" si="69"/>
        <v>125.96338607166273</v>
      </c>
      <c r="AW202" s="5">
        <f t="shared" si="69"/>
        <v>10.320345134873747</v>
      </c>
      <c r="AY202" s="5">
        <f>0.15*(Y202-Y201)+(1-0.15)*AY201</f>
        <v>0.31501830562484462</v>
      </c>
      <c r="AZ202" s="5">
        <f>0.25*(Y202-Y201)+(1-0.25)*AZ201</f>
        <v>0.28104193017054596</v>
      </c>
      <c r="BA202" s="5">
        <f>0.45*(Y202-Y201)+(1-0.45)*BA201</f>
        <v>0.47416883779520141</v>
      </c>
      <c r="BB202" s="5">
        <f>0.85*(Y202-Y201)+(1-0.85)*BB201</f>
        <v>1.0703992732699361</v>
      </c>
      <c r="BC202" s="5">
        <f>Y202+AY202</f>
        <v>158.69038504880723</v>
      </c>
      <c r="BD202" s="5">
        <f>Y202+AZ202</f>
        <v>158.65640867335293</v>
      </c>
      <c r="BE202" s="5">
        <f>Y202+BA202</f>
        <v>158.84953558097757</v>
      </c>
      <c r="BF202" s="5">
        <f>Y202+BB202</f>
        <v>159.44576601645232</v>
      </c>
      <c r="BG202" s="5">
        <f t="shared" si="70"/>
        <v>5.8396139511927743</v>
      </c>
      <c r="BH202" s="5">
        <f t="shared" si="71"/>
        <v>5.8735903266470757</v>
      </c>
      <c r="BI202" s="5">
        <f t="shared" si="72"/>
        <v>5.6804634190224306</v>
      </c>
      <c r="BJ202" s="5">
        <f t="shared" si="73"/>
        <v>5.0842329835476789</v>
      </c>
    </row>
    <row r="203" spans="13:62" x14ac:dyDescent="0.35">
      <c r="M203" s="2">
        <v>201</v>
      </c>
      <c r="N203" s="3">
        <v>44069</v>
      </c>
      <c r="O203" s="1">
        <v>126.304596</v>
      </c>
      <c r="P203" s="1">
        <v>165.30999800000001</v>
      </c>
      <c r="R203" s="5">
        <f t="shared" si="63"/>
        <v>117.25078873732888</v>
      </c>
      <c r="S203" s="5">
        <f t="shared" si="64"/>
        <v>122.37572113620818</v>
      </c>
      <c r="T203" s="5">
        <f t="shared" si="65"/>
        <v>124.10196007751642</v>
      </c>
      <c r="U203" s="5">
        <f t="shared" si="66"/>
        <v>124.66944105403294</v>
      </c>
      <c r="V203" s="5"/>
      <c r="W203" s="5">
        <f>0.15*P202+(1-0.15)*W202</f>
        <v>158.00030432216016</v>
      </c>
      <c r="X203" s="5">
        <f>0.35*P202+(1-0.35)*X202</f>
        <v>160.29938120222477</v>
      </c>
      <c r="Y203" s="5">
        <f>0.55*P202+(1-0.55)*Y202</f>
        <v>161.76041448443209</v>
      </c>
      <c r="Z203" s="5">
        <f>0.75*P202+(1-0.75)*Z202</f>
        <v>163.10592615796168</v>
      </c>
      <c r="AB203" s="5">
        <f t="shared" si="56"/>
        <v>7.1682326292157486</v>
      </c>
      <c r="AC203" s="5">
        <f t="shared" si="57"/>
        <v>3.110634916081612</v>
      </c>
      <c r="AD203" s="5">
        <f t="shared" si="58"/>
        <v>1.743907975038042</v>
      </c>
      <c r="AE203" s="5">
        <f t="shared" si="59"/>
        <v>1.2946123876339855</v>
      </c>
      <c r="AG203" s="5">
        <f>ABS((P203-W203)/P203)*100</f>
        <v>4.421809791468176</v>
      </c>
      <c r="AH203" s="5">
        <f>ABS((P203-X203)/P203)*100</f>
        <v>3.0310428034578054</v>
      </c>
      <c r="AI203" s="5">
        <f>ABS((P203-Y203)/P203)*100</f>
        <v>2.1472285757138039</v>
      </c>
      <c r="AJ203" s="5">
        <f>ABS((P203-Z203)/P203)*100</f>
        <v>1.3332961518990105</v>
      </c>
      <c r="AL203" s="5">
        <f>0.15*(T203-T202)+(1-0.15)*AL202</f>
        <v>1.4130540889136767</v>
      </c>
      <c r="AM203" s="5">
        <f>0.25*(T203-T202)+(1-0.25)*AM202</f>
        <v>1.58230170191514</v>
      </c>
      <c r="AN203" s="5">
        <f>0.45*(T203-T202)+(1-0.45)*AN202</f>
        <v>1.6447415353715125</v>
      </c>
      <c r="AO203" s="5">
        <f>0.85*(T203-T202)+(1-0.85)*AO202</f>
        <v>0.94653023319385965</v>
      </c>
      <c r="AP203" s="5">
        <f>T203+AL203</f>
        <v>125.51501416643011</v>
      </c>
      <c r="AQ203" s="5">
        <f t="shared" si="60"/>
        <v>125.68426177943157</v>
      </c>
      <c r="AR203" s="5">
        <f t="shared" si="61"/>
        <v>125.74670161288793</v>
      </c>
      <c r="AS203" s="5">
        <f t="shared" si="62"/>
        <v>125.04849031071028</v>
      </c>
      <c r="AT203" s="5">
        <f t="shared" si="67"/>
        <v>0.78958183356989764</v>
      </c>
      <c r="AU203" s="5">
        <f t="shared" si="68"/>
        <v>39.625736220568442</v>
      </c>
      <c r="AV203" s="5">
        <f t="shared" si="69"/>
        <v>125.74670161288793</v>
      </c>
      <c r="AW203" s="5">
        <f t="shared" si="69"/>
        <v>7.7977015733814028</v>
      </c>
      <c r="AY203" s="5">
        <f>0.15*(Y203-Y202)+(1-0.15)*AY202</f>
        <v>0.775522720968574</v>
      </c>
      <c r="AZ203" s="5">
        <f>0.25*(Y203-Y202)+(1-0.25)*AZ202</f>
        <v>1.0570433829403363</v>
      </c>
      <c r="BA203" s="5">
        <f>0.45*(Y203-Y202)+(1-0.45)*BA202</f>
        <v>1.784064344349729</v>
      </c>
      <c r="BB203" s="5">
        <f>0.85*(Y203-Y202)+(1-0.85)*BB202</f>
        <v>3.0378504710527414</v>
      </c>
      <c r="BC203" s="5">
        <f>Y203+AY203</f>
        <v>162.53593720540067</v>
      </c>
      <c r="BD203" s="5">
        <f>Y203+AZ203</f>
        <v>162.81745786737244</v>
      </c>
      <c r="BE203" s="5">
        <f>Y203+BA203</f>
        <v>163.54447882878182</v>
      </c>
      <c r="BF203" s="5">
        <f>Y203+BB203</f>
        <v>164.79826495548483</v>
      </c>
      <c r="BG203" s="5">
        <f t="shared" si="70"/>
        <v>2.7740607945993361</v>
      </c>
      <c r="BH203" s="5">
        <f t="shared" si="71"/>
        <v>2.4925401326275676</v>
      </c>
      <c r="BI203" s="5">
        <f t="shared" si="72"/>
        <v>1.7655191712181875</v>
      </c>
      <c r="BJ203" s="5">
        <f t="shared" si="73"/>
        <v>0.5117330445151822</v>
      </c>
    </row>
    <row r="204" spans="13:62" x14ac:dyDescent="0.35">
      <c r="M204" s="2">
        <v>202</v>
      </c>
      <c r="N204" s="3">
        <v>44070</v>
      </c>
      <c r="O204" s="1">
        <v>124.794701</v>
      </c>
      <c r="P204" s="1">
        <v>165.990005</v>
      </c>
      <c r="R204" s="5">
        <f t="shared" si="63"/>
        <v>118.60885982672954</v>
      </c>
      <c r="S204" s="5">
        <f t="shared" si="64"/>
        <v>123.75082733853532</v>
      </c>
      <c r="T204" s="5">
        <f t="shared" si="65"/>
        <v>125.31340983488241</v>
      </c>
      <c r="U204" s="5">
        <f t="shared" si="66"/>
        <v>125.89580726350823</v>
      </c>
      <c r="V204" s="5"/>
      <c r="W204" s="5">
        <f>0.15*P203+(1-0.15)*W203</f>
        <v>159.09675837383614</v>
      </c>
      <c r="X204" s="5">
        <f>0.35*P203+(1-0.35)*X203</f>
        <v>162.05309708144611</v>
      </c>
      <c r="Y204" s="5">
        <f>0.55*P203+(1-0.55)*Y203</f>
        <v>163.71268541799446</v>
      </c>
      <c r="Z204" s="5">
        <f>0.75*P203+(1-0.75)*Z203</f>
        <v>164.75898003949044</v>
      </c>
      <c r="AB204" s="5">
        <f t="shared" si="56"/>
        <v>4.9568139702265572</v>
      </c>
      <c r="AC204" s="5">
        <f t="shared" si="57"/>
        <v>0.83647274531687621</v>
      </c>
      <c r="AD204" s="5">
        <f t="shared" si="58"/>
        <v>0.41564972769348868</v>
      </c>
      <c r="AE204" s="5">
        <f t="shared" si="59"/>
        <v>0.88233414935480969</v>
      </c>
      <c r="AG204" s="5">
        <f>ABS((P204-W204)/P204)*100</f>
        <v>4.1528082526197032</v>
      </c>
      <c r="AH204" s="5">
        <f>ABS((P204-X204)/P204)*100</f>
        <v>2.3717740827550942</v>
      </c>
      <c r="AI204" s="5">
        <f>ABS((P204-Y204)/P204)*100</f>
        <v>1.3719618732498575</v>
      </c>
      <c r="AJ204" s="5">
        <f>ABS((P204-Z204)/P204)*100</f>
        <v>0.74162595543602627</v>
      </c>
      <c r="AL204" s="5">
        <f>0.15*(T204-T203)+(1-0.15)*AL203</f>
        <v>1.3828134391815226</v>
      </c>
      <c r="AM204" s="5">
        <f>0.25*(T204-T203)+(1-0.25)*AM203</f>
        <v>1.4895887157778507</v>
      </c>
      <c r="AN204" s="5">
        <f>0.45*(T204-T203)+(1-0.45)*AN203</f>
        <v>1.4497602352690244</v>
      </c>
      <c r="AO204" s="5">
        <f>0.85*(T204-T203)+(1-0.85)*AO203</f>
        <v>1.1717118287401647</v>
      </c>
      <c r="AP204" s="5">
        <f>T204+AL204</f>
        <v>126.69622327406393</v>
      </c>
      <c r="AQ204" s="5">
        <f t="shared" si="60"/>
        <v>126.80299855066026</v>
      </c>
      <c r="AR204" s="5">
        <f t="shared" si="61"/>
        <v>126.76317007015143</v>
      </c>
      <c r="AS204" s="5">
        <f t="shared" si="62"/>
        <v>126.48512166362258</v>
      </c>
      <c r="AT204" s="5">
        <f t="shared" si="67"/>
        <v>1.9015222740639217</v>
      </c>
      <c r="AU204" s="5">
        <f t="shared" si="68"/>
        <v>39.187006449339734</v>
      </c>
      <c r="AV204" s="5">
        <f t="shared" si="69"/>
        <v>126.76317007015143</v>
      </c>
      <c r="AW204" s="5">
        <f t="shared" si="69"/>
        <v>7.8762618368930362</v>
      </c>
      <c r="AY204" s="5">
        <f>0.15*(Y204-Y203)+(1-0.15)*AY203</f>
        <v>0.95203495285764406</v>
      </c>
      <c r="AZ204" s="5">
        <f>0.25*(Y204-Y203)+(1-0.25)*AZ203</f>
        <v>1.2808502705958458</v>
      </c>
      <c r="BA204" s="5">
        <f>0.45*(Y204-Y203)+(1-0.45)*BA203</f>
        <v>1.8597573094954196</v>
      </c>
      <c r="BB204" s="5">
        <f>0.85*(Y204-Y203)+(1-0.85)*BB203</f>
        <v>2.1151078641859296</v>
      </c>
      <c r="BC204" s="5">
        <f>Y204+AY204</f>
        <v>164.66472037085211</v>
      </c>
      <c r="BD204" s="5">
        <f>Y204+AZ204</f>
        <v>164.9935356885903</v>
      </c>
      <c r="BE204" s="5">
        <f>Y204+BA204</f>
        <v>165.57244272748989</v>
      </c>
      <c r="BF204" s="5">
        <f>Y204+BB204</f>
        <v>165.82779328218038</v>
      </c>
      <c r="BG204" s="5">
        <f t="shared" si="70"/>
        <v>1.3252846291478875</v>
      </c>
      <c r="BH204" s="5">
        <f t="shared" si="71"/>
        <v>0.99646931140969741</v>
      </c>
      <c r="BI204" s="5">
        <f t="shared" si="72"/>
        <v>0.41756227251011069</v>
      </c>
      <c r="BJ204" s="5">
        <f t="shared" si="73"/>
        <v>0.1622117178196163</v>
      </c>
    </row>
    <row r="205" spans="13:62" x14ac:dyDescent="0.35">
      <c r="M205" s="2">
        <v>203</v>
      </c>
      <c r="N205" s="3">
        <v>44071</v>
      </c>
      <c r="O205" s="1">
        <v>124.592552</v>
      </c>
      <c r="P205" s="1">
        <v>168.38000500000001</v>
      </c>
      <c r="R205" s="5">
        <f t="shared" si="63"/>
        <v>119.53673600272012</v>
      </c>
      <c r="S205" s="5">
        <f t="shared" si="64"/>
        <v>124.11618312004796</v>
      </c>
      <c r="T205" s="5">
        <f t="shared" si="65"/>
        <v>125.02811997569708</v>
      </c>
      <c r="U205" s="5">
        <f t="shared" si="66"/>
        <v>125.06997756587705</v>
      </c>
      <c r="V205" s="5"/>
      <c r="W205" s="5">
        <f>0.15*P204+(1-0.15)*W204</f>
        <v>160.13074536776074</v>
      </c>
      <c r="X205" s="5">
        <f>0.35*P204+(1-0.35)*X204</f>
        <v>163.43101485293997</v>
      </c>
      <c r="Y205" s="5">
        <f>0.55*P204+(1-0.55)*Y204</f>
        <v>164.9652111880975</v>
      </c>
      <c r="Z205" s="5">
        <f>0.75*P204+(1-0.75)*Z204</f>
        <v>165.68224875987261</v>
      </c>
      <c r="AB205" s="5">
        <f t="shared" si="56"/>
        <v>4.0578797978870194</v>
      </c>
      <c r="AC205" s="5">
        <f t="shared" si="57"/>
        <v>0.38234137779923938</v>
      </c>
      <c r="AD205" s="5">
        <f t="shared" si="58"/>
        <v>0.34959391127736344</v>
      </c>
      <c r="AE205" s="5">
        <f t="shared" si="59"/>
        <v>0.3831894910355923</v>
      </c>
      <c r="AG205" s="5">
        <f>ABS((P205-W205)/P205)*100</f>
        <v>4.8991919392324954</v>
      </c>
      <c r="AH205" s="5">
        <f>ABS((P205-X205)/P205)*100</f>
        <v>2.9391792374991579</v>
      </c>
      <c r="AI205" s="5">
        <f>ABS((P205-Y205)/P205)*100</f>
        <v>2.0280280974587885</v>
      </c>
      <c r="AJ205" s="5">
        <f>ABS((P205-Z205)/P205)*100</f>
        <v>1.6021832521785493</v>
      </c>
      <c r="AL205" s="5">
        <f>0.15*(T205-T204)+(1-0.15)*AL204</f>
        <v>1.1325979444264953</v>
      </c>
      <c r="AM205" s="5">
        <f>0.25*(T205-T204)+(1-0.25)*AM204</f>
        <v>1.0458690720370565</v>
      </c>
      <c r="AN205" s="5">
        <f>0.45*(T205-T204)+(1-0.45)*AN204</f>
        <v>0.66898769276456682</v>
      </c>
      <c r="AO205" s="5">
        <f>0.85*(T205-T204)+(1-0.85)*AO204</f>
        <v>-6.6739605996502471E-2</v>
      </c>
      <c r="AP205" s="5">
        <f>T205+AL205</f>
        <v>126.16071792012357</v>
      </c>
      <c r="AQ205" s="5">
        <f t="shared" si="60"/>
        <v>126.07398904773413</v>
      </c>
      <c r="AR205" s="5">
        <f t="shared" si="61"/>
        <v>125.69710766846164</v>
      </c>
      <c r="AS205" s="5">
        <f t="shared" si="62"/>
        <v>124.96138036970058</v>
      </c>
      <c r="AT205" s="5">
        <f t="shared" si="67"/>
        <v>1.568165920123576</v>
      </c>
      <c r="AU205" s="5">
        <f t="shared" si="68"/>
        <v>42.306015952265881</v>
      </c>
      <c r="AV205" s="5">
        <f t="shared" si="69"/>
        <v>125.69710766846164</v>
      </c>
      <c r="AW205" s="5">
        <f t="shared" si="69"/>
        <v>5.4246443669804592</v>
      </c>
      <c r="AY205" s="5">
        <f>0.15*(Y205-Y204)+(1-0.15)*AY204</f>
        <v>0.99710857544445253</v>
      </c>
      <c r="AZ205" s="5">
        <f>0.25*(Y205-Y204)+(1-0.25)*AZ204</f>
        <v>1.273769145472643</v>
      </c>
      <c r="BA205" s="5">
        <f>0.45*(Y205-Y204)+(1-0.45)*BA204</f>
        <v>1.5865031167688461</v>
      </c>
      <c r="BB205" s="5">
        <f>0.85*(Y205-Y204)+(1-0.85)*BB204</f>
        <v>1.3819130842154685</v>
      </c>
      <c r="BC205" s="5">
        <f>Y205+AY205</f>
        <v>165.96231976354196</v>
      </c>
      <c r="BD205" s="5">
        <f>Y205+AZ205</f>
        <v>166.23898033357014</v>
      </c>
      <c r="BE205" s="5">
        <f>Y205+BA205</f>
        <v>166.55171430486635</v>
      </c>
      <c r="BF205" s="5">
        <f>Y205+BB205</f>
        <v>166.34712427231295</v>
      </c>
      <c r="BG205" s="5">
        <f t="shared" si="70"/>
        <v>2.4176852364580554</v>
      </c>
      <c r="BH205" s="5">
        <f t="shared" si="71"/>
        <v>2.1410246664298711</v>
      </c>
      <c r="BI205" s="5">
        <f t="shared" si="72"/>
        <v>1.8282906951336599</v>
      </c>
      <c r="BJ205" s="5">
        <f t="shared" si="73"/>
        <v>2.0328807276870577</v>
      </c>
    </row>
    <row r="206" spans="13:62" x14ac:dyDescent="0.35">
      <c r="M206" s="2">
        <v>204</v>
      </c>
      <c r="N206" s="3">
        <v>44074</v>
      </c>
      <c r="O206" s="1">
        <v>128.81774899999999</v>
      </c>
      <c r="P206" s="1">
        <v>165.550003</v>
      </c>
      <c r="R206" s="5">
        <f t="shared" si="63"/>
        <v>120.2951084023121</v>
      </c>
      <c r="S206" s="5">
        <f t="shared" si="64"/>
        <v>124.28291222803117</v>
      </c>
      <c r="T206" s="5">
        <f t="shared" si="65"/>
        <v>124.78855758906369</v>
      </c>
      <c r="U206" s="5">
        <f t="shared" si="66"/>
        <v>124.71190839146925</v>
      </c>
      <c r="V206" s="5"/>
      <c r="W206" s="5">
        <f>0.15*P205+(1-0.15)*W205</f>
        <v>161.36813431259662</v>
      </c>
      <c r="X206" s="5">
        <f>0.35*P205+(1-0.35)*X205</f>
        <v>165.16316140441097</v>
      </c>
      <c r="Y206" s="5">
        <f>0.55*P205+(1-0.55)*Y205</f>
        <v>166.84334778464387</v>
      </c>
      <c r="Z206" s="5">
        <f>0.75*P205+(1-0.75)*Z205</f>
        <v>167.70556593996815</v>
      </c>
      <c r="AB206" s="5">
        <f t="shared" si="56"/>
        <v>6.616045276251409</v>
      </c>
      <c r="AC206" s="5">
        <f t="shared" si="57"/>
        <v>3.5203508888894084</v>
      </c>
      <c r="AD206" s="5">
        <f t="shared" si="58"/>
        <v>3.1278231782611776</v>
      </c>
      <c r="AE206" s="5">
        <f t="shared" si="59"/>
        <v>3.1873252252923168</v>
      </c>
      <c r="AG206" s="5">
        <f>ABS((P206-W206)/P206)*100</f>
        <v>2.5260456729821867</v>
      </c>
      <c r="AH206" s="5">
        <f>ABS((P206-X206)/P206)*100</f>
        <v>0.23367054580423824</v>
      </c>
      <c r="AI206" s="5">
        <f>ABS((P206-Y206)/P206)*100</f>
        <v>0.78124117258026493</v>
      </c>
      <c r="AJ206" s="5">
        <f>ABS((P206-Z206)/P206)*100</f>
        <v>1.3020615529485369</v>
      </c>
      <c r="AL206" s="5">
        <f>0.15*(T206-T205)+(1-0.15)*AL205</f>
        <v>0.92677389476751182</v>
      </c>
      <c r="AM206" s="5">
        <f>0.25*(T206-T205)+(1-0.25)*AM205</f>
        <v>0.72451120736944363</v>
      </c>
      <c r="AN206" s="5">
        <f>0.45*(T206-T205)+(1-0.45)*AN205</f>
        <v>0.2601401570354841</v>
      </c>
      <c r="AO206" s="5">
        <f>0.85*(T206-T205)+(1-0.85)*AO205</f>
        <v>-0.21363896953786105</v>
      </c>
      <c r="AP206" s="5">
        <f>T206+AL206</f>
        <v>125.71533148383119</v>
      </c>
      <c r="AQ206" s="5">
        <f t="shared" si="60"/>
        <v>125.51306879643313</v>
      </c>
      <c r="AR206" s="5">
        <f t="shared" si="61"/>
        <v>125.04869774609917</v>
      </c>
      <c r="AS206" s="5">
        <f t="shared" si="62"/>
        <v>124.57491861952583</v>
      </c>
      <c r="AT206" s="5">
        <f t="shared" si="67"/>
        <v>3.1024175161687992</v>
      </c>
      <c r="AU206" s="5">
        <f t="shared" si="68"/>
        <v>40.036934203566872</v>
      </c>
      <c r="AV206" s="5">
        <f t="shared" si="69"/>
        <v>125.04869774609917</v>
      </c>
      <c r="AW206" s="5">
        <f t="shared" si="69"/>
        <v>4.2798102172137362</v>
      </c>
      <c r="AY206" s="5">
        <f>0.15*(Y206-Y205)+(1-0.15)*AY205</f>
        <v>1.12926277860974</v>
      </c>
      <c r="AZ206" s="5">
        <f>0.25*(Y206-Y205)+(1-0.25)*AZ205</f>
        <v>1.4248610082410744</v>
      </c>
      <c r="BA206" s="5">
        <f>0.45*(Y206-Y205)+(1-0.45)*BA205</f>
        <v>1.7177381826687315</v>
      </c>
      <c r="BB206" s="5">
        <f>0.85*(Y206-Y205)+(1-0.85)*BB205</f>
        <v>1.8037030696967342</v>
      </c>
      <c r="BC206" s="5">
        <f>Y206+AY206</f>
        <v>167.9726105632536</v>
      </c>
      <c r="BD206" s="5">
        <f>Y206+AZ206</f>
        <v>168.26820879288493</v>
      </c>
      <c r="BE206" s="5">
        <f>Y206+BA206</f>
        <v>168.56108596731261</v>
      </c>
      <c r="BF206" s="5">
        <f>Y206+BB206</f>
        <v>168.64705085434059</v>
      </c>
      <c r="BG206" s="5">
        <f t="shared" si="70"/>
        <v>2.4226075632535924</v>
      </c>
      <c r="BH206" s="5">
        <f t="shared" si="71"/>
        <v>2.7182057928849304</v>
      </c>
      <c r="BI206" s="5">
        <f t="shared" si="72"/>
        <v>3.0110829673126034</v>
      </c>
      <c r="BJ206" s="5">
        <f t="shared" si="73"/>
        <v>3.0970478543405875</v>
      </c>
    </row>
    <row r="207" spans="13:62" x14ac:dyDescent="0.35">
      <c r="M207" s="2">
        <v>205</v>
      </c>
      <c r="N207" s="3">
        <v>44075</v>
      </c>
      <c r="O207" s="1">
        <v>133.94889800000001</v>
      </c>
      <c r="P207" s="1">
        <v>167.970001</v>
      </c>
      <c r="R207" s="5">
        <f t="shared" si="63"/>
        <v>121.57350449196528</v>
      </c>
      <c r="S207" s="5">
        <f t="shared" si="64"/>
        <v>125.87010509822025</v>
      </c>
      <c r="T207" s="5">
        <f t="shared" si="65"/>
        <v>127.00461286507866</v>
      </c>
      <c r="U207" s="5">
        <f t="shared" si="66"/>
        <v>127.79128884786731</v>
      </c>
      <c r="V207" s="5"/>
      <c r="W207" s="5">
        <f>0.15*P206+(1-0.15)*W206</f>
        <v>161.99541461570712</v>
      </c>
      <c r="X207" s="5">
        <f>0.35*P206+(1-0.35)*X206</f>
        <v>165.29855596286714</v>
      </c>
      <c r="Y207" s="5">
        <f>0.55*P206+(1-0.55)*Y206</f>
        <v>166.13200815308974</v>
      </c>
      <c r="Z207" s="5">
        <f>0.75*P206+(1-0.75)*Z206</f>
        <v>166.08889373499204</v>
      </c>
      <c r="AB207" s="5">
        <f t="shared" si="56"/>
        <v>9.238891616737849</v>
      </c>
      <c r="AC207" s="5">
        <f t="shared" si="57"/>
        <v>6.0312499933965587</v>
      </c>
      <c r="AD207" s="5">
        <f t="shared" si="58"/>
        <v>5.1842794070029283</v>
      </c>
      <c r="AE207" s="5">
        <f t="shared" si="59"/>
        <v>4.5969838080584333</v>
      </c>
      <c r="AG207" s="5">
        <f>ABS((P207-W207)/P207)*100</f>
        <v>3.5569365652935114</v>
      </c>
      <c r="AH207" s="5">
        <f>ABS((P207-X207)/P207)*100</f>
        <v>1.5904298512999686</v>
      </c>
      <c r="AI207" s="5">
        <f>ABS((P207-Y207)/P207)*100</f>
        <v>1.0942387545203704</v>
      </c>
      <c r="AJ207" s="5">
        <f>ABS((P207-Z207)/P207)*100</f>
        <v>1.119906682031844</v>
      </c>
      <c r="AL207" s="5">
        <f>0.15*(T207-T206)+(1-0.15)*AL206</f>
        <v>1.1201661019546305</v>
      </c>
      <c r="AM207" s="5">
        <f>0.25*(T207-T206)+(1-0.25)*AM206</f>
        <v>1.0973972245308252</v>
      </c>
      <c r="AN207" s="5">
        <f>0.45*(T207-T206)+(1-0.45)*AN206</f>
        <v>1.1403019605762528</v>
      </c>
      <c r="AO207" s="5">
        <f>0.85*(T207-T206)+(1-0.85)*AO206</f>
        <v>1.8516011391820453</v>
      </c>
      <c r="AP207" s="5">
        <f>T207+AL207</f>
        <v>128.12477896703328</v>
      </c>
      <c r="AQ207" s="5">
        <f t="shared" si="60"/>
        <v>128.10201008960948</v>
      </c>
      <c r="AR207" s="5">
        <f t="shared" si="61"/>
        <v>128.14491482565492</v>
      </c>
      <c r="AS207" s="5">
        <f t="shared" si="62"/>
        <v>128.85621400426069</v>
      </c>
      <c r="AT207" s="5">
        <f t="shared" si="67"/>
        <v>5.8241190329667347</v>
      </c>
      <c r="AU207" s="5">
        <f t="shared" si="68"/>
        <v>39.867990910390517</v>
      </c>
      <c r="AV207" s="5">
        <f t="shared" si="69"/>
        <v>128.14491482565492</v>
      </c>
      <c r="AW207" s="5">
        <f t="shared" si="69"/>
        <v>7.282709512295412</v>
      </c>
      <c r="AY207" s="5">
        <f>0.15*(Y207-Y206)+(1-0.15)*AY206</f>
        <v>0.85317241708516023</v>
      </c>
      <c r="AZ207" s="5">
        <f>0.25*(Y207-Y206)+(1-0.25)*AZ206</f>
        <v>0.89081084829227453</v>
      </c>
      <c r="BA207" s="5">
        <f>0.45*(Y207-Y206)+(1-0.45)*BA206</f>
        <v>0.62465316626844603</v>
      </c>
      <c r="BB207" s="5">
        <f>0.85*(Y207-Y206)+(1-0.85)*BB206</f>
        <v>-0.33408322636649623</v>
      </c>
      <c r="BC207" s="5">
        <f>Y207+AY207</f>
        <v>166.98518057017489</v>
      </c>
      <c r="BD207" s="5">
        <f>Y207+AZ207</f>
        <v>167.022819001382</v>
      </c>
      <c r="BE207" s="5">
        <f>Y207+BA207</f>
        <v>166.75666131935819</v>
      </c>
      <c r="BF207" s="5">
        <f>Y207+BB207</f>
        <v>165.79792492672325</v>
      </c>
      <c r="BG207" s="5">
        <f t="shared" si="70"/>
        <v>0.9848204298251062</v>
      </c>
      <c r="BH207" s="5">
        <f t="shared" si="71"/>
        <v>0.94718199861799235</v>
      </c>
      <c r="BI207" s="5">
        <f t="shared" si="72"/>
        <v>1.2133396806418091</v>
      </c>
      <c r="BJ207" s="5">
        <f t="shared" si="73"/>
        <v>2.1720760732767417</v>
      </c>
    </row>
    <row r="208" spans="13:62" x14ac:dyDescent="0.35">
      <c r="M208" s="2">
        <v>206</v>
      </c>
      <c r="N208" s="3">
        <v>44076</v>
      </c>
      <c r="O208" s="1">
        <v>131.17369099999999</v>
      </c>
      <c r="P208" s="1">
        <v>172.470001</v>
      </c>
      <c r="R208" s="5">
        <f t="shared" si="63"/>
        <v>123.42981351817048</v>
      </c>
      <c r="S208" s="5">
        <f t="shared" si="64"/>
        <v>128.69768261384317</v>
      </c>
      <c r="T208" s="5">
        <f t="shared" si="65"/>
        <v>130.82396968928541</v>
      </c>
      <c r="U208" s="5">
        <f t="shared" si="66"/>
        <v>132.40949571196685</v>
      </c>
      <c r="V208" s="5"/>
      <c r="W208" s="5">
        <f>0.15*P207+(1-0.15)*W207</f>
        <v>162.89160257335104</v>
      </c>
      <c r="X208" s="5">
        <f>0.35*P207+(1-0.35)*X207</f>
        <v>166.23356172586364</v>
      </c>
      <c r="Y208" s="5">
        <f>0.55*P207+(1-0.55)*Y207</f>
        <v>167.14290421889038</v>
      </c>
      <c r="Z208" s="5">
        <f>0.75*P207+(1-0.75)*Z207</f>
        <v>167.49972418374801</v>
      </c>
      <c r="AB208" s="5">
        <f t="shared" si="56"/>
        <v>5.9035294522813375</v>
      </c>
      <c r="AC208" s="5">
        <f t="shared" si="57"/>
        <v>1.887580022549507</v>
      </c>
      <c r="AD208" s="5">
        <f t="shared" si="58"/>
        <v>0.2666093391506269</v>
      </c>
      <c r="AE208" s="5">
        <f t="shared" si="59"/>
        <v>0.94211324126486939</v>
      </c>
      <c r="AG208" s="5">
        <f>ABS((P208-W208)/P208)*100</f>
        <v>5.5536605619019852</v>
      </c>
      <c r="AH208" s="5">
        <f>ABS((P208-X208)/P208)*100</f>
        <v>3.6159559563847621</v>
      </c>
      <c r="AI208" s="5">
        <f>ABS((P208-Y208)/P208)*100</f>
        <v>3.088709195931191</v>
      </c>
      <c r="AJ208" s="5">
        <f>ABS((P208-Z208)/P208)*100</f>
        <v>2.8818210630450345</v>
      </c>
      <c r="AL208" s="5">
        <f>0.15*(T208-T207)+(1-0.15)*AL207</f>
        <v>1.5250447102924483</v>
      </c>
      <c r="AM208" s="5">
        <f>0.25*(T208-T207)+(1-0.25)*AM207</f>
        <v>1.7778871244498065</v>
      </c>
      <c r="AN208" s="5">
        <f>0.45*(T208-T207)+(1-0.45)*AN207</f>
        <v>2.3458766492099765</v>
      </c>
      <c r="AO208" s="5">
        <f>0.85*(T208-T207)+(1-0.85)*AO207</f>
        <v>3.5241934714530441</v>
      </c>
      <c r="AP208" s="5">
        <f>T208+AL208</f>
        <v>132.34901439957787</v>
      </c>
      <c r="AQ208" s="5">
        <f t="shared" si="60"/>
        <v>132.60185681373522</v>
      </c>
      <c r="AR208" s="5">
        <f t="shared" si="61"/>
        <v>133.16984633849538</v>
      </c>
      <c r="AS208" s="5">
        <f t="shared" si="62"/>
        <v>134.34816316073844</v>
      </c>
      <c r="AT208" s="5">
        <f t="shared" si="67"/>
        <v>1.1753233995778771</v>
      </c>
      <c r="AU208" s="5">
        <f t="shared" si="68"/>
        <v>39.868144186264772</v>
      </c>
      <c r="AV208" s="5">
        <f t="shared" si="69"/>
        <v>133.16984633849538</v>
      </c>
      <c r="AW208" s="5">
        <f t="shared" si="69"/>
        <v>10.918349642567961</v>
      </c>
      <c r="AY208" s="5">
        <f>0.15*(Y208-Y207)+(1-0.15)*AY207</f>
        <v>0.87683096439248165</v>
      </c>
      <c r="AZ208" s="5">
        <f>0.25*(Y208-Y207)+(1-0.25)*AZ207</f>
        <v>0.92083215266936502</v>
      </c>
      <c r="BA208" s="5">
        <f>0.45*(Y208-Y207)+(1-0.45)*BA207</f>
        <v>0.79846247105793189</v>
      </c>
      <c r="BB208" s="5">
        <f>0.85*(Y208-Y207)+(1-0.85)*BB207</f>
        <v>0.80914917197556668</v>
      </c>
      <c r="BC208" s="5">
        <f>Y208+AY208</f>
        <v>168.01973518328285</v>
      </c>
      <c r="BD208" s="5">
        <f>Y208+AZ208</f>
        <v>168.06373637155974</v>
      </c>
      <c r="BE208" s="5">
        <f>Y208+BA208</f>
        <v>167.94136668994832</v>
      </c>
      <c r="BF208" s="5">
        <f>Y208+BB208</f>
        <v>167.95205339086596</v>
      </c>
      <c r="BG208" s="5">
        <f t="shared" si="70"/>
        <v>4.4502658167171489</v>
      </c>
      <c r="BH208" s="5">
        <f t="shared" si="71"/>
        <v>4.4062646284402547</v>
      </c>
      <c r="BI208" s="5">
        <f t="shared" si="72"/>
        <v>4.5286343100516717</v>
      </c>
      <c r="BJ208" s="5">
        <f t="shared" si="73"/>
        <v>4.5179476091340405</v>
      </c>
    </row>
    <row r="209" spans="13:62" x14ac:dyDescent="0.35">
      <c r="M209" s="2">
        <v>207</v>
      </c>
      <c r="N209" s="3">
        <v>44077</v>
      </c>
      <c r="O209" s="1">
        <v>120.671806</v>
      </c>
      <c r="P209" s="1">
        <v>166.300003</v>
      </c>
      <c r="R209" s="5">
        <f t="shared" si="63"/>
        <v>124.5913951404449</v>
      </c>
      <c r="S209" s="5">
        <f t="shared" si="64"/>
        <v>129.56428554899804</v>
      </c>
      <c r="T209" s="5">
        <f t="shared" si="65"/>
        <v>131.01631641017843</v>
      </c>
      <c r="U209" s="5">
        <f t="shared" si="66"/>
        <v>131.48264217799172</v>
      </c>
      <c r="V209" s="5"/>
      <c r="W209" s="5">
        <f>0.15*P208+(1-0.15)*W208</f>
        <v>164.32836233734838</v>
      </c>
      <c r="X209" s="5">
        <f>0.35*P208+(1-0.35)*X208</f>
        <v>168.41631547181137</v>
      </c>
      <c r="Y209" s="5">
        <f>0.55*P208+(1-0.55)*Y208</f>
        <v>170.07280744850067</v>
      </c>
      <c r="Z209" s="5">
        <f>0.75*P208+(1-0.75)*Z208</f>
        <v>171.22743179593698</v>
      </c>
      <c r="AB209" s="5">
        <f t="shared" si="56"/>
        <v>3.2481399511373006</v>
      </c>
      <c r="AC209" s="5">
        <f t="shared" si="57"/>
        <v>7.369144329370557</v>
      </c>
      <c r="AD209" s="5">
        <f t="shared" si="58"/>
        <v>8.5724335725765375</v>
      </c>
      <c r="AE209" s="5">
        <f t="shared" si="59"/>
        <v>8.9588749322204695</v>
      </c>
      <c r="AG209" s="5">
        <f>ABS((P209-W209)/P209)*100</f>
        <v>1.1855926801466281</v>
      </c>
      <c r="AH209" s="5">
        <f>ABS((P209-X209)/P209)*100</f>
        <v>1.2725871519144647</v>
      </c>
      <c r="AI209" s="5">
        <f>ABS((P209-Y209)/P209)*100</f>
        <v>2.2686737104272119</v>
      </c>
      <c r="AJ209" s="5">
        <f>ABS((P209-Z209)/P209)*100</f>
        <v>2.9629757709246558</v>
      </c>
      <c r="AL209" s="5">
        <f>0.15*(T209-T208)+(1-0.15)*AL208</f>
        <v>1.3251400118825349</v>
      </c>
      <c r="AM209" s="5">
        <f>0.25*(T209-T208)+(1-0.25)*AM208</f>
        <v>1.3815020235606117</v>
      </c>
      <c r="AN209" s="5">
        <f>0.45*(T209-T208)+(1-0.45)*AN208</f>
        <v>1.3767881814673495</v>
      </c>
      <c r="AO209" s="5">
        <f>0.85*(T209-T208)+(1-0.85)*AO208</f>
        <v>0.69212373347703016</v>
      </c>
      <c r="AP209" s="5">
        <f>T209+AL209</f>
        <v>132.34145642206096</v>
      </c>
      <c r="AQ209" s="5">
        <f t="shared" si="60"/>
        <v>132.39781843373905</v>
      </c>
      <c r="AR209" s="5">
        <f t="shared" si="61"/>
        <v>132.39310459164579</v>
      </c>
      <c r="AS209" s="5">
        <f t="shared" si="62"/>
        <v>131.70844014365545</v>
      </c>
      <c r="AT209" s="5">
        <f t="shared" si="67"/>
        <v>11.669650422060954</v>
      </c>
      <c r="AU209" s="5">
        <f t="shared" si="68"/>
        <v>33.902184566260956</v>
      </c>
      <c r="AV209" s="5">
        <f t="shared" si="69"/>
        <v>132.39310459164579</v>
      </c>
      <c r="AW209" s="5">
        <f t="shared" si="69"/>
        <v>7.1170450032105492</v>
      </c>
      <c r="AY209" s="5">
        <f>0.15*(Y209-Y208)+(1-0.15)*AY208</f>
        <v>1.1847918041751528</v>
      </c>
      <c r="AZ209" s="5">
        <f>0.25*(Y209-Y208)+(1-0.25)*AZ208</f>
        <v>1.4230999219045961</v>
      </c>
      <c r="BA209" s="5">
        <f>0.45*(Y209-Y208)+(1-0.45)*BA208</f>
        <v>1.7576108124064929</v>
      </c>
      <c r="BB209" s="5">
        <f>0.85*(Y209-Y208)+(1-0.85)*BB208</f>
        <v>2.6117901209650807</v>
      </c>
      <c r="BC209" s="5">
        <f>Y209+AY209</f>
        <v>171.25759925267582</v>
      </c>
      <c r="BD209" s="5">
        <f>Y209+AZ209</f>
        <v>171.49590737040526</v>
      </c>
      <c r="BE209" s="5">
        <f>Y209+BA209</f>
        <v>171.83041826090715</v>
      </c>
      <c r="BF209" s="5">
        <f>Y209+BB209</f>
        <v>172.68459756946575</v>
      </c>
      <c r="BG209" s="5">
        <f t="shared" si="70"/>
        <v>4.9575962526758133</v>
      </c>
      <c r="BH209" s="5">
        <f t="shared" si="71"/>
        <v>5.195904370405259</v>
      </c>
      <c r="BI209" s="5">
        <f t="shared" si="72"/>
        <v>5.530415260907148</v>
      </c>
      <c r="BJ209" s="5">
        <f t="shared" si="73"/>
        <v>6.3845945694657473</v>
      </c>
    </row>
    <row r="210" spans="13:62" x14ac:dyDescent="0.35">
      <c r="M210" s="2">
        <v>208</v>
      </c>
      <c r="N210" s="3">
        <v>44078</v>
      </c>
      <c r="O210" s="1">
        <v>120.751671</v>
      </c>
      <c r="P210" s="1">
        <v>166.69000199999999</v>
      </c>
      <c r="R210" s="5">
        <f t="shared" si="63"/>
        <v>124.00345676937816</v>
      </c>
      <c r="S210" s="5">
        <f t="shared" si="64"/>
        <v>126.45191770684873</v>
      </c>
      <c r="T210" s="5">
        <f t="shared" si="65"/>
        <v>125.32683568458029</v>
      </c>
      <c r="U210" s="5">
        <f t="shared" si="66"/>
        <v>123.37451504449794</v>
      </c>
      <c r="V210" s="5"/>
      <c r="W210" s="5">
        <f>0.15*P209+(1-0.15)*W209</f>
        <v>164.62410843674613</v>
      </c>
      <c r="X210" s="5">
        <f>0.35*P209+(1-0.35)*X209</f>
        <v>167.67560610667741</v>
      </c>
      <c r="Y210" s="5">
        <f>0.55*P209+(1-0.55)*Y209</f>
        <v>167.99776500182531</v>
      </c>
      <c r="Z210" s="5">
        <f>0.75*P209+(1-0.75)*Z209</f>
        <v>167.53186019898425</v>
      </c>
      <c r="AB210" s="5">
        <f t="shared" si="56"/>
        <v>2.6929530187438639</v>
      </c>
      <c r="AC210" s="5">
        <f t="shared" si="57"/>
        <v>4.7206358799363777</v>
      </c>
      <c r="AD210" s="5">
        <f t="shared" si="58"/>
        <v>3.7889038277410561</v>
      </c>
      <c r="AE210" s="5">
        <f t="shared" si="59"/>
        <v>2.1720975144914876</v>
      </c>
      <c r="AG210" s="5">
        <f>ABS((P210-W210)/P210)*100</f>
        <v>1.2393626123142443</v>
      </c>
      <c r="AH210" s="5">
        <f>ABS((P210-X210)/P210)*100</f>
        <v>0.59127967775620638</v>
      </c>
      <c r="AI210" s="5">
        <f>ABS((P210-Y210)/P210)*100</f>
        <v>0.7845479549669222</v>
      </c>
      <c r="AJ210" s="5">
        <f>ABS((P210-Z210)/P210)*100</f>
        <v>0.50504420714102283</v>
      </c>
      <c r="AL210" s="5">
        <f>0.15*(T210-T209)+(1-0.15)*AL209</f>
        <v>0.27294690126043297</v>
      </c>
      <c r="AM210" s="5">
        <f>0.25*(T210-T209)+(1-0.25)*AM209</f>
        <v>-0.38624366372907737</v>
      </c>
      <c r="AN210" s="5">
        <f>0.45*(T210-T209)+(1-0.45)*AN209</f>
        <v>-1.8030328267121232</v>
      </c>
      <c r="AO210" s="5">
        <f>0.85*(T210-T209)+(1-0.85)*AO209</f>
        <v>-4.7322400567368677</v>
      </c>
      <c r="AP210" s="5">
        <f>T210+AL210</f>
        <v>125.59978258584073</v>
      </c>
      <c r="AQ210" s="5">
        <f t="shared" si="60"/>
        <v>124.94059202085121</v>
      </c>
      <c r="AR210" s="5">
        <f t="shared" si="61"/>
        <v>123.52380285786816</v>
      </c>
      <c r="AS210" s="5">
        <f t="shared" si="62"/>
        <v>120.59459562784342</v>
      </c>
      <c r="AT210" s="5">
        <f t="shared" si="67"/>
        <v>4.8481115858407264</v>
      </c>
      <c r="AU210" s="5">
        <f t="shared" si="68"/>
        <v>41.74940997914878</v>
      </c>
      <c r="AV210" s="5">
        <f t="shared" si="69"/>
        <v>123.52380285786816</v>
      </c>
      <c r="AW210" s="5">
        <f t="shared" si="69"/>
        <v>3.408861141534743</v>
      </c>
      <c r="AY210" s="5">
        <f>0.15*(Y210-Y209)+(1-0.15)*AY209</f>
        <v>0.69581666654757668</v>
      </c>
      <c r="AZ210" s="5">
        <f>0.25*(Y210-Y209)+(1-0.25)*AZ209</f>
        <v>0.54856432975960856</v>
      </c>
      <c r="BA210" s="5">
        <f>0.45*(Y210-Y209)+(1-0.45)*BA209</f>
        <v>3.29168458196617E-2</v>
      </c>
      <c r="BB210" s="5">
        <f>0.85*(Y210-Y209)+(1-0.85)*BB209</f>
        <v>-1.3720175615292891</v>
      </c>
      <c r="BC210" s="5">
        <f>Y210+AY210</f>
        <v>168.6935816683729</v>
      </c>
      <c r="BD210" s="5">
        <f>Y210+AZ210</f>
        <v>168.54632933158493</v>
      </c>
      <c r="BE210" s="5">
        <f>Y210+BA210</f>
        <v>168.03068184764498</v>
      </c>
      <c r="BF210" s="5">
        <f>Y210+BB210</f>
        <v>166.62574744029604</v>
      </c>
      <c r="BG210" s="5">
        <f t="shared" si="70"/>
        <v>2.0035796683729075</v>
      </c>
      <c r="BH210" s="5">
        <f t="shared" si="71"/>
        <v>1.8563273315849358</v>
      </c>
      <c r="BI210" s="5">
        <f t="shared" si="72"/>
        <v>1.3406798476449922</v>
      </c>
      <c r="BJ210" s="5">
        <f t="shared" si="73"/>
        <v>6.4254559703954328E-2</v>
      </c>
    </row>
    <row r="211" spans="13:62" x14ac:dyDescent="0.35">
      <c r="M211" s="2">
        <v>209</v>
      </c>
      <c r="N211" s="3">
        <v>44082</v>
      </c>
      <c r="O211" s="1">
        <v>112.625694</v>
      </c>
      <c r="P211" s="1">
        <v>164.270004</v>
      </c>
      <c r="R211" s="5">
        <f t="shared" si="63"/>
        <v>123.51568890397142</v>
      </c>
      <c r="S211" s="5">
        <f t="shared" si="64"/>
        <v>124.45683135945168</v>
      </c>
      <c r="T211" s="5">
        <f t="shared" si="65"/>
        <v>122.81049510806113</v>
      </c>
      <c r="U211" s="5">
        <f t="shared" si="66"/>
        <v>121.4073820111245</v>
      </c>
      <c r="V211" s="5"/>
      <c r="W211" s="5">
        <f>0.15*P210+(1-0.15)*W210</f>
        <v>164.93399247123421</v>
      </c>
      <c r="X211" s="5">
        <f>0.35*P210+(1-0.35)*X210</f>
        <v>167.3306446693403</v>
      </c>
      <c r="Y211" s="5">
        <f>0.55*P210+(1-0.55)*Y210</f>
        <v>167.2784953508214</v>
      </c>
      <c r="Z211" s="5">
        <f>0.75*P210+(1-0.75)*Z210</f>
        <v>166.90046654974606</v>
      </c>
      <c r="AB211" s="5">
        <f t="shared" si="56"/>
        <v>9.6691922750517545</v>
      </c>
      <c r="AC211" s="5">
        <f t="shared" si="57"/>
        <v>10.50482970560136</v>
      </c>
      <c r="AD211" s="5">
        <f t="shared" si="58"/>
        <v>9.0430529183341921</v>
      </c>
      <c r="AE211" s="5">
        <f t="shared" si="59"/>
        <v>7.7972332060608673</v>
      </c>
      <c r="AG211" s="5">
        <f>ABS((P211-W211)/P211)*100</f>
        <v>0.40420554883179116</v>
      </c>
      <c r="AH211" s="5">
        <f>ABS((P211-X211)/P211)*100</f>
        <v>1.8631768398449065</v>
      </c>
      <c r="AI211" s="5">
        <f>ABS((P211-Y211)/P211)*100</f>
        <v>1.8314307405881607</v>
      </c>
      <c r="AJ211" s="5">
        <f>ABS((P211-Z211)/P211)*100</f>
        <v>1.6013042464807246</v>
      </c>
      <c r="AL211" s="5">
        <f>0.15*(T211-T210)+(1-0.15)*AL210</f>
        <v>-0.14544622040650532</v>
      </c>
      <c r="AM211" s="5">
        <f>0.25*(T211-T210)+(1-0.25)*AM210</f>
        <v>-0.91876789192659691</v>
      </c>
      <c r="AN211" s="5">
        <f>0.45*(T211-T210)+(1-0.45)*AN210</f>
        <v>-2.1240213141252879</v>
      </c>
      <c r="AO211" s="5">
        <f>0.85*(T211-T210)+(1-0.85)*AO210</f>
        <v>-2.8487254985518122</v>
      </c>
      <c r="AP211" s="5">
        <f>T211+AL211</f>
        <v>122.66504888765462</v>
      </c>
      <c r="AQ211" s="5">
        <f t="shared" si="60"/>
        <v>121.89172721613454</v>
      </c>
      <c r="AR211" s="5">
        <f t="shared" si="61"/>
        <v>120.68647379393585</v>
      </c>
      <c r="AS211" s="5">
        <f t="shared" si="62"/>
        <v>119.96176960950932</v>
      </c>
      <c r="AT211" s="5">
        <f t="shared" si="67"/>
        <v>10.039354887654625</v>
      </c>
      <c r="AU211" s="5">
        <f t="shared" si="68"/>
        <v>42.378276783865459</v>
      </c>
      <c r="AV211" s="5">
        <f t="shared" si="69"/>
        <v>120.68647379393585</v>
      </c>
      <c r="AW211" s="5">
        <f t="shared" si="69"/>
        <v>3.553919294462105</v>
      </c>
      <c r="AY211" s="5">
        <f>0.15*(Y211-Y210)+(1-0.15)*AY210</f>
        <v>0.48355371891485327</v>
      </c>
      <c r="AZ211" s="5">
        <f>0.25*(Y211-Y210)+(1-0.25)*AZ210</f>
        <v>0.23160583456872824</v>
      </c>
      <c r="BA211" s="5">
        <f>0.45*(Y211-Y210)+(1-0.45)*BA210</f>
        <v>-0.30556707775094682</v>
      </c>
      <c r="BB211" s="5">
        <f>0.85*(Y211-Y210)+(1-0.85)*BB210</f>
        <v>-0.81718183758271912</v>
      </c>
      <c r="BC211" s="5">
        <f>Y211+AY211</f>
        <v>167.76204906973626</v>
      </c>
      <c r="BD211" s="5">
        <f>Y211+AZ211</f>
        <v>167.51010118539014</v>
      </c>
      <c r="BE211" s="5">
        <f>Y211+BA211</f>
        <v>166.97292827307047</v>
      </c>
      <c r="BF211" s="5">
        <f>Y211+BB211</f>
        <v>166.46131351323868</v>
      </c>
      <c r="BG211" s="5">
        <f t="shared" si="70"/>
        <v>3.4920450697362639</v>
      </c>
      <c r="BH211" s="5">
        <f t="shared" si="71"/>
        <v>3.240097185390141</v>
      </c>
      <c r="BI211" s="5">
        <f t="shared" si="72"/>
        <v>2.7029242730704652</v>
      </c>
      <c r="BJ211" s="5">
        <f t="shared" si="73"/>
        <v>2.1913095132386786</v>
      </c>
    </row>
    <row r="212" spans="13:62" x14ac:dyDescent="0.35">
      <c r="M212" s="2">
        <v>210</v>
      </c>
      <c r="N212" s="3">
        <v>44083</v>
      </c>
      <c r="O212" s="1">
        <v>117.117943</v>
      </c>
      <c r="P212" s="1">
        <v>165.75</v>
      </c>
      <c r="R212" s="5">
        <f t="shared" si="63"/>
        <v>121.8821896683757</v>
      </c>
      <c r="S212" s="5">
        <f t="shared" si="64"/>
        <v>120.3159332836436</v>
      </c>
      <c r="T212" s="5">
        <f t="shared" si="65"/>
        <v>117.2088544986275</v>
      </c>
      <c r="U212" s="5">
        <f t="shared" si="66"/>
        <v>114.82111600278111</v>
      </c>
      <c r="V212" s="5"/>
      <c r="W212" s="5">
        <f>0.15*P211+(1-0.15)*W211</f>
        <v>164.83439420054907</v>
      </c>
      <c r="X212" s="5">
        <f>0.35*P211+(1-0.35)*X211</f>
        <v>166.25942043507121</v>
      </c>
      <c r="Y212" s="5">
        <f>0.55*P211+(1-0.55)*Y211</f>
        <v>165.62382510786964</v>
      </c>
      <c r="Z212" s="5">
        <f>0.75*P211+(1-0.75)*Z211</f>
        <v>164.92761963743652</v>
      </c>
      <c r="AB212" s="5">
        <f t="shared" si="56"/>
        <v>4.0679050078395802</v>
      </c>
      <c r="AC212" s="5">
        <f t="shared" si="57"/>
        <v>2.7305724483596894</v>
      </c>
      <c r="AD212" s="5">
        <f t="shared" si="58"/>
        <v>7.762388605775436E-2</v>
      </c>
      <c r="AE212" s="5">
        <f t="shared" si="59"/>
        <v>1.9611230682380465</v>
      </c>
      <c r="AG212" s="5">
        <f>ABS((P212-W212)/P212)*100</f>
        <v>0.55240168895983699</v>
      </c>
      <c r="AH212" s="5">
        <f>ABS((P212-X212)/P212)*100</f>
        <v>0.30734264559348784</v>
      </c>
      <c r="AI212" s="5">
        <f>ABS((P212-Y212)/P212)*100</f>
        <v>7.6123615161607802E-2</v>
      </c>
      <c r="AJ212" s="5">
        <f>ABS((P212-Z212)/P212)*100</f>
        <v>0.4961570814862617</v>
      </c>
      <c r="AL212" s="5">
        <f>0.15*(T212-T211)+(1-0.15)*AL211</f>
        <v>-0.96387537876057405</v>
      </c>
      <c r="AM212" s="5">
        <f>0.25*(T212-T211)+(1-0.25)*AM211</f>
        <v>-2.0894860713033552</v>
      </c>
      <c r="AN212" s="5">
        <f>0.45*(T212-T211)+(1-0.45)*AN211</f>
        <v>-3.688949997014042</v>
      </c>
      <c r="AO212" s="5">
        <f>0.85*(T212-T211)+(1-0.85)*AO211</f>
        <v>-5.1887033428013574</v>
      </c>
      <c r="AP212" s="5">
        <f>T212+AL212</f>
        <v>116.24497911986693</v>
      </c>
      <c r="AQ212" s="5">
        <f t="shared" si="60"/>
        <v>115.11936842732415</v>
      </c>
      <c r="AR212" s="5">
        <f t="shared" si="61"/>
        <v>113.51990450161347</v>
      </c>
      <c r="AS212" s="5">
        <f t="shared" si="62"/>
        <v>112.02015115582614</v>
      </c>
      <c r="AT212" s="5">
        <f t="shared" si="67"/>
        <v>0.8729638801330708</v>
      </c>
      <c r="AU212" s="5">
        <f t="shared" si="68"/>
        <v>50.630631572675853</v>
      </c>
      <c r="AV212" s="5">
        <f t="shared" si="69"/>
        <v>113.51990450161347</v>
      </c>
      <c r="AW212" s="5">
        <f t="shared" si="69"/>
        <v>9.8620385125495602</v>
      </c>
      <c r="AY212" s="5">
        <f>0.15*(Y212-Y211)+(1-0.15)*AY211</f>
        <v>0.16282012463486029</v>
      </c>
      <c r="AZ212" s="5">
        <f>0.25*(Y212-Y211)+(1-0.25)*AZ211</f>
        <v>-0.23996318481139545</v>
      </c>
      <c r="BA212" s="5">
        <f>0.45*(Y212-Y211)+(1-0.45)*BA211</f>
        <v>-0.91266350209131575</v>
      </c>
      <c r="BB212" s="5">
        <f>0.85*(Y212-Y211)+(1-0.85)*BB211</f>
        <v>-1.5290469821464094</v>
      </c>
      <c r="BC212" s="5">
        <f>Y212+AY212</f>
        <v>165.7866452325045</v>
      </c>
      <c r="BD212" s="5">
        <f>Y212+AZ212</f>
        <v>165.38386192305825</v>
      </c>
      <c r="BE212" s="5">
        <f>Y212+BA212</f>
        <v>164.71116160577833</v>
      </c>
      <c r="BF212" s="5">
        <f>Y212+BB212</f>
        <v>164.09477812572322</v>
      </c>
      <c r="BG212" s="5">
        <f t="shared" si="70"/>
        <v>3.6645232504497471E-2</v>
      </c>
      <c r="BH212" s="5">
        <f t="shared" si="71"/>
        <v>0.36613807694175193</v>
      </c>
      <c r="BI212" s="5">
        <f t="shared" si="72"/>
        <v>1.0388383942216706</v>
      </c>
      <c r="BJ212" s="5">
        <f t="shared" si="73"/>
        <v>1.6552218742767764</v>
      </c>
    </row>
    <row r="213" spans="13:62" x14ac:dyDescent="0.35">
      <c r="M213" s="2">
        <v>211</v>
      </c>
      <c r="N213" s="3">
        <v>44084</v>
      </c>
      <c r="O213" s="1">
        <v>113.29454</v>
      </c>
      <c r="P213" s="1">
        <v>164.270004</v>
      </c>
      <c r="R213" s="5">
        <f t="shared" si="63"/>
        <v>121.16755266811934</v>
      </c>
      <c r="S213" s="5">
        <f t="shared" si="64"/>
        <v>119.19663668436834</v>
      </c>
      <c r="T213" s="5">
        <f t="shared" si="65"/>
        <v>117.15885317438237</v>
      </c>
      <c r="U213" s="5">
        <f t="shared" si="66"/>
        <v>116.54373625069528</v>
      </c>
      <c r="V213" s="5"/>
      <c r="W213" s="5">
        <f>0.15*P212+(1-0.15)*W212</f>
        <v>164.97173507046671</v>
      </c>
      <c r="X213" s="5">
        <f>0.35*P212+(1-0.35)*X212</f>
        <v>166.08112328279628</v>
      </c>
      <c r="Y213" s="5">
        <f>0.55*P212+(1-0.55)*Y212</f>
        <v>165.69322129854135</v>
      </c>
      <c r="Z213" s="5">
        <f>0.75*P212+(1-0.75)*Z212</f>
        <v>165.54440490935912</v>
      </c>
      <c r="AB213" s="5">
        <f t="shared" si="56"/>
        <v>6.9491545383558142</v>
      </c>
      <c r="AC213" s="5">
        <f t="shared" si="57"/>
        <v>5.2095155550906034</v>
      </c>
      <c r="AD213" s="5">
        <f t="shared" si="58"/>
        <v>3.4108556108550103</v>
      </c>
      <c r="AE213" s="5">
        <f t="shared" si="59"/>
        <v>2.8679195402490509</v>
      </c>
      <c r="AG213" s="5">
        <f>ABS((P213-W213)/P213)*100</f>
        <v>0.4271815020268136</v>
      </c>
      <c r="AH213" s="5">
        <f>ABS((P213-X213)/P213)*100</f>
        <v>1.1025258651581233</v>
      </c>
      <c r="AI213" s="5">
        <f>ABS((P213-Y213)/P213)*100</f>
        <v>0.86638903262055422</v>
      </c>
      <c r="AJ213" s="5">
        <f>ABS((P213-Z213)/P213)*100</f>
        <v>0.77579648038428006</v>
      </c>
      <c r="AL213" s="5">
        <f>0.15*(T213-T212)+(1-0.15)*AL212</f>
        <v>-0.8267942705832575</v>
      </c>
      <c r="AM213" s="5">
        <f>0.25*(T213-T212)+(1-0.25)*AM212</f>
        <v>-1.5796148845387989</v>
      </c>
      <c r="AN213" s="5">
        <f>0.45*(T213-T212)+(1-0.45)*AN212</f>
        <v>-2.0514230942680318</v>
      </c>
      <c r="AO213" s="5">
        <f>0.85*(T213-T212)+(1-0.85)*AO212</f>
        <v>-0.82080662702856444</v>
      </c>
      <c r="AP213" s="5">
        <f>T213+AL213</f>
        <v>116.33205890379911</v>
      </c>
      <c r="AQ213" s="5">
        <f t="shared" si="60"/>
        <v>115.57923828984357</v>
      </c>
      <c r="AR213" s="5">
        <f t="shared" si="61"/>
        <v>115.10743008011434</v>
      </c>
      <c r="AS213" s="5">
        <f t="shared" si="62"/>
        <v>116.33804654735381</v>
      </c>
      <c r="AT213" s="5">
        <f t="shared" si="67"/>
        <v>3.0375189037991106</v>
      </c>
      <c r="AU213" s="5">
        <f t="shared" si="68"/>
        <v>48.690765710156427</v>
      </c>
      <c r="AV213" s="5">
        <f t="shared" si="69"/>
        <v>115.10743008011434</v>
      </c>
      <c r="AW213" s="5">
        <f t="shared" si="69"/>
        <v>4.8295061207655294</v>
      </c>
      <c r="AY213" s="5">
        <f>0.15*(Y213-Y212)+(1-0.15)*AY212</f>
        <v>0.14880653454038784</v>
      </c>
      <c r="AZ213" s="5">
        <f>0.25*(Y213-Y212)+(1-0.25)*AZ212</f>
        <v>-0.16262334094061892</v>
      </c>
      <c r="BA213" s="5">
        <f>0.45*(Y213-Y212)+(1-0.45)*BA212</f>
        <v>-0.47073664034795393</v>
      </c>
      <c r="BB213" s="5">
        <f>0.85*(Y213-Y212)+(1-0.85)*BB212</f>
        <v>-0.17037028525100739</v>
      </c>
      <c r="BC213" s="5">
        <f>Y213+AY213</f>
        <v>165.84202783308174</v>
      </c>
      <c r="BD213" s="5">
        <f>Y213+AZ213</f>
        <v>165.53059795760072</v>
      </c>
      <c r="BE213" s="5">
        <f>Y213+BA213</f>
        <v>165.22248465819339</v>
      </c>
      <c r="BF213" s="5">
        <f>Y213+BB213</f>
        <v>165.52285101329034</v>
      </c>
      <c r="BG213" s="5">
        <f t="shared" si="70"/>
        <v>1.5720238330817438</v>
      </c>
      <c r="BH213" s="5">
        <f t="shared" si="71"/>
        <v>1.2605939576007188</v>
      </c>
      <c r="BI213" s="5">
        <f t="shared" si="72"/>
        <v>0.95248065819339445</v>
      </c>
      <c r="BJ213" s="5">
        <f t="shared" si="73"/>
        <v>1.2528470132903351</v>
      </c>
    </row>
    <row r="214" spans="13:62" x14ac:dyDescent="0.35">
      <c r="M214" s="2">
        <v>212</v>
      </c>
      <c r="N214" s="3">
        <v>44085</v>
      </c>
      <c r="O214" s="1">
        <v>111.807106</v>
      </c>
      <c r="P214" s="1">
        <v>166.449997</v>
      </c>
      <c r="R214" s="5">
        <f t="shared" si="63"/>
        <v>119.98660076790144</v>
      </c>
      <c r="S214" s="5">
        <f t="shared" si="64"/>
        <v>117.13090284483943</v>
      </c>
      <c r="T214" s="5">
        <f t="shared" si="65"/>
        <v>115.03348092847207</v>
      </c>
      <c r="U214" s="5">
        <f t="shared" si="66"/>
        <v>114.10683906267383</v>
      </c>
      <c r="V214" s="5"/>
      <c r="W214" s="5">
        <f>0.15*P213+(1-0.15)*W213</f>
        <v>164.86647540989668</v>
      </c>
      <c r="X214" s="5">
        <f>0.35*P213+(1-0.35)*X213</f>
        <v>165.44723153381759</v>
      </c>
      <c r="Y214" s="5">
        <f>0.55*P213+(1-0.55)*Y213</f>
        <v>164.91045178434359</v>
      </c>
      <c r="Z214" s="5">
        <f>0.75*P213+(1-0.75)*Z213</f>
        <v>164.58860422733977</v>
      </c>
      <c r="AB214" s="5">
        <f t="shared" si="56"/>
        <v>7.3157199578186294</v>
      </c>
      <c r="AC214" s="5">
        <f t="shared" si="57"/>
        <v>4.7615907747754616</v>
      </c>
      <c r="AD214" s="5">
        <f t="shared" si="58"/>
        <v>2.8856617829568618</v>
      </c>
      <c r="AE214" s="5">
        <f t="shared" si="59"/>
        <v>2.0568755823747225</v>
      </c>
      <c r="AG214" s="5">
        <f>ABS((P214-W214)/P214)*100</f>
        <v>0.95134972582986388</v>
      </c>
      <c r="AH214" s="5">
        <f>ABS((P214-X214)/P214)*100</f>
        <v>0.60244246575889704</v>
      </c>
      <c r="AI214" s="5">
        <f>ABS((P214-Y214)/P214)*100</f>
        <v>0.92492955446337644</v>
      </c>
      <c r="AJ214" s="5">
        <f>ABS((P214-Z214)/P214)*100</f>
        <v>1.1182894600233753</v>
      </c>
      <c r="AL214" s="5">
        <f>0.15*(T214-T213)+(1-0.15)*AL213</f>
        <v>-1.0215809668823137</v>
      </c>
      <c r="AM214" s="5">
        <f>0.25*(T214-T213)+(1-0.25)*AM213</f>
        <v>-1.7160542248816739</v>
      </c>
      <c r="AN214" s="5">
        <f>0.45*(T214-T213)+(1-0.45)*AN213</f>
        <v>-2.0847002125070522</v>
      </c>
      <c r="AO214" s="5">
        <f>0.85*(T214-T213)+(1-0.85)*AO213</f>
        <v>-1.9296874030780387</v>
      </c>
      <c r="AP214" s="5">
        <f>T214+AL214</f>
        <v>114.01189996158976</v>
      </c>
      <c r="AQ214" s="5">
        <f t="shared" si="60"/>
        <v>113.3174267035904</v>
      </c>
      <c r="AR214" s="5">
        <f t="shared" si="61"/>
        <v>112.94878071596501</v>
      </c>
      <c r="AS214" s="5">
        <f t="shared" si="62"/>
        <v>113.10379352539404</v>
      </c>
      <c r="AT214" s="5">
        <f t="shared" si="67"/>
        <v>2.2047939615897576</v>
      </c>
      <c r="AU214" s="5">
        <f t="shared" si="68"/>
        <v>53.132570296409597</v>
      </c>
      <c r="AV214" s="5">
        <f t="shared" si="69"/>
        <v>112.94878071596501</v>
      </c>
      <c r="AW214" s="5">
        <f t="shared" si="69"/>
        <v>6.8828072425073969</v>
      </c>
      <c r="AY214" s="5">
        <f>0.15*(Y214-Y213)+(1-0.15)*AY213</f>
        <v>9.0701272296667274E-3</v>
      </c>
      <c r="AZ214" s="5">
        <f>0.25*(Y214-Y213)+(1-0.25)*AZ213</f>
        <v>-0.31765988425490244</v>
      </c>
      <c r="BA214" s="5">
        <f>0.45*(Y214-Y213)+(1-0.45)*BA213</f>
        <v>-0.61115143358036339</v>
      </c>
      <c r="BB214" s="5">
        <f>0.85*(Y214-Y213)+(1-0.85)*BB213</f>
        <v>-0.69090962985574111</v>
      </c>
      <c r="BC214" s="5">
        <f>Y214+AY214</f>
        <v>164.91952191157327</v>
      </c>
      <c r="BD214" s="5">
        <f>Y214+AZ214</f>
        <v>164.59279190008868</v>
      </c>
      <c r="BE214" s="5">
        <f>Y214+BA214</f>
        <v>164.29930035076322</v>
      </c>
      <c r="BF214" s="5">
        <f>Y214+BB214</f>
        <v>164.21954215448784</v>
      </c>
      <c r="BG214" s="5">
        <f t="shared" si="70"/>
        <v>1.5304750884267264</v>
      </c>
      <c r="BH214" s="5">
        <f t="shared" si="71"/>
        <v>1.8572050999113117</v>
      </c>
      <c r="BI214" s="5">
        <f t="shared" si="72"/>
        <v>2.1506966492367781</v>
      </c>
      <c r="BJ214" s="5">
        <f t="shared" si="73"/>
        <v>2.2304548455121562</v>
      </c>
    </row>
    <row r="215" spans="13:62" x14ac:dyDescent="0.35">
      <c r="M215" s="2">
        <v>213</v>
      </c>
      <c r="N215" s="3">
        <v>44088</v>
      </c>
      <c r="O215" s="1">
        <v>115.161316</v>
      </c>
      <c r="P215" s="1">
        <v>168.470001</v>
      </c>
      <c r="R215" s="5">
        <f t="shared" si="63"/>
        <v>118.75967655271621</v>
      </c>
      <c r="S215" s="5">
        <f t="shared" si="64"/>
        <v>115.26757394914563</v>
      </c>
      <c r="T215" s="5">
        <f t="shared" si="65"/>
        <v>113.25897471781244</v>
      </c>
      <c r="U215" s="5">
        <f t="shared" si="66"/>
        <v>112.38203926566847</v>
      </c>
      <c r="V215" s="5"/>
      <c r="W215" s="5">
        <f>0.15*P214+(1-0.15)*W214</f>
        <v>165.10400364841217</v>
      </c>
      <c r="X215" s="5">
        <f>0.35*P214+(1-0.35)*X214</f>
        <v>165.79819944698141</v>
      </c>
      <c r="Y215" s="5">
        <f>0.55*P214+(1-0.55)*Y214</f>
        <v>165.75720165295462</v>
      </c>
      <c r="Z215" s="5">
        <f>0.75*P214+(1-0.75)*Z214</f>
        <v>165.98464880683494</v>
      </c>
      <c r="AB215" s="5">
        <f t="shared" si="56"/>
        <v>3.1246261137865212</v>
      </c>
      <c r="AC215" s="5">
        <f t="shared" si="57"/>
        <v>9.2268786808262088E-2</v>
      </c>
      <c r="AD215" s="5">
        <f t="shared" si="58"/>
        <v>1.6518926218137033</v>
      </c>
      <c r="AE215" s="5">
        <f t="shared" si="59"/>
        <v>2.4133770183136249</v>
      </c>
      <c r="AG215" s="5">
        <f>ABS((P215-W215)/P215)*100</f>
        <v>1.9979802526313408</v>
      </c>
      <c r="AH215" s="5">
        <f>ABS((P215-X215)/P215)*100</f>
        <v>1.5859212543238379</v>
      </c>
      <c r="AI215" s="5">
        <f>ABS((P215-Y215)/P215)*100</f>
        <v>1.6102566219165486</v>
      </c>
      <c r="AJ215" s="5">
        <f>ABS((P215-Z215)/P215)*100</f>
        <v>1.4752491116593844</v>
      </c>
      <c r="AL215" s="5">
        <f>0.15*(T215-T214)+(1-0.15)*AL214</f>
        <v>-1.1345197534489122</v>
      </c>
      <c r="AM215" s="5">
        <f>0.25*(T215-T214)+(1-0.25)*AM214</f>
        <v>-1.7306672213261649</v>
      </c>
      <c r="AN215" s="5">
        <f>0.45*(T215-T214)+(1-0.45)*AN214</f>
        <v>-1.9451129116757158</v>
      </c>
      <c r="AO215" s="5">
        <f>0.85*(T215-T214)+(1-0.85)*AO214</f>
        <v>-1.7977833895223978</v>
      </c>
      <c r="AP215" s="5">
        <f>T215+AL215</f>
        <v>112.12445496436352</v>
      </c>
      <c r="AQ215" s="5">
        <f t="shared" si="60"/>
        <v>111.52830749648626</v>
      </c>
      <c r="AR215" s="5">
        <f t="shared" si="61"/>
        <v>111.31386180613671</v>
      </c>
      <c r="AS215" s="5">
        <f t="shared" si="62"/>
        <v>111.46119132829004</v>
      </c>
      <c r="AT215" s="5">
        <f t="shared" si="67"/>
        <v>3.0368610356364769</v>
      </c>
      <c r="AU215" s="5">
        <f t="shared" si="68"/>
        <v>56.941693503513733</v>
      </c>
      <c r="AV215" s="5">
        <f t="shared" si="69"/>
        <v>111.31386180613671</v>
      </c>
      <c r="AW215" s="5">
        <f t="shared" si="69"/>
        <v>7.2984852244261731</v>
      </c>
      <c r="AY215" s="5">
        <f>0.15*(Y215-Y214)+(1-0.15)*AY214</f>
        <v>0.13472208843687083</v>
      </c>
      <c r="AZ215" s="5">
        <f>0.25*(Y215-Y214)+(1-0.25)*AZ214</f>
        <v>-2.6557446038419946E-2</v>
      </c>
      <c r="BA215" s="5">
        <f>0.45*(Y215-Y214)+(1-0.45)*BA214</f>
        <v>4.490415240576251E-2</v>
      </c>
      <c r="BB215" s="5">
        <f>0.85*(Y215-Y214)+(1-0.85)*BB214</f>
        <v>0.61610094384101222</v>
      </c>
      <c r="BC215" s="5">
        <f>Y215+AY215</f>
        <v>165.89192374139148</v>
      </c>
      <c r="BD215" s="5">
        <f>Y215+AZ215</f>
        <v>165.7306442069162</v>
      </c>
      <c r="BE215" s="5">
        <f>Y215+BA215</f>
        <v>165.80210580536038</v>
      </c>
      <c r="BF215" s="5">
        <f>Y215+BB215</f>
        <v>166.37330259679564</v>
      </c>
      <c r="BG215" s="5">
        <f t="shared" si="70"/>
        <v>2.5780772586085163</v>
      </c>
      <c r="BH215" s="5">
        <f t="shared" si="71"/>
        <v>2.7393567930838003</v>
      </c>
      <c r="BI215" s="5">
        <f t="shared" si="72"/>
        <v>2.6678951946396126</v>
      </c>
      <c r="BJ215" s="5">
        <f t="shared" si="73"/>
        <v>2.096698403204357</v>
      </c>
    </row>
    <row r="216" spans="13:62" x14ac:dyDescent="0.35">
      <c r="M216" s="2">
        <v>214</v>
      </c>
      <c r="N216" s="3">
        <v>44089</v>
      </c>
      <c r="O216" s="1">
        <v>115.34101099999999</v>
      </c>
      <c r="P216" s="1">
        <v>168.300003</v>
      </c>
      <c r="R216" s="5">
        <f t="shared" si="63"/>
        <v>118.21992246980878</v>
      </c>
      <c r="S216" s="5">
        <f t="shared" si="64"/>
        <v>115.23038366694466</v>
      </c>
      <c r="T216" s="5">
        <f t="shared" si="65"/>
        <v>114.30526242301559</v>
      </c>
      <c r="U216" s="5">
        <f t="shared" si="66"/>
        <v>114.46649681641712</v>
      </c>
      <c r="V216" s="5"/>
      <c r="W216" s="5">
        <f>0.15*P215+(1-0.15)*W215</f>
        <v>165.60890325115034</v>
      </c>
      <c r="X216" s="5">
        <f>0.35*P215+(1-0.35)*X215</f>
        <v>166.73332999053792</v>
      </c>
      <c r="Y216" s="5">
        <f>0.55*P215+(1-0.55)*Y215</f>
        <v>167.24924129382958</v>
      </c>
      <c r="Z216" s="5">
        <f>0.75*P215+(1-0.75)*Z215</f>
        <v>167.84866295170872</v>
      </c>
      <c r="AB216" s="5">
        <f t="shared" si="56"/>
        <v>2.495999857161634</v>
      </c>
      <c r="AC216" s="5">
        <f t="shared" si="57"/>
        <v>9.5913268052881528E-2</v>
      </c>
      <c r="AD216" s="5">
        <f t="shared" si="58"/>
        <v>0.89798812062121014</v>
      </c>
      <c r="AE216" s="5">
        <f t="shared" si="59"/>
        <v>0.75819881931056998</v>
      </c>
      <c r="AG216" s="5">
        <f>ABS((P216-W216)/P216)*100</f>
        <v>1.5989897212596402</v>
      </c>
      <c r="AH216" s="5">
        <f>ABS((P216-X216)/P216)*100</f>
        <v>0.93088115361595025</v>
      </c>
      <c r="AI216" s="5">
        <f>ABS((P216-Y216)/P216)*100</f>
        <v>0.62433849521109008</v>
      </c>
      <c r="AJ216" s="5">
        <f>ABS((P216-Z216)/P216)*100</f>
        <v>0.26817590032442584</v>
      </c>
      <c r="AL216" s="5">
        <f>0.15*(T216-T215)+(1-0.15)*AL215</f>
        <v>-0.80739863465110195</v>
      </c>
      <c r="AM216" s="5">
        <f>0.25*(T216-T215)+(1-0.25)*AM215</f>
        <v>-1.0364284896938347</v>
      </c>
      <c r="AN216" s="5">
        <f>0.45*(T216-T215)+(1-0.45)*AN215</f>
        <v>-0.59898263408022356</v>
      </c>
      <c r="AO216" s="5">
        <f>0.85*(T216-T215)+(1-0.85)*AO215</f>
        <v>0.61967704099432275</v>
      </c>
      <c r="AP216" s="5">
        <f>T216+AL216</f>
        <v>113.49786378836448</v>
      </c>
      <c r="AQ216" s="5">
        <f t="shared" si="60"/>
        <v>113.26883393332176</v>
      </c>
      <c r="AR216" s="5">
        <f t="shared" si="61"/>
        <v>113.70627978893536</v>
      </c>
      <c r="AS216" s="5">
        <f t="shared" si="62"/>
        <v>114.92493946400991</v>
      </c>
      <c r="AT216" s="5">
        <f t="shared" si="67"/>
        <v>1.843147211635511</v>
      </c>
      <c r="AU216" s="5">
        <f t="shared" si="68"/>
        <v>55.031169066678245</v>
      </c>
      <c r="AV216" s="5">
        <f t="shared" si="69"/>
        <v>113.70627978893536</v>
      </c>
      <c r="AW216" s="5">
        <f t="shared" si="69"/>
        <v>3.2949830057988692</v>
      </c>
      <c r="AY216" s="5">
        <f>0.15*(Y216-Y215)+(1-0.15)*AY215</f>
        <v>0.33831972130258481</v>
      </c>
      <c r="AZ216" s="5">
        <f>0.25*(Y216-Y215)+(1-0.25)*AZ215</f>
        <v>0.35309182568992603</v>
      </c>
      <c r="BA216" s="5">
        <f>0.45*(Y216-Y215)+(1-0.45)*BA215</f>
        <v>0.69611512221690319</v>
      </c>
      <c r="BB216" s="5">
        <f>0.85*(Y216-Y215)+(1-0.85)*BB215</f>
        <v>1.360648836319871</v>
      </c>
      <c r="BC216" s="5">
        <f>Y216+AY216</f>
        <v>167.58756101513217</v>
      </c>
      <c r="BD216" s="5">
        <f>Y216+AZ216</f>
        <v>167.6023331195195</v>
      </c>
      <c r="BE216" s="5">
        <f>Y216+BA216</f>
        <v>167.94535641604648</v>
      </c>
      <c r="BF216" s="5">
        <f>Y216+BB216</f>
        <v>168.60989013014947</v>
      </c>
      <c r="BG216" s="5">
        <f t="shared" si="70"/>
        <v>0.71244198486783716</v>
      </c>
      <c r="BH216" s="5">
        <f t="shared" si="71"/>
        <v>0.69766988048050393</v>
      </c>
      <c r="BI216" s="5">
        <f t="shared" si="72"/>
        <v>0.35464658395352444</v>
      </c>
      <c r="BJ216" s="5">
        <f t="shared" si="73"/>
        <v>0.30988713014946256</v>
      </c>
    </row>
    <row r="217" spans="13:62" x14ac:dyDescent="0.35">
      <c r="M217" s="2">
        <v>215</v>
      </c>
      <c r="N217" s="3">
        <v>44090</v>
      </c>
      <c r="O217" s="1">
        <v>111.936882</v>
      </c>
      <c r="P217" s="1">
        <v>170</v>
      </c>
      <c r="R217" s="5">
        <f t="shared" si="63"/>
        <v>117.78808574933745</v>
      </c>
      <c r="S217" s="5">
        <f t="shared" si="64"/>
        <v>115.26910323351403</v>
      </c>
      <c r="T217" s="5">
        <f t="shared" si="65"/>
        <v>114.87492414035702</v>
      </c>
      <c r="U217" s="5">
        <f t="shared" si="66"/>
        <v>115.12238245410428</v>
      </c>
      <c r="V217" s="5"/>
      <c r="W217" s="5">
        <f>0.15*P216+(1-0.15)*W216</f>
        <v>166.01256821347778</v>
      </c>
      <c r="X217" s="5">
        <f>0.35*P216+(1-0.35)*X216</f>
        <v>167.28166554384967</v>
      </c>
      <c r="Y217" s="5">
        <f>0.55*P216+(1-0.55)*Y216</f>
        <v>167.82716023222332</v>
      </c>
      <c r="Z217" s="5">
        <f>0.75*P216+(1-0.75)*Z216</f>
        <v>168.18716798792718</v>
      </c>
      <c r="AB217" s="5">
        <f t="shared" si="56"/>
        <v>5.2272348887987228</v>
      </c>
      <c r="AC217" s="5">
        <f t="shared" si="57"/>
        <v>2.9768751585505426</v>
      </c>
      <c r="AD217" s="5">
        <f t="shared" si="58"/>
        <v>2.6247310876115226</v>
      </c>
      <c r="AE217" s="5">
        <f t="shared" si="59"/>
        <v>2.845800595110632</v>
      </c>
      <c r="AG217" s="5">
        <f>ABS((P217-W217)/P217)*100</f>
        <v>2.3455481097189543</v>
      </c>
      <c r="AH217" s="5">
        <f>ABS((P217-X217)/P217)*100</f>
        <v>1.5990202683237236</v>
      </c>
      <c r="AI217" s="5">
        <f>ABS((P217-Y217)/P217)*100</f>
        <v>1.278141039868635</v>
      </c>
      <c r="AJ217" s="5">
        <f>ABS((P217-Z217)/P217)*100</f>
        <v>1.0663717718075398</v>
      </c>
      <c r="AL217" s="5">
        <f>0.15*(T217-T216)+(1-0.15)*AL216</f>
        <v>-0.60083958185222175</v>
      </c>
      <c r="AM217" s="5">
        <f>0.25*(T217-T216)+(1-0.25)*AM216</f>
        <v>-0.63490593793501793</v>
      </c>
      <c r="AN217" s="5">
        <f>0.45*(T217-T216)+(1-0.45)*AN216</f>
        <v>-7.3092675940478358E-2</v>
      </c>
      <c r="AO217" s="5">
        <f>0.85*(T217-T216)+(1-0.85)*AO216</f>
        <v>0.57716401588936606</v>
      </c>
      <c r="AP217" s="5">
        <f>T217+AL217</f>
        <v>114.2740845585048</v>
      </c>
      <c r="AQ217" s="5">
        <f t="shared" si="60"/>
        <v>114.24001820242201</v>
      </c>
      <c r="AR217" s="5">
        <f t="shared" si="61"/>
        <v>114.80183146441655</v>
      </c>
      <c r="AS217" s="5">
        <f t="shared" si="62"/>
        <v>115.45208815624639</v>
      </c>
      <c r="AT217" s="5">
        <f t="shared" si="67"/>
        <v>2.3372025585047993</v>
      </c>
      <c r="AU217" s="5">
        <f t="shared" si="68"/>
        <v>55.759981797577993</v>
      </c>
      <c r="AV217" s="5">
        <f t="shared" si="69"/>
        <v>114.80183146441655</v>
      </c>
      <c r="AW217" s="5">
        <f t="shared" si="69"/>
        <v>2.335997593091065</v>
      </c>
      <c r="AY217" s="5">
        <f>0.15*(Y217-Y216)+(1-0.15)*AY216</f>
        <v>0.37425960386625751</v>
      </c>
      <c r="AZ217" s="5">
        <f>0.25*(Y217-Y216)+(1-0.25)*AZ216</f>
        <v>0.40929860386587863</v>
      </c>
      <c r="BA217" s="5">
        <f>0.45*(Y217-Y216)+(1-0.45)*BA216</f>
        <v>0.64292683949647822</v>
      </c>
      <c r="BB217" s="5">
        <f>0.85*(Y217-Y216)+(1-0.85)*BB216</f>
        <v>0.69532842308265663</v>
      </c>
      <c r="BC217" s="5">
        <f>Y217+AY217</f>
        <v>168.20141983608957</v>
      </c>
      <c r="BD217" s="5">
        <f>Y217+AZ217</f>
        <v>168.23645883608921</v>
      </c>
      <c r="BE217" s="5">
        <f>Y217+BA217</f>
        <v>168.4700870717198</v>
      </c>
      <c r="BF217" s="5">
        <f>Y217+BB217</f>
        <v>168.52248865530598</v>
      </c>
      <c r="BG217" s="5">
        <f t="shared" si="70"/>
        <v>1.7985801639104295</v>
      </c>
      <c r="BH217" s="5">
        <f t="shared" si="71"/>
        <v>1.7635411639107872</v>
      </c>
      <c r="BI217" s="5">
        <f t="shared" si="72"/>
        <v>1.5299129282801971</v>
      </c>
      <c r="BJ217" s="5">
        <f t="shared" si="73"/>
        <v>1.4775113446940225</v>
      </c>
    </row>
    <row r="218" spans="13:62" x14ac:dyDescent="0.35">
      <c r="M218" s="2">
        <v>216</v>
      </c>
      <c r="N218" s="3">
        <v>44091</v>
      </c>
      <c r="O218" s="1">
        <v>110.149963</v>
      </c>
      <c r="P218" s="1">
        <v>170.33999600000001</v>
      </c>
      <c r="R218" s="5">
        <f t="shared" si="63"/>
        <v>116.91040518693683</v>
      </c>
      <c r="S218" s="5">
        <f t="shared" si="64"/>
        <v>114.10282580178412</v>
      </c>
      <c r="T218" s="5">
        <f t="shared" si="65"/>
        <v>113.25900096316066</v>
      </c>
      <c r="U218" s="5">
        <f t="shared" si="66"/>
        <v>112.73325711352608</v>
      </c>
      <c r="V218" s="5"/>
      <c r="W218" s="5">
        <f>0.15*P217+(1-0.15)*W217</f>
        <v>166.61068298145611</v>
      </c>
      <c r="X218" s="5">
        <f>0.35*P217+(1-0.35)*X217</f>
        <v>168.23308260350228</v>
      </c>
      <c r="Y218" s="5">
        <f>0.55*P217+(1-0.55)*Y217</f>
        <v>169.02222210450049</v>
      </c>
      <c r="Z218" s="5">
        <f>0.75*P217+(1-0.75)*Z217</f>
        <v>169.5467919969818</v>
      </c>
      <c r="AB218" s="5">
        <f t="shared" si="56"/>
        <v>6.1374892944238466</v>
      </c>
      <c r="AC218" s="5">
        <f t="shared" si="57"/>
        <v>3.588619273330234</v>
      </c>
      <c r="AD218" s="5">
        <f t="shared" si="58"/>
        <v>2.8225501656869914</v>
      </c>
      <c r="AE218" s="5">
        <f t="shared" si="59"/>
        <v>2.3452519121827389</v>
      </c>
      <c r="AG218" s="5">
        <f>ABS((P218-W218)/P218)*100</f>
        <v>2.1893349219897278</v>
      </c>
      <c r="AH218" s="5">
        <f>ABS((P218-X218)/P218)*100</f>
        <v>1.2368870764196396</v>
      </c>
      <c r="AI218" s="5">
        <f>ABS((P218-Y218)/P218)*100</f>
        <v>0.77361390539161901</v>
      </c>
      <c r="AJ218" s="5">
        <f>ABS((P218-Z218)/P218)*100</f>
        <v>0.46565928240260024</v>
      </c>
      <c r="AL218" s="5">
        <f>0.15*(T218-T217)+(1-0.15)*AL217</f>
        <v>-0.75310212115384323</v>
      </c>
      <c r="AM218" s="5">
        <f>0.25*(T218-T217)+(1-0.25)*AM217</f>
        <v>-0.88016024775035462</v>
      </c>
      <c r="AN218" s="5">
        <f>0.45*(T218-T217)+(1-0.45)*AN217</f>
        <v>-0.76736640150562729</v>
      </c>
      <c r="AO218" s="5">
        <f>0.85*(T218-T217)+(1-0.85)*AO217</f>
        <v>-1.286960098233505</v>
      </c>
      <c r="AP218" s="5">
        <f>T218+AL218</f>
        <v>112.50589884200681</v>
      </c>
      <c r="AQ218" s="5">
        <f t="shared" si="60"/>
        <v>112.37884071541031</v>
      </c>
      <c r="AR218" s="5">
        <f t="shared" si="61"/>
        <v>112.49163456165503</v>
      </c>
      <c r="AS218" s="5">
        <f t="shared" si="62"/>
        <v>111.97204086492715</v>
      </c>
      <c r="AT218" s="5">
        <f t="shared" si="67"/>
        <v>2.3559358420068151</v>
      </c>
      <c r="AU218" s="5">
        <f t="shared" si="68"/>
        <v>57.961155284589708</v>
      </c>
      <c r="AV218" s="5">
        <f t="shared" si="69"/>
        <v>112.49163456165503</v>
      </c>
      <c r="AW218" s="5">
        <f t="shared" si="69"/>
        <v>4.9383643220096758</v>
      </c>
      <c r="AY218" s="5">
        <f>0.15*(Y218-Y217)+(1-0.15)*AY217</f>
        <v>0.49737994412789366</v>
      </c>
      <c r="AZ218" s="5">
        <f>0.25*(Y218-Y217)+(1-0.25)*AZ217</f>
        <v>0.60573942096870026</v>
      </c>
      <c r="BA218" s="5">
        <f>0.45*(Y218-Y217)+(1-0.45)*BA217</f>
        <v>0.89138760424778729</v>
      </c>
      <c r="BB218" s="5">
        <f>0.85*(Y218-Y217)+(1-0.85)*BB217</f>
        <v>1.1201018548979889</v>
      </c>
      <c r="BC218" s="5">
        <f>Y218+AY218</f>
        <v>169.51960204862837</v>
      </c>
      <c r="BD218" s="5">
        <f>Y218+AZ218</f>
        <v>169.62796152546917</v>
      </c>
      <c r="BE218" s="5">
        <f>Y218+BA218</f>
        <v>169.91360970874828</v>
      </c>
      <c r="BF218" s="5">
        <f>Y218+BB218</f>
        <v>170.14232395939848</v>
      </c>
      <c r="BG218" s="5">
        <f t="shared" si="70"/>
        <v>0.82039395137164206</v>
      </c>
      <c r="BH218" s="5">
        <f t="shared" si="71"/>
        <v>0.71203447453083868</v>
      </c>
      <c r="BI218" s="5">
        <f t="shared" si="72"/>
        <v>0.42638629125173111</v>
      </c>
      <c r="BJ218" s="5">
        <f t="shared" si="73"/>
        <v>0.19767204060153176</v>
      </c>
    </row>
    <row r="219" spans="13:62" x14ac:dyDescent="0.35">
      <c r="M219" s="2">
        <v>217</v>
      </c>
      <c r="N219" s="3">
        <v>44092</v>
      </c>
      <c r="O219" s="1">
        <v>106.655991</v>
      </c>
      <c r="P219" s="1">
        <v>168.699997</v>
      </c>
      <c r="R219" s="5">
        <f t="shared" si="63"/>
        <v>115.8963388588963</v>
      </c>
      <c r="S219" s="5">
        <f t="shared" si="64"/>
        <v>112.71932382115968</v>
      </c>
      <c r="T219" s="5">
        <f t="shared" si="65"/>
        <v>111.54903008342229</v>
      </c>
      <c r="U219" s="5">
        <f t="shared" si="66"/>
        <v>110.79578652838151</v>
      </c>
      <c r="V219" s="5"/>
      <c r="W219" s="5">
        <f>0.15*P218+(1-0.15)*W218</f>
        <v>167.17007993423769</v>
      </c>
      <c r="X219" s="5">
        <f>0.35*P218+(1-0.35)*X218</f>
        <v>168.97050229227648</v>
      </c>
      <c r="Y219" s="5">
        <f>0.55*P218+(1-0.55)*Y218</f>
        <v>169.7469977470252</v>
      </c>
      <c r="Z219" s="5">
        <f>0.75*P218+(1-0.75)*Z218</f>
        <v>170.14169499924546</v>
      </c>
      <c r="AB219" s="5">
        <f t="shared" si="56"/>
        <v>8.663693218036201</v>
      </c>
      <c r="AC219" s="5">
        <f t="shared" si="57"/>
        <v>5.6849434938536891</v>
      </c>
      <c r="AD219" s="5">
        <f t="shared" si="58"/>
        <v>4.5876832961237914</v>
      </c>
      <c r="AE219" s="5">
        <f t="shared" si="59"/>
        <v>3.8814467800327428</v>
      </c>
      <c r="AG219" s="5">
        <f>ABS((P219-W219)/P219)*100</f>
        <v>0.90688624360930192</v>
      </c>
      <c r="AH219" s="5">
        <f>ABS((P219-X219)/P219)*100</f>
        <v>0.16034694551682899</v>
      </c>
      <c r="AI219" s="5">
        <f>ABS((P219-Y219)/P219)*100</f>
        <v>0.62062878817076006</v>
      </c>
      <c r="AJ219" s="5">
        <f>ABS((P219-Z219)/P219)*100</f>
        <v>0.85459278297762076</v>
      </c>
      <c r="AL219" s="5">
        <f>0.15*(T219-T218)+(1-0.15)*AL218</f>
        <v>-0.89663243494152134</v>
      </c>
      <c r="AM219" s="5">
        <f>0.25*(T219-T218)+(1-0.25)*AM218</f>
        <v>-1.0876129057473571</v>
      </c>
      <c r="AN219" s="5">
        <f>0.45*(T219-T218)+(1-0.45)*AN218</f>
        <v>-1.1915384167103591</v>
      </c>
      <c r="AO219" s="5">
        <f>0.85*(T219-T218)+(1-0.85)*AO218</f>
        <v>-1.6465192625126353</v>
      </c>
      <c r="AP219" s="5">
        <f>T219+AL219</f>
        <v>110.65239764848077</v>
      </c>
      <c r="AQ219" s="5">
        <f t="shared" si="60"/>
        <v>110.46141717767493</v>
      </c>
      <c r="AR219" s="5">
        <f t="shared" si="61"/>
        <v>110.35749166671194</v>
      </c>
      <c r="AS219" s="5">
        <f t="shared" si="62"/>
        <v>109.90251082090965</v>
      </c>
      <c r="AT219" s="5">
        <f t="shared" si="67"/>
        <v>3.9964066484807717</v>
      </c>
      <c r="AU219" s="5">
        <f t="shared" si="68"/>
        <v>58.238579822325065</v>
      </c>
      <c r="AV219" s="5">
        <f t="shared" si="69"/>
        <v>110.35749166671194</v>
      </c>
      <c r="AW219" s="5">
        <f t="shared" si="69"/>
        <v>5.9938280379866455</v>
      </c>
      <c r="AY219" s="5">
        <f>0.15*(Y219-Y218)+(1-0.15)*AY218</f>
        <v>0.53148929888741747</v>
      </c>
      <c r="AZ219" s="5">
        <f>0.25*(Y219-Y218)+(1-0.25)*AZ218</f>
        <v>0.63549847635770496</v>
      </c>
      <c r="BA219" s="5">
        <f>0.45*(Y219-Y218)+(1-0.45)*BA218</f>
        <v>0.81641222147240655</v>
      </c>
      <c r="BB219" s="5">
        <f>0.85*(Y219-Y218)+(1-0.85)*BB218</f>
        <v>0.78407457438070938</v>
      </c>
      <c r="BC219" s="5">
        <f>Y219+AY219</f>
        <v>170.27848704591261</v>
      </c>
      <c r="BD219" s="5">
        <f>Y219+AZ219</f>
        <v>170.3824962233829</v>
      </c>
      <c r="BE219" s="5">
        <f>Y219+BA219</f>
        <v>170.56340996849761</v>
      </c>
      <c r="BF219" s="5">
        <f>Y219+BB219</f>
        <v>170.5310723214059</v>
      </c>
      <c r="BG219" s="5">
        <f t="shared" si="70"/>
        <v>1.5784900459126163</v>
      </c>
      <c r="BH219" s="5">
        <f t="shared" si="71"/>
        <v>1.682499223382905</v>
      </c>
      <c r="BI219" s="5">
        <f t="shared" si="72"/>
        <v>1.8634129684976131</v>
      </c>
      <c r="BJ219" s="5">
        <f t="shared" si="73"/>
        <v>1.8310753214059048</v>
      </c>
    </row>
    <row r="220" spans="13:62" x14ac:dyDescent="0.35">
      <c r="M220" s="2">
        <v>218</v>
      </c>
      <c r="N220" s="3">
        <v>44095</v>
      </c>
      <c r="O220" s="1">
        <v>109.890411</v>
      </c>
      <c r="P220" s="1">
        <v>161.36999499999999</v>
      </c>
      <c r="R220" s="5">
        <f t="shared" si="63"/>
        <v>114.51028668006185</v>
      </c>
      <c r="S220" s="5">
        <f t="shared" si="64"/>
        <v>110.59715733375378</v>
      </c>
      <c r="T220" s="5">
        <f t="shared" si="65"/>
        <v>108.85785858754002</v>
      </c>
      <c r="U220" s="5">
        <f t="shared" si="66"/>
        <v>107.69093988209539</v>
      </c>
      <c r="V220" s="5"/>
      <c r="W220" s="5">
        <f>0.15*P219+(1-0.15)*W219</f>
        <v>167.39956749410203</v>
      </c>
      <c r="X220" s="5">
        <f>0.35*P219+(1-0.35)*X219</f>
        <v>168.87582543997971</v>
      </c>
      <c r="Y220" s="5">
        <f>0.55*P219+(1-0.55)*Y219</f>
        <v>169.17114733616134</v>
      </c>
      <c r="Z220" s="5">
        <f>0.75*P219+(1-0.75)*Z219</f>
        <v>169.06042149981135</v>
      </c>
      <c r="AB220" s="5">
        <f t="shared" si="56"/>
        <v>4.2040753492694209</v>
      </c>
      <c r="AC220" s="5">
        <f t="shared" si="57"/>
        <v>0.64313740145515019</v>
      </c>
      <c r="AD220" s="5">
        <f t="shared" si="58"/>
        <v>0.93962012068548728</v>
      </c>
      <c r="AE220" s="5">
        <f t="shared" si="59"/>
        <v>2.0015132329467837</v>
      </c>
      <c r="AG220" s="5">
        <f>ABS((P220-W220)/P220)*100</f>
        <v>3.7364892364916051</v>
      </c>
      <c r="AH220" s="5">
        <f>ABS((P220-X220)/P220)*100</f>
        <v>4.6513172662487339</v>
      </c>
      <c r="AI220" s="5">
        <f>ABS((P220-Y220)/P220)*100</f>
        <v>4.8343264410222933</v>
      </c>
      <c r="AJ220" s="5">
        <f>ABS((P220-Z220)/P220)*100</f>
        <v>4.7657103167236059</v>
      </c>
      <c r="AL220" s="5">
        <f>0.15*(T220-T219)+(1-0.15)*AL219</f>
        <v>-1.165813294082634</v>
      </c>
      <c r="AM220" s="5">
        <f>0.25*(T220-T219)+(1-0.25)*AM219</f>
        <v>-1.488502553281086</v>
      </c>
      <c r="AN220" s="5">
        <f>0.45*(T220-T219)+(1-0.45)*AN219</f>
        <v>-1.8663733023377205</v>
      </c>
      <c r="AO220" s="5">
        <f>0.85*(T220-T219)+(1-0.85)*AO219</f>
        <v>-2.5344736608768272</v>
      </c>
      <c r="AP220" s="5">
        <f>T220+AL220</f>
        <v>107.69204529345738</v>
      </c>
      <c r="AQ220" s="5">
        <f t="shared" si="60"/>
        <v>107.36935603425894</v>
      </c>
      <c r="AR220" s="5">
        <f t="shared" si="61"/>
        <v>106.9914852852023</v>
      </c>
      <c r="AS220" s="5">
        <f t="shared" si="62"/>
        <v>106.32338492666319</v>
      </c>
      <c r="AT220" s="5">
        <f t="shared" si="67"/>
        <v>2.1983657065426172</v>
      </c>
      <c r="AU220" s="5">
        <f t="shared" si="68"/>
        <v>54.000638965741047</v>
      </c>
      <c r="AV220" s="5">
        <f t="shared" si="69"/>
        <v>106.9914852852023</v>
      </c>
      <c r="AW220" s="5">
        <f t="shared" si="69"/>
        <v>8.1869017533986579</v>
      </c>
      <c r="AY220" s="5">
        <f>0.15*(Y220-Y219)+(1-0.15)*AY219</f>
        <v>0.36538834242472512</v>
      </c>
      <c r="AZ220" s="5">
        <f>0.25*(Y220-Y219)+(1-0.25)*AZ219</f>
        <v>0.33266125455231255</v>
      </c>
      <c r="BA220" s="5">
        <f>0.45*(Y220-Y219)+(1-0.45)*BA219</f>
        <v>0.18989403692108447</v>
      </c>
      <c r="BB220" s="5">
        <f>0.85*(Y220-Y219)+(1-0.85)*BB219</f>
        <v>-0.37186166307717855</v>
      </c>
      <c r="BC220" s="5">
        <f>Y220+AY220</f>
        <v>169.53653567858606</v>
      </c>
      <c r="BD220" s="5">
        <f>Y220+AZ220</f>
        <v>169.50380859071365</v>
      </c>
      <c r="BE220" s="5">
        <f>Y220+BA220</f>
        <v>169.36104137308243</v>
      </c>
      <c r="BF220" s="5">
        <f>Y220+BB220</f>
        <v>168.79928567308417</v>
      </c>
      <c r="BG220" s="5">
        <f t="shared" si="70"/>
        <v>8.1665406785860739</v>
      </c>
      <c r="BH220" s="5">
        <f t="shared" si="71"/>
        <v>8.1338135907136575</v>
      </c>
      <c r="BI220" s="5">
        <f t="shared" si="72"/>
        <v>7.9910463730824404</v>
      </c>
      <c r="BJ220" s="5">
        <f t="shared" si="73"/>
        <v>7.4292906730841821</v>
      </c>
    </row>
    <row r="221" spans="13:62" x14ac:dyDescent="0.35">
      <c r="M221" s="2">
        <v>219</v>
      </c>
      <c r="N221" s="3">
        <v>44096</v>
      </c>
      <c r="O221" s="1">
        <v>111.61743199999999</v>
      </c>
      <c r="P221" s="1">
        <v>162.679993</v>
      </c>
      <c r="R221" s="5">
        <f t="shared" si="63"/>
        <v>113.81730532805257</v>
      </c>
      <c r="S221" s="5">
        <f t="shared" si="64"/>
        <v>110.34979611693996</v>
      </c>
      <c r="T221" s="5">
        <f t="shared" si="65"/>
        <v>109.42576241439301</v>
      </c>
      <c r="U221" s="5">
        <f t="shared" si="66"/>
        <v>109.34054322052386</v>
      </c>
      <c r="V221" s="5"/>
      <c r="W221" s="5">
        <f>0.15*P220+(1-0.15)*W220</f>
        <v>166.49513161998672</v>
      </c>
      <c r="X221" s="5">
        <f>0.35*P220+(1-0.35)*X220</f>
        <v>166.2487847859868</v>
      </c>
      <c r="Y221" s="5">
        <f>0.55*P220+(1-0.55)*Y220</f>
        <v>164.8805135512726</v>
      </c>
      <c r="Z221" s="5">
        <f>0.75*P220+(1-0.75)*Z220</f>
        <v>163.29260162495282</v>
      </c>
      <c r="AB221" s="5">
        <f t="shared" si="56"/>
        <v>1.9709048028022857</v>
      </c>
      <c r="AC221" s="5">
        <f t="shared" si="57"/>
        <v>1.1356970504930071</v>
      </c>
      <c r="AD221" s="5">
        <f t="shared" si="58"/>
        <v>1.9635549271613668</v>
      </c>
      <c r="AE221" s="5">
        <f t="shared" si="59"/>
        <v>2.0399042861657475</v>
      </c>
      <c r="AG221" s="5">
        <f>ABS((P221-W221)/P221)*100</f>
        <v>2.3451799755036418</v>
      </c>
      <c r="AH221" s="5">
        <f>ABS((P221-X221)/P221)*100</f>
        <v>2.1937496554888614</v>
      </c>
      <c r="AI221" s="5">
        <f>ABS((P221-Y221)/P221)*100</f>
        <v>1.3526682111872255</v>
      </c>
      <c r="AJ221" s="5">
        <f>ABS((P221-Z221)/P221)*100</f>
        <v>0.3765728124618416</v>
      </c>
      <c r="AL221" s="5">
        <f>0.15*(T221-T220)+(1-0.15)*AL220</f>
        <v>-0.90575572594229126</v>
      </c>
      <c r="AM221" s="5">
        <f>0.25*(T221-T220)+(1-0.25)*AM220</f>
        <v>-0.97440095824756856</v>
      </c>
      <c r="AN221" s="5">
        <f>0.45*(T221-T220)+(1-0.45)*AN220</f>
        <v>-0.77094859420190365</v>
      </c>
      <c r="AO221" s="5">
        <f>0.85*(T221-T220)+(1-0.85)*AO220</f>
        <v>0.10254720369351195</v>
      </c>
      <c r="AP221" s="5">
        <f>T221+AL221</f>
        <v>108.52000668845072</v>
      </c>
      <c r="AQ221" s="5">
        <f t="shared" si="60"/>
        <v>108.45136145614543</v>
      </c>
      <c r="AR221" s="5">
        <f t="shared" si="61"/>
        <v>108.65481382019111</v>
      </c>
      <c r="AS221" s="5">
        <f t="shared" si="62"/>
        <v>109.52830961808652</v>
      </c>
      <c r="AT221" s="5">
        <f t="shared" si="67"/>
        <v>3.0974253115492729</v>
      </c>
      <c r="AU221" s="5">
        <f t="shared" si="68"/>
        <v>54.228631543854561</v>
      </c>
      <c r="AV221" s="5">
        <f t="shared" si="69"/>
        <v>108.65481382019111</v>
      </c>
      <c r="AW221" s="5">
        <f t="shared" si="69"/>
        <v>4.288995709966045</v>
      </c>
      <c r="AY221" s="5">
        <f>0.15*(Y221-Y220)+(1-0.15)*AY220</f>
        <v>-0.33301497667229463</v>
      </c>
      <c r="AZ221" s="5">
        <f>0.25*(Y221-Y220)+(1-0.25)*AZ220</f>
        <v>-0.82316250530795065</v>
      </c>
      <c r="BA221" s="5">
        <f>0.45*(Y221-Y220)+(1-0.45)*BA220</f>
        <v>-1.8263434828933369</v>
      </c>
      <c r="BB221" s="5">
        <f>0.85*(Y221-Y220)+(1-0.85)*BB220</f>
        <v>-3.702817966617006</v>
      </c>
      <c r="BC221" s="5">
        <f>Y221+AY221</f>
        <v>164.5474985746003</v>
      </c>
      <c r="BD221" s="5">
        <f>Y221+AZ221</f>
        <v>164.05735104596465</v>
      </c>
      <c r="BE221" s="5">
        <f>Y221+BA221</f>
        <v>163.05417006837925</v>
      </c>
      <c r="BF221" s="5">
        <f>Y221+BB221</f>
        <v>161.17769558465559</v>
      </c>
      <c r="BG221" s="5">
        <f t="shared" si="70"/>
        <v>1.8675055746003011</v>
      </c>
      <c r="BH221" s="5">
        <f t="shared" si="71"/>
        <v>1.3773580459646553</v>
      </c>
      <c r="BI221" s="5">
        <f t="shared" si="72"/>
        <v>0.3741770683792538</v>
      </c>
      <c r="BJ221" s="5">
        <f t="shared" si="73"/>
        <v>1.5022974153444011</v>
      </c>
    </row>
    <row r="222" spans="13:62" x14ac:dyDescent="0.35">
      <c r="M222" s="2">
        <v>220</v>
      </c>
      <c r="N222" s="3">
        <v>44097</v>
      </c>
      <c r="O222" s="1">
        <v>106.935509</v>
      </c>
      <c r="P222" s="1">
        <v>158.78999300000001</v>
      </c>
      <c r="R222" s="5">
        <f t="shared" si="63"/>
        <v>113.48732432884468</v>
      </c>
      <c r="S222" s="5">
        <f t="shared" si="64"/>
        <v>110.79346867601097</v>
      </c>
      <c r="T222" s="5">
        <f t="shared" si="65"/>
        <v>110.63118068647685</v>
      </c>
      <c r="U222" s="5">
        <f t="shared" si="66"/>
        <v>111.04820980513095</v>
      </c>
      <c r="V222" s="5"/>
      <c r="W222" s="5">
        <f>0.15*P221+(1-0.15)*W221</f>
        <v>165.92286082698871</v>
      </c>
      <c r="X222" s="5">
        <f>0.35*P221+(1-0.35)*X221</f>
        <v>164.99970766089143</v>
      </c>
      <c r="Y222" s="5">
        <f>0.55*P221+(1-0.55)*Y221</f>
        <v>163.67022724807265</v>
      </c>
      <c r="Z222" s="5">
        <f>0.75*P221+(1-0.75)*Z221</f>
        <v>162.8331451562382</v>
      </c>
      <c r="AB222" s="5">
        <f t="shared" si="56"/>
        <v>6.1268846897663174</v>
      </c>
      <c r="AC222" s="5">
        <f t="shared" si="57"/>
        <v>3.6077442489294911</v>
      </c>
      <c r="AD222" s="5">
        <f t="shared" si="58"/>
        <v>3.4559817604429757</v>
      </c>
      <c r="AE222" s="5">
        <f t="shared" si="59"/>
        <v>3.8459636500453338</v>
      </c>
      <c r="AG222" s="5">
        <f>ABS((P222-W222)/P222)*100</f>
        <v>4.492013440033781</v>
      </c>
      <c r="AH222" s="5">
        <f>ABS((P222-X222)/P222)*100</f>
        <v>3.9106460952431816</v>
      </c>
      <c r="AI222" s="5">
        <f>ABS((P222-Y222)/P222)*100</f>
        <v>3.0733890441525737</v>
      </c>
      <c r="AJ222" s="5">
        <f>ABS((P222-Z222)/P222)*100</f>
        <v>2.5462260435002304</v>
      </c>
      <c r="AL222" s="5">
        <f>0.15*(T222-T221)+(1-0.15)*AL221</f>
        <v>-0.58907962623837051</v>
      </c>
      <c r="AM222" s="5">
        <f>0.25*(T222-T221)+(1-0.25)*AM221</f>
        <v>-0.4294461506647147</v>
      </c>
      <c r="AN222" s="5">
        <f>0.45*(T222-T221)+(1-0.45)*AN221</f>
        <v>0.11841649562668405</v>
      </c>
      <c r="AO222" s="5">
        <f>0.85*(T222-T221)+(1-0.85)*AO221</f>
        <v>1.0399876118252966</v>
      </c>
      <c r="AP222" s="5">
        <f>T222+AL222</f>
        <v>110.04210106023848</v>
      </c>
      <c r="AQ222" s="5">
        <f t="shared" si="60"/>
        <v>110.20173453581214</v>
      </c>
      <c r="AR222" s="5">
        <f t="shared" si="61"/>
        <v>110.74959718210354</v>
      </c>
      <c r="AS222" s="5">
        <f t="shared" si="62"/>
        <v>111.67116829830215</v>
      </c>
      <c r="AT222" s="5">
        <f t="shared" si="67"/>
        <v>3.1065920602384836</v>
      </c>
      <c r="AU222" s="5">
        <f t="shared" si="68"/>
        <v>48.588258464187874</v>
      </c>
      <c r="AV222" s="5">
        <f t="shared" si="69"/>
        <v>110.74959718210354</v>
      </c>
      <c r="AW222" s="5">
        <f t="shared" si="69"/>
        <v>1.8161560305425297</v>
      </c>
      <c r="AY222" s="5">
        <f>0.15*(Y222-Y221)+(1-0.15)*AY221</f>
        <v>-0.46460567565144301</v>
      </c>
      <c r="AZ222" s="5">
        <f>0.25*(Y222-Y221)+(1-0.25)*AZ221</f>
        <v>-0.91994345478095063</v>
      </c>
      <c r="BA222" s="5">
        <f>0.45*(Y222-Y221)+(1-0.45)*BA221</f>
        <v>-1.5491177520313131</v>
      </c>
      <c r="BB222" s="5">
        <f>0.85*(Y222-Y221)+(1-0.85)*BB221</f>
        <v>-1.5841660527125088</v>
      </c>
      <c r="BC222" s="5">
        <f>Y222+AY222</f>
        <v>163.20562157242119</v>
      </c>
      <c r="BD222" s="5">
        <f>Y222+AZ222</f>
        <v>162.75028379329169</v>
      </c>
      <c r="BE222" s="5">
        <f>Y222+BA222</f>
        <v>162.12110949604133</v>
      </c>
      <c r="BF222" s="5">
        <f>Y222+BB222</f>
        <v>162.08606119536014</v>
      </c>
      <c r="BG222" s="5">
        <f t="shared" si="70"/>
        <v>4.4156285724211841</v>
      </c>
      <c r="BH222" s="5">
        <f t="shared" si="71"/>
        <v>3.9602907932916764</v>
      </c>
      <c r="BI222" s="5">
        <f t="shared" si="72"/>
        <v>3.331116496041318</v>
      </c>
      <c r="BJ222" s="5">
        <f t="shared" si="73"/>
        <v>3.2960681953601352</v>
      </c>
    </row>
    <row r="223" spans="13:62" x14ac:dyDescent="0.35">
      <c r="M223" s="2">
        <v>221</v>
      </c>
      <c r="N223" s="3">
        <v>44098</v>
      </c>
      <c r="O223" s="1">
        <v>108.033615</v>
      </c>
      <c r="P223" s="1">
        <v>158.759995</v>
      </c>
      <c r="R223" s="5">
        <f t="shared" si="63"/>
        <v>112.50455202951798</v>
      </c>
      <c r="S223" s="5">
        <f t="shared" si="64"/>
        <v>109.44318278940713</v>
      </c>
      <c r="T223" s="5">
        <f t="shared" si="65"/>
        <v>108.59856125891457</v>
      </c>
      <c r="U223" s="5">
        <f t="shared" si="66"/>
        <v>107.96368420128273</v>
      </c>
      <c r="V223" s="5"/>
      <c r="W223" s="5">
        <f>0.15*P222+(1-0.15)*W222</f>
        <v>164.85293065294039</v>
      </c>
      <c r="X223" s="5">
        <f>0.35*P222+(1-0.35)*X222</f>
        <v>162.82630752957942</v>
      </c>
      <c r="Y223" s="5">
        <f>0.55*P222+(1-0.55)*Y222</f>
        <v>160.9860984116327</v>
      </c>
      <c r="Z223" s="5">
        <f>0.75*P222+(1-0.75)*Z222</f>
        <v>159.80078103905956</v>
      </c>
      <c r="AB223" s="5">
        <f t="shared" si="56"/>
        <v>4.138468410520173</v>
      </c>
      <c r="AC223" s="5">
        <f t="shared" si="57"/>
        <v>1.3047492573558095</v>
      </c>
      <c r="AD223" s="5">
        <f t="shared" si="58"/>
        <v>0.52293562417084183</v>
      </c>
      <c r="AE223" s="5">
        <f t="shared" si="59"/>
        <v>6.4730592156215391E-2</v>
      </c>
      <c r="AG223" s="5">
        <f>ABS((P223-W223)/P223)*100</f>
        <v>3.8378280705667587</v>
      </c>
      <c r="AH223" s="5">
        <f>ABS((P223-X223)/P223)*100</f>
        <v>2.5612954507710963</v>
      </c>
      <c r="AI223" s="5">
        <f>ABS((P223-Y223)/P223)*100</f>
        <v>1.4021815833596445</v>
      </c>
      <c r="AJ223" s="5">
        <f>ABS((P223-Z223)/P223)*100</f>
        <v>0.655571977726224</v>
      </c>
      <c r="AL223" s="5">
        <f>0.15*(T223-T222)+(1-0.15)*AL222</f>
        <v>-0.80561059643695709</v>
      </c>
      <c r="AM223" s="5">
        <f>0.25*(T223-T222)+(1-0.25)*AM222</f>
        <v>-0.83023946988910624</v>
      </c>
      <c r="AN223" s="5">
        <f>0.45*(T223-T222)+(1-0.45)*AN222</f>
        <v>-0.84954966980835023</v>
      </c>
      <c r="AO223" s="5">
        <f>0.85*(T223-T222)+(1-0.85)*AO222</f>
        <v>-1.5717283716541444</v>
      </c>
      <c r="AP223" s="5">
        <f>T223+AL223</f>
        <v>107.79295066247761</v>
      </c>
      <c r="AQ223" s="5">
        <f t="shared" si="60"/>
        <v>107.76832178902546</v>
      </c>
      <c r="AR223" s="5">
        <f t="shared" si="61"/>
        <v>107.74901158910622</v>
      </c>
      <c r="AS223" s="5">
        <f t="shared" si="62"/>
        <v>107.02683288726043</v>
      </c>
      <c r="AT223" s="5">
        <f t="shared" si="67"/>
        <v>0.24066433752238936</v>
      </c>
      <c r="AU223" s="5">
        <f t="shared" si="68"/>
        <v>50.99167321097454</v>
      </c>
      <c r="AV223" s="5">
        <f t="shared" si="69"/>
        <v>107.74901158910622</v>
      </c>
      <c r="AW223" s="5">
        <f t="shared" si="69"/>
        <v>5.4777191422575555</v>
      </c>
      <c r="AY223" s="5">
        <f>0.15*(Y223-Y222)+(1-0.15)*AY222</f>
        <v>-0.79753414976971948</v>
      </c>
      <c r="AZ223" s="5">
        <f>0.25*(Y223-Y222)+(1-0.25)*AZ222</f>
        <v>-1.3609898001957013</v>
      </c>
      <c r="BA223" s="5">
        <f>0.45*(Y223-Y222)+(1-0.45)*BA222</f>
        <v>-2.059872740015201</v>
      </c>
      <c r="BB223" s="5">
        <f>0.85*(Y223-Y222)+(1-0.85)*BB222</f>
        <v>-2.5191344188808364</v>
      </c>
      <c r="BC223" s="5">
        <f>Y223+AY223</f>
        <v>160.18856426186298</v>
      </c>
      <c r="BD223" s="5">
        <f>Y223+AZ223</f>
        <v>159.62510861143699</v>
      </c>
      <c r="BE223" s="5">
        <f>Y223+BA223</f>
        <v>158.92622567161749</v>
      </c>
      <c r="BF223" s="5">
        <f>Y223+BB223</f>
        <v>158.46696399275186</v>
      </c>
      <c r="BG223" s="5">
        <f t="shared" si="70"/>
        <v>1.4285692618629753</v>
      </c>
      <c r="BH223" s="5">
        <f t="shared" si="71"/>
        <v>0.86511361143698196</v>
      </c>
      <c r="BI223" s="5">
        <f t="shared" si="72"/>
        <v>0.16623067161748395</v>
      </c>
      <c r="BJ223" s="5">
        <f t="shared" si="73"/>
        <v>0.29303100724814612</v>
      </c>
    </row>
    <row r="224" spans="13:62" x14ac:dyDescent="0.35">
      <c r="M224" s="2">
        <v>222</v>
      </c>
      <c r="N224" s="3">
        <v>44099</v>
      </c>
      <c r="O224" s="1">
        <v>112.086624</v>
      </c>
      <c r="P224" s="1">
        <v>161.490005</v>
      </c>
      <c r="R224" s="5">
        <f t="shared" si="63"/>
        <v>111.83391147509028</v>
      </c>
      <c r="S224" s="5">
        <f t="shared" si="64"/>
        <v>108.94983406311464</v>
      </c>
      <c r="T224" s="5">
        <f t="shared" si="65"/>
        <v>108.28784081651156</v>
      </c>
      <c r="U224" s="5">
        <f t="shared" si="66"/>
        <v>108.01613230032068</v>
      </c>
      <c r="V224" s="5"/>
      <c r="W224" s="5">
        <f>0.15*P223+(1-0.15)*W223</f>
        <v>163.93899030499932</v>
      </c>
      <c r="X224" s="5">
        <f>0.35*P223+(1-0.35)*X223</f>
        <v>161.40309814422662</v>
      </c>
      <c r="Y224" s="5">
        <f>0.55*P223+(1-0.55)*Y223</f>
        <v>159.76174153523471</v>
      </c>
      <c r="Z224" s="5">
        <f>0.75*P223+(1-0.75)*Z223</f>
        <v>159.02019150976489</v>
      </c>
      <c r="AB224" s="5">
        <f t="shared" si="56"/>
        <v>0.22546180435385876</v>
      </c>
      <c r="AC224" s="5">
        <f t="shared" si="57"/>
        <v>2.7985408293547716</v>
      </c>
      <c r="AD224" s="5">
        <f t="shared" si="58"/>
        <v>3.3891494345377366</v>
      </c>
      <c r="AE224" s="5">
        <f t="shared" si="59"/>
        <v>3.6315588376355441</v>
      </c>
      <c r="AG224" s="5">
        <f>ABS((P224-W224)/P224)*100</f>
        <v>1.5164934232303267</v>
      </c>
      <c r="AH224" s="5">
        <f>ABS((P224-X224)/P224)*100</f>
        <v>5.3815625167253113E-2</v>
      </c>
      <c r="AI224" s="5">
        <f>ABS((P224-Y224)/P224)*100</f>
        <v>1.0701984093475576</v>
      </c>
      <c r="AJ224" s="5">
        <f>ABS((P224-Z224)/P224)*100</f>
        <v>1.5293909305626137</v>
      </c>
      <c r="AL224" s="5">
        <f>0.15*(T224-T223)+(1-0.15)*AL223</f>
        <v>-0.73137707333186508</v>
      </c>
      <c r="AM224" s="5">
        <f>0.25*(T224-T223)+(1-0.25)*AM223</f>
        <v>-0.70035971301758226</v>
      </c>
      <c r="AN224" s="5">
        <f>0.45*(T224-T223)+(1-0.45)*AN223</f>
        <v>-0.60707651747594715</v>
      </c>
      <c r="AO224" s="5">
        <f>0.85*(T224-T223)+(1-0.85)*AO223</f>
        <v>-0.49987163179068028</v>
      </c>
      <c r="AP224" s="5">
        <f>T224+AL224</f>
        <v>107.55646374317969</v>
      </c>
      <c r="AQ224" s="5">
        <f t="shared" si="60"/>
        <v>107.58748110349399</v>
      </c>
      <c r="AR224" s="5">
        <f t="shared" si="61"/>
        <v>107.68076429903562</v>
      </c>
      <c r="AS224" s="5">
        <f t="shared" si="62"/>
        <v>107.78796918472088</v>
      </c>
      <c r="AT224" s="5">
        <f t="shared" si="67"/>
        <v>4.5301602568203094</v>
      </c>
      <c r="AU224" s="5">
        <f t="shared" si="68"/>
        <v>53.902523896506011</v>
      </c>
      <c r="AV224" s="5">
        <f t="shared" si="69"/>
        <v>107.68076429903562</v>
      </c>
      <c r="AW224" s="5">
        <f t="shared" si="69"/>
        <v>4.0459422903693962</v>
      </c>
      <c r="AY224" s="5">
        <f>0.15*(Y224-Y223)+(1-0.15)*AY223</f>
        <v>-0.86155755876396023</v>
      </c>
      <c r="AZ224" s="5">
        <f>0.25*(Y224-Y223)+(1-0.25)*AZ223</f>
        <v>-1.3268315692462735</v>
      </c>
      <c r="BA224" s="5">
        <f>0.45*(Y224-Y223)+(1-0.45)*BA223</f>
        <v>-1.6838906013874566</v>
      </c>
      <c r="BB224" s="5">
        <f>0.85*(Y224-Y223)+(1-0.85)*BB223</f>
        <v>-1.4185735077704176</v>
      </c>
      <c r="BC224" s="5">
        <f>Y224+AY224</f>
        <v>158.90018397647074</v>
      </c>
      <c r="BD224" s="5">
        <f>Y224+AZ224</f>
        <v>158.43490996598842</v>
      </c>
      <c r="BE224" s="5">
        <f>Y224+BA224</f>
        <v>158.07785093384726</v>
      </c>
      <c r="BF224" s="5">
        <f>Y224+BB224</f>
        <v>158.34316802746429</v>
      </c>
      <c r="BG224" s="5">
        <f t="shared" si="70"/>
        <v>2.5898210235292538</v>
      </c>
      <c r="BH224" s="5">
        <f t="shared" si="71"/>
        <v>3.0550950340115719</v>
      </c>
      <c r="BI224" s="5">
        <f t="shared" si="72"/>
        <v>3.4121540661527376</v>
      </c>
      <c r="BJ224" s="5">
        <f t="shared" si="73"/>
        <v>3.1468369725357093</v>
      </c>
    </row>
    <row r="225" spans="13:62" x14ac:dyDescent="0.35">
      <c r="M225" s="2">
        <v>223</v>
      </c>
      <c r="N225" s="3">
        <v>44102</v>
      </c>
      <c r="O225" s="1">
        <v>114.76200900000001</v>
      </c>
      <c r="P225" s="1">
        <v>164.63999899999999</v>
      </c>
      <c r="R225" s="5">
        <f t="shared" si="63"/>
        <v>111.87181835382673</v>
      </c>
      <c r="S225" s="5">
        <f t="shared" si="64"/>
        <v>110.04771054102451</v>
      </c>
      <c r="T225" s="5">
        <f t="shared" si="65"/>
        <v>110.3771715674302</v>
      </c>
      <c r="U225" s="5">
        <f t="shared" si="66"/>
        <v>111.06900107508017</v>
      </c>
      <c r="V225" s="5"/>
      <c r="W225" s="5">
        <f>0.15*P224+(1-0.15)*W224</f>
        <v>163.57164250924941</v>
      </c>
      <c r="X225" s="5">
        <f>0.35*P224+(1-0.35)*X224</f>
        <v>161.43351554374729</v>
      </c>
      <c r="Y225" s="5">
        <f>0.55*P224+(1-0.55)*Y224</f>
        <v>160.71228644085562</v>
      </c>
      <c r="Z225" s="5">
        <f>0.75*P224+(1-0.75)*Z224</f>
        <v>160.87255162744123</v>
      </c>
      <c r="AB225" s="5">
        <f t="shared" si="56"/>
        <v>2.5184210971535714</v>
      </c>
      <c r="AC225" s="5">
        <f t="shared" si="57"/>
        <v>4.1078911915662717</v>
      </c>
      <c r="AD225" s="5">
        <f t="shared" si="58"/>
        <v>3.8208092301432348</v>
      </c>
      <c r="AE225" s="5">
        <f t="shared" si="59"/>
        <v>3.2179707876322032</v>
      </c>
      <c r="AG225" s="5">
        <f>ABS((P225-W225)/P225)*100</f>
        <v>0.64890457801240276</v>
      </c>
      <c r="AH225" s="5">
        <f>ABS((P225-X225)/P225)*100</f>
        <v>1.9475725678622595</v>
      </c>
      <c r="AI225" s="5">
        <f>ABS((P225-Y225)/P225)*100</f>
        <v>2.3856368944367938</v>
      </c>
      <c r="AJ225" s="5">
        <f>ABS((P225-Z225)/P225)*100</f>
        <v>2.2882940934412686</v>
      </c>
      <c r="AL225" s="5">
        <f>0.15*(T225-T224)+(1-0.15)*AL224</f>
        <v>-0.30827089969429011</v>
      </c>
      <c r="AM225" s="5">
        <f>0.25*(T225-T224)+(1-0.25)*AM224</f>
        <v>-2.9370970335280688E-3</v>
      </c>
      <c r="AN225" s="5">
        <f>0.45*(T225-T224)+(1-0.45)*AN224</f>
        <v>0.60630675330161443</v>
      </c>
      <c r="AO225" s="5">
        <f>0.85*(T225-T224)+(1-0.85)*AO224</f>
        <v>1.7009503935122372</v>
      </c>
      <c r="AP225" s="5">
        <f>T225+AL225</f>
        <v>110.0689006677359</v>
      </c>
      <c r="AQ225" s="5">
        <f t="shared" si="60"/>
        <v>110.37423447039667</v>
      </c>
      <c r="AR225" s="5">
        <f t="shared" si="61"/>
        <v>110.98347832073181</v>
      </c>
      <c r="AS225" s="5">
        <f t="shared" si="62"/>
        <v>112.07812196094244</v>
      </c>
      <c r="AT225" s="5">
        <f t="shared" si="67"/>
        <v>4.693108332264103</v>
      </c>
      <c r="AU225" s="5">
        <f t="shared" si="68"/>
        <v>54.265764529603317</v>
      </c>
      <c r="AV225" s="5">
        <f t="shared" si="69"/>
        <v>110.98347832073181</v>
      </c>
      <c r="AW225" s="5">
        <f t="shared" si="69"/>
        <v>0.20630360711571427</v>
      </c>
      <c r="AY225" s="5">
        <f>0.15*(Y225-Y224)+(1-0.15)*AY224</f>
        <v>-0.58974218910622878</v>
      </c>
      <c r="AZ225" s="5">
        <f>0.25*(Y225-Y224)+(1-0.25)*AZ224</f>
        <v>-0.75748745052947619</v>
      </c>
      <c r="BA225" s="5">
        <f>0.45*(Y225-Y224)+(1-0.45)*BA224</f>
        <v>-0.4983946232336891</v>
      </c>
      <c r="BB225" s="5">
        <f>0.85*(Y225-Y224)+(1-0.85)*BB224</f>
        <v>0.59517714361221585</v>
      </c>
      <c r="BC225" s="5">
        <f>Y225+AY225</f>
        <v>160.12254425174939</v>
      </c>
      <c r="BD225" s="5">
        <f>Y225+AZ225</f>
        <v>159.95479899032614</v>
      </c>
      <c r="BE225" s="5">
        <f>Y225+BA225</f>
        <v>160.21389181762194</v>
      </c>
      <c r="BF225" s="5">
        <f>Y225+BB225</f>
        <v>161.30746358446783</v>
      </c>
      <c r="BG225" s="5">
        <f t="shared" si="70"/>
        <v>4.5174547482506</v>
      </c>
      <c r="BH225" s="5">
        <f t="shared" si="71"/>
        <v>4.6852000096738493</v>
      </c>
      <c r="BI225" s="5">
        <f t="shared" si="72"/>
        <v>4.4261071823780469</v>
      </c>
      <c r="BJ225" s="5">
        <f t="shared" si="73"/>
        <v>3.3325354155321634</v>
      </c>
    </row>
    <row r="226" spans="13:62" x14ac:dyDescent="0.35">
      <c r="M226" s="2">
        <v>224</v>
      </c>
      <c r="N226" s="3">
        <v>44103</v>
      </c>
      <c r="O226" s="1">
        <v>113.893501</v>
      </c>
      <c r="P226" s="1">
        <v>164.509995</v>
      </c>
      <c r="R226" s="5">
        <f t="shared" si="63"/>
        <v>112.30534695075271</v>
      </c>
      <c r="S226" s="5">
        <f t="shared" si="64"/>
        <v>111.69771500166593</v>
      </c>
      <c r="T226" s="5">
        <f t="shared" si="65"/>
        <v>112.78883215534358</v>
      </c>
      <c r="U226" s="5">
        <f t="shared" si="66"/>
        <v>113.83875701877004</v>
      </c>
      <c r="V226" s="5"/>
      <c r="W226" s="5">
        <f>0.15*P225+(1-0.15)*W225</f>
        <v>163.731895982862</v>
      </c>
      <c r="X226" s="5">
        <f>0.35*P225+(1-0.35)*X225</f>
        <v>162.55578475343574</v>
      </c>
      <c r="Y226" s="5">
        <f>0.55*P225+(1-0.55)*Y225</f>
        <v>162.872528348385</v>
      </c>
      <c r="Z226" s="5">
        <f>0.75*P225+(1-0.75)*Z225</f>
        <v>163.6981371568603</v>
      </c>
      <c r="AB226" s="5">
        <f t="shared" si="56"/>
        <v>1.3944202569093855</v>
      </c>
      <c r="AC226" s="5">
        <f t="shared" si="57"/>
        <v>1.9279291435022918</v>
      </c>
      <c r="AD226" s="5">
        <f t="shared" si="58"/>
        <v>0.96991385369426497</v>
      </c>
      <c r="AE226" s="5">
        <f t="shared" si="59"/>
        <v>4.8065939451594777E-2</v>
      </c>
      <c r="AG226" s="5">
        <f>ABS((P226-W226)/P226)*100</f>
        <v>0.47297978286243586</v>
      </c>
      <c r="AH226" s="5">
        <f>ABS((P226-X226)/P226)*100</f>
        <v>1.1878975782378807</v>
      </c>
      <c r="AI226" s="5">
        <f>ABS((P226-Y226)/P226)*100</f>
        <v>0.99535997895750949</v>
      </c>
      <c r="AJ226" s="5">
        <f>ABS((P226-Z226)/P226)*100</f>
        <v>0.49350061869475187</v>
      </c>
      <c r="AL226" s="5">
        <f>0.15*(T226-T225)+(1-0.15)*AL225</f>
        <v>9.9718823446861726E-2</v>
      </c>
      <c r="AM226" s="5">
        <f>0.25*(T226-T225)+(1-0.25)*AM225</f>
        <v>0.60071232420320109</v>
      </c>
      <c r="AN226" s="5">
        <f>0.45*(T226-T225)+(1-0.45)*AN225</f>
        <v>1.418715978876913</v>
      </c>
      <c r="AO226" s="5">
        <f>0.85*(T226-T225)+(1-0.85)*AO225</f>
        <v>2.3050540587532158</v>
      </c>
      <c r="AP226" s="5">
        <f>T226+AL226</f>
        <v>112.88855097879045</v>
      </c>
      <c r="AQ226" s="5">
        <f t="shared" si="60"/>
        <v>113.38954447954679</v>
      </c>
      <c r="AR226" s="5">
        <f t="shared" si="61"/>
        <v>114.2075481342205</v>
      </c>
      <c r="AS226" s="5">
        <f t="shared" si="62"/>
        <v>115.0938862140968</v>
      </c>
      <c r="AT226" s="5">
        <f t="shared" si="67"/>
        <v>1.0049500212095523</v>
      </c>
      <c r="AU226" s="5">
        <f t="shared" si="68"/>
        <v>51.120450520453218</v>
      </c>
      <c r="AV226" s="5">
        <f t="shared" si="69"/>
        <v>114.2075481342205</v>
      </c>
      <c r="AW226" s="5">
        <f t="shared" si="69"/>
        <v>2.7885392633440915</v>
      </c>
      <c r="AY226" s="5">
        <f>0.15*(Y226-Y225)+(1-0.15)*AY225</f>
        <v>-0.17724457461088711</v>
      </c>
      <c r="AZ226" s="5">
        <f>0.25*(Y226-Y225)+(1-0.25)*AZ225</f>
        <v>-2.8055111014761547E-2</v>
      </c>
      <c r="BA226" s="5">
        <f>0.45*(Y226-Y225)+(1-0.45)*BA225</f>
        <v>0.69799181560969314</v>
      </c>
      <c r="BB226" s="5">
        <f>0.85*(Y226-Y225)+(1-0.85)*BB225</f>
        <v>1.9254821929418073</v>
      </c>
      <c r="BC226" s="5">
        <f>Y226+AY226</f>
        <v>162.69528377377412</v>
      </c>
      <c r="BD226" s="5">
        <f>Y226+AZ226</f>
        <v>162.84447323737024</v>
      </c>
      <c r="BE226" s="5">
        <f>Y226+BA226</f>
        <v>163.5705201639947</v>
      </c>
      <c r="BF226" s="5">
        <f>Y226+BB226</f>
        <v>164.79801054132682</v>
      </c>
      <c r="BG226" s="5">
        <f t="shared" si="70"/>
        <v>1.8147112262258815</v>
      </c>
      <c r="BH226" s="5">
        <f t="shared" si="71"/>
        <v>1.6655217626297656</v>
      </c>
      <c r="BI226" s="5">
        <f t="shared" si="72"/>
        <v>0.9394748360053029</v>
      </c>
      <c r="BJ226" s="5">
        <f t="shared" si="73"/>
        <v>0.28801554132681417</v>
      </c>
    </row>
    <row r="227" spans="13:62" x14ac:dyDescent="0.35">
      <c r="M227" s="2">
        <v>225</v>
      </c>
      <c r="N227" s="3">
        <v>44104</v>
      </c>
      <c r="O227" s="1">
        <v>115.610542</v>
      </c>
      <c r="P227" s="1">
        <v>164.61000100000001</v>
      </c>
      <c r="R227" s="5">
        <f t="shared" si="63"/>
        <v>112.54357005813981</v>
      </c>
      <c r="S227" s="5">
        <f t="shared" si="64"/>
        <v>112.46624010108286</v>
      </c>
      <c r="T227" s="5">
        <f t="shared" si="65"/>
        <v>113.39640001990462</v>
      </c>
      <c r="U227" s="5">
        <f t="shared" si="66"/>
        <v>113.8798150046925</v>
      </c>
      <c r="V227" s="5"/>
      <c r="W227" s="5">
        <f>0.15*P226+(1-0.15)*W226</f>
        <v>163.84861083543271</v>
      </c>
      <c r="X227" s="5">
        <f>0.35*P226+(1-0.35)*X226</f>
        <v>163.23975833973321</v>
      </c>
      <c r="Y227" s="5">
        <f>0.55*P226+(1-0.55)*Y226</f>
        <v>163.77313500677326</v>
      </c>
      <c r="Z227" s="5">
        <f>0.75*P226+(1-0.75)*Z226</f>
        <v>164.30703053921508</v>
      </c>
      <c r="AB227" s="5">
        <f t="shared" si="56"/>
        <v>2.6528479918900376</v>
      </c>
      <c r="AC227" s="5">
        <f t="shared" si="57"/>
        <v>2.7197363186110963</v>
      </c>
      <c r="AD227" s="5">
        <f t="shared" si="58"/>
        <v>1.9151730817898744</v>
      </c>
      <c r="AE227" s="5">
        <f t="shared" si="59"/>
        <v>1.4970321610528323</v>
      </c>
      <c r="AG227" s="5">
        <f>ABS((P227-W227)/P227)*100</f>
        <v>0.46254186254898477</v>
      </c>
      <c r="AH227" s="5">
        <f>ABS((P227-X227)/P227)*100</f>
        <v>0.83241762465380031</v>
      </c>
      <c r="AI227" s="5">
        <f>ABS((P227-Y227)/P227)*100</f>
        <v>0.5083931645360672</v>
      </c>
      <c r="AJ227" s="5">
        <f>ABS((P227-Z227)/P227)*100</f>
        <v>0.18405349550112324</v>
      </c>
      <c r="AL227" s="5">
        <f>0.15*(T227-T226)+(1-0.15)*AL226</f>
        <v>0.17589617961398754</v>
      </c>
      <c r="AM227" s="5">
        <f>0.25*(T227-T226)+(1-0.25)*AM226</f>
        <v>0.60242620929265933</v>
      </c>
      <c r="AN227" s="5">
        <f>0.45*(T227-T226)+(1-0.45)*AN226</f>
        <v>1.0536993274347675</v>
      </c>
      <c r="AO227" s="5">
        <f>0.85*(T227-T226)+(1-0.85)*AO226</f>
        <v>0.86219079368986118</v>
      </c>
      <c r="AP227" s="5">
        <f>T227+AL227</f>
        <v>113.5722961995186</v>
      </c>
      <c r="AQ227" s="5">
        <f t="shared" si="60"/>
        <v>113.99882622919728</v>
      </c>
      <c r="AR227" s="5">
        <f t="shared" si="61"/>
        <v>114.45009934733939</v>
      </c>
      <c r="AS227" s="5">
        <f t="shared" si="62"/>
        <v>114.25859081359448</v>
      </c>
      <c r="AT227" s="5">
        <f t="shared" si="67"/>
        <v>2.0382458004813913</v>
      </c>
      <c r="AU227" s="5">
        <f t="shared" si="68"/>
        <v>50.611174770802734</v>
      </c>
      <c r="AV227" s="5">
        <f t="shared" si="69"/>
        <v>114.45009934733939</v>
      </c>
      <c r="AW227" s="5">
        <f t="shared" si="69"/>
        <v>1.7150207554546739</v>
      </c>
      <c r="AY227" s="5">
        <f>0.15*(Y227-Y226)+(1-0.15)*AY226</f>
        <v>-1.5566889661015687E-2</v>
      </c>
      <c r="AZ227" s="5">
        <f>0.25*(Y227-Y226)+(1-0.25)*AZ226</f>
        <v>0.20411033133599277</v>
      </c>
      <c r="BA227" s="5">
        <f>0.45*(Y227-Y226)+(1-0.45)*BA226</f>
        <v>0.78916849486004637</v>
      </c>
      <c r="BB227" s="5">
        <f>0.85*(Y227-Y226)+(1-0.85)*BB226</f>
        <v>1.0543379885712885</v>
      </c>
      <c r="BC227" s="5">
        <f>Y227+AY227</f>
        <v>163.75756811711224</v>
      </c>
      <c r="BD227" s="5">
        <f>Y227+AZ227</f>
        <v>163.97724533810924</v>
      </c>
      <c r="BE227" s="5">
        <f>Y227+BA227</f>
        <v>164.56230350163329</v>
      </c>
      <c r="BF227" s="5">
        <f>Y227+BB227</f>
        <v>164.82747299534455</v>
      </c>
      <c r="BG227" s="5">
        <f t="shared" si="70"/>
        <v>0.85243288288776853</v>
      </c>
      <c r="BH227" s="5">
        <f t="shared" si="71"/>
        <v>0.63275566189076926</v>
      </c>
      <c r="BI227" s="5">
        <f t="shared" si="72"/>
        <v>4.7697498366716218E-2</v>
      </c>
      <c r="BJ227" s="5">
        <f t="shared" si="73"/>
        <v>0.21747199534453898</v>
      </c>
    </row>
    <row r="228" spans="13:62" x14ac:dyDescent="0.35">
      <c r="M228" s="2">
        <v>226</v>
      </c>
      <c r="N228" s="3">
        <v>44105</v>
      </c>
      <c r="O228" s="1">
        <v>116.58886</v>
      </c>
      <c r="P228" s="1">
        <v>163.679993</v>
      </c>
      <c r="R228" s="5">
        <f t="shared" si="63"/>
        <v>113.00361584941884</v>
      </c>
      <c r="S228" s="5">
        <f t="shared" si="64"/>
        <v>113.56674576570387</v>
      </c>
      <c r="T228" s="5">
        <f t="shared" si="65"/>
        <v>114.61417810895708</v>
      </c>
      <c r="U228" s="5">
        <f t="shared" si="66"/>
        <v>115.17786025117312</v>
      </c>
      <c r="V228" s="5"/>
      <c r="W228" s="5">
        <f>0.15*P227+(1-0.15)*W227</f>
        <v>163.96281936011781</v>
      </c>
      <c r="X228" s="5">
        <f>0.35*P227+(1-0.35)*X227</f>
        <v>163.71934327082658</v>
      </c>
      <c r="Y228" s="5">
        <f>0.55*P227+(1-0.55)*Y227</f>
        <v>164.23341130304797</v>
      </c>
      <c r="Z228" s="5">
        <f>0.75*P227+(1-0.75)*Z227</f>
        <v>164.53425838480376</v>
      </c>
      <c r="AB228" s="5">
        <f t="shared" si="56"/>
        <v>3.0751172544110656</v>
      </c>
      <c r="AC228" s="5">
        <f t="shared" si="57"/>
        <v>2.5921123461505036</v>
      </c>
      <c r="AD228" s="5">
        <f t="shared" si="58"/>
        <v>1.6937140401260633</v>
      </c>
      <c r="AE228" s="5">
        <f t="shared" si="59"/>
        <v>1.2102354794676624</v>
      </c>
      <c r="AG228" s="5">
        <f>ABS((P228-W228)/P228)*100</f>
        <v>0.17279226063860437</v>
      </c>
      <c r="AH228" s="5">
        <f>ABS((P228-X228)/P228)*100</f>
        <v>2.4040977828358342E-2</v>
      </c>
      <c r="AI228" s="5">
        <f>ABS((P228-Y228)/P228)*100</f>
        <v>0.33810992590155881</v>
      </c>
      <c r="AJ228" s="5">
        <f>ABS((P228-Z228)/P228)*100</f>
        <v>0.52191191430694117</v>
      </c>
      <c r="AL228" s="5">
        <f>0.15*(T228-T227)+(1-0.15)*AL227</f>
        <v>0.3321784660297582</v>
      </c>
      <c r="AM228" s="5">
        <f>0.25*(T228-T227)+(1-0.25)*AM227</f>
        <v>0.75626417923260925</v>
      </c>
      <c r="AN228" s="5">
        <f>0.45*(T228-T227)+(1-0.45)*AN227</f>
        <v>1.1275347701627285</v>
      </c>
      <c r="AO228" s="5">
        <f>0.85*(T228-T227)+(1-0.85)*AO227</f>
        <v>1.1644399947480693</v>
      </c>
      <c r="AP228" s="5">
        <f>T228+AL228</f>
        <v>114.94635657498684</v>
      </c>
      <c r="AQ228" s="5">
        <f t="shared" si="60"/>
        <v>115.37044228818969</v>
      </c>
      <c r="AR228" s="5">
        <f t="shared" si="61"/>
        <v>115.7417128791198</v>
      </c>
      <c r="AS228" s="5">
        <f t="shared" si="62"/>
        <v>115.77861810370514</v>
      </c>
      <c r="AT228" s="5">
        <f t="shared" si="67"/>
        <v>1.6425034250131603</v>
      </c>
      <c r="AU228" s="5">
        <f t="shared" si="68"/>
        <v>48.309550711810303</v>
      </c>
      <c r="AV228" s="5">
        <f t="shared" si="69"/>
        <v>115.7417128791198</v>
      </c>
      <c r="AW228" s="5">
        <f t="shared" si="69"/>
        <v>2.7750022542863064</v>
      </c>
      <c r="AY228" s="5">
        <f>0.15*(Y228-Y227)+(1-0.15)*AY227</f>
        <v>5.5809588229343704E-2</v>
      </c>
      <c r="AZ228" s="5">
        <f>0.25*(Y228-Y227)+(1-0.25)*AZ227</f>
        <v>0.26815182257067294</v>
      </c>
      <c r="BA228" s="5">
        <f>0.45*(Y228-Y227)+(1-0.45)*BA227</f>
        <v>0.64116700549664662</v>
      </c>
      <c r="BB228" s="5">
        <f>0.85*(Y228-Y227)+(1-0.85)*BB227</f>
        <v>0.54938555011919976</v>
      </c>
      <c r="BC228" s="5">
        <f>Y228+AY228</f>
        <v>164.28922089127732</v>
      </c>
      <c r="BD228" s="5">
        <f>Y228+AZ228</f>
        <v>164.50156312561865</v>
      </c>
      <c r="BE228" s="5">
        <f>Y228+BA228</f>
        <v>164.87457830854461</v>
      </c>
      <c r="BF228" s="5">
        <f>Y228+BB228</f>
        <v>164.78279685316718</v>
      </c>
      <c r="BG228" s="5">
        <f t="shared" si="70"/>
        <v>0.60922789127732813</v>
      </c>
      <c r="BH228" s="5">
        <f t="shared" si="71"/>
        <v>0.82157012561864917</v>
      </c>
      <c r="BI228" s="5">
        <f t="shared" si="72"/>
        <v>1.1945853085446174</v>
      </c>
      <c r="BJ228" s="5">
        <f t="shared" si="73"/>
        <v>1.1028038531671882</v>
      </c>
    </row>
    <row r="229" spans="13:62" x14ac:dyDescent="0.35">
      <c r="M229" s="2">
        <v>227</v>
      </c>
      <c r="N229" s="3">
        <v>44106</v>
      </c>
      <c r="O229" s="1">
        <v>112.82534800000001</v>
      </c>
      <c r="P229" s="1">
        <v>165.61000100000001</v>
      </c>
      <c r="R229" s="5">
        <f t="shared" si="63"/>
        <v>113.54140247200601</v>
      </c>
      <c r="S229" s="5">
        <f t="shared" si="64"/>
        <v>114.62448574770751</v>
      </c>
      <c r="T229" s="5">
        <f t="shared" si="65"/>
        <v>115.70025314903069</v>
      </c>
      <c r="U229" s="5">
        <f t="shared" si="66"/>
        <v>116.23611006279327</v>
      </c>
      <c r="V229" s="5"/>
      <c r="W229" s="5">
        <f>0.15*P228+(1-0.15)*W228</f>
        <v>163.92039540610011</v>
      </c>
      <c r="X229" s="5">
        <f>0.35*P228+(1-0.35)*X228</f>
        <v>163.70557067603727</v>
      </c>
      <c r="Y229" s="5">
        <f>0.55*P228+(1-0.55)*Y228</f>
        <v>163.9290312363716</v>
      </c>
      <c r="Z229" s="5">
        <f>0.75*P228+(1-0.75)*Z228</f>
        <v>163.89355934620096</v>
      </c>
      <c r="AB229" s="5">
        <f t="shared" si="56"/>
        <v>0.63465744595443863</v>
      </c>
      <c r="AC229" s="5">
        <f t="shared" si="57"/>
        <v>1.5946219352299313</v>
      </c>
      <c r="AD229" s="5">
        <f t="shared" si="58"/>
        <v>2.5481021773854233</v>
      </c>
      <c r="AE229" s="5">
        <f t="shared" si="59"/>
        <v>3.0230459052457497</v>
      </c>
      <c r="AG229" s="5">
        <f>ABS((P229-W229)/P229)*100</f>
        <v>1.0202316186809868</v>
      </c>
      <c r="AH229" s="5">
        <f>ABS((P229-X229)/P229)*100</f>
        <v>1.149948863271091</v>
      </c>
      <c r="AI229" s="5">
        <f>ABS((P229-Y229)/P229)*100</f>
        <v>1.0150170602489226</v>
      </c>
      <c r="AJ229" s="5">
        <f>ABS((P229-Z229)/P229)*100</f>
        <v>1.03643599023893</v>
      </c>
      <c r="AL229" s="5">
        <f>0.15*(T229-T228)+(1-0.15)*AL228</f>
        <v>0.44526295213633593</v>
      </c>
      <c r="AM229" s="5">
        <f>0.25*(T229-T228)+(1-0.25)*AM228</f>
        <v>0.83871689444285935</v>
      </c>
      <c r="AN229" s="5">
        <f>0.45*(T229-T228)+(1-0.45)*AN228</f>
        <v>1.108877891622625</v>
      </c>
      <c r="AO229" s="5">
        <f>0.85*(T229-T228)+(1-0.85)*AO228</f>
        <v>1.0978297832747785</v>
      </c>
      <c r="AP229" s="5">
        <f>T229+AL229</f>
        <v>116.14551610116702</v>
      </c>
      <c r="AQ229" s="5">
        <f t="shared" si="60"/>
        <v>116.53897004347354</v>
      </c>
      <c r="AR229" s="5">
        <f t="shared" si="61"/>
        <v>116.80913104065331</v>
      </c>
      <c r="AS229" s="5">
        <f t="shared" si="62"/>
        <v>116.79808293230546</v>
      </c>
      <c r="AT229" s="5">
        <f t="shared" si="67"/>
        <v>3.3201681011670132</v>
      </c>
      <c r="AU229" s="5">
        <f t="shared" si="68"/>
        <v>49.071030956526471</v>
      </c>
      <c r="AV229" s="5">
        <f t="shared" si="69"/>
        <v>116.80913104065331</v>
      </c>
      <c r="AW229" s="5">
        <f t="shared" si="69"/>
        <v>3.2566804602994495</v>
      </c>
      <c r="AY229" s="5">
        <f>0.15*(Y229-Y228)+(1-0.15)*AY228</f>
        <v>1.7811399934862041E-3</v>
      </c>
      <c r="AZ229" s="5">
        <f>0.25*(Y229-Y228)+(1-0.25)*AZ228</f>
        <v>0.12501885025891146</v>
      </c>
      <c r="BA229" s="5">
        <f>0.45*(Y229-Y228)+(1-0.45)*BA228</f>
        <v>0.21567082301878782</v>
      </c>
      <c r="BB229" s="5">
        <f>0.85*(Y229-Y228)+(1-0.85)*BB228</f>
        <v>-0.17631522415703704</v>
      </c>
      <c r="BC229" s="5">
        <f>Y229+AY229</f>
        <v>163.93081237636508</v>
      </c>
      <c r="BD229" s="5">
        <f>Y229+AZ229</f>
        <v>164.05405008663053</v>
      </c>
      <c r="BE229" s="5">
        <f>Y229+BA229</f>
        <v>164.1447020593904</v>
      </c>
      <c r="BF229" s="5">
        <f>Y229+BB229</f>
        <v>163.75271601221456</v>
      </c>
      <c r="BG229" s="5">
        <f t="shared" si="70"/>
        <v>1.6791886236349285</v>
      </c>
      <c r="BH229" s="5">
        <f t="shared" si="71"/>
        <v>1.555950913369486</v>
      </c>
      <c r="BI229" s="5">
        <f t="shared" si="72"/>
        <v>1.465298940609614</v>
      </c>
      <c r="BJ229" s="5">
        <f t="shared" si="73"/>
        <v>1.857284987785448</v>
      </c>
    </row>
    <row r="230" spans="13:62" x14ac:dyDescent="0.35">
      <c r="M230" s="2">
        <v>228</v>
      </c>
      <c r="N230" s="3">
        <v>44109</v>
      </c>
      <c r="O230" s="1">
        <v>116.29935500000001</v>
      </c>
      <c r="P230" s="1">
        <v>168.720001</v>
      </c>
      <c r="R230" s="5">
        <f t="shared" si="63"/>
        <v>113.4339943012051</v>
      </c>
      <c r="S230" s="5">
        <f t="shared" si="64"/>
        <v>113.99478753600988</v>
      </c>
      <c r="T230" s="5">
        <f t="shared" si="65"/>
        <v>114.11905531706381</v>
      </c>
      <c r="U230" s="5">
        <f t="shared" si="66"/>
        <v>113.67803851569832</v>
      </c>
      <c r="V230" s="5"/>
      <c r="W230" s="5">
        <f>0.15*P229+(1-0.15)*W229</f>
        <v>164.1738362451851</v>
      </c>
      <c r="X230" s="5">
        <f>0.35*P229+(1-0.35)*X229</f>
        <v>164.37212128942423</v>
      </c>
      <c r="Y230" s="5">
        <f>0.55*P229+(1-0.55)*Y229</f>
        <v>164.85356460636723</v>
      </c>
      <c r="Z230" s="5">
        <f>0.75*P229+(1-0.75)*Z229</f>
        <v>165.18089058655025</v>
      </c>
      <c r="AB230" s="5">
        <f t="shared" si="56"/>
        <v>2.4637803870837476</v>
      </c>
      <c r="AC230" s="5">
        <f t="shared" si="57"/>
        <v>1.981582326049981</v>
      </c>
      <c r="AD230" s="5">
        <f t="shared" si="58"/>
        <v>1.8747306749346926</v>
      </c>
      <c r="AE230" s="5">
        <f t="shared" si="59"/>
        <v>2.2539389700843024</v>
      </c>
      <c r="AG230" s="5">
        <f>ABS((P230-W230)/P230)*100</f>
        <v>2.6945025651196484</v>
      </c>
      <c r="AH230" s="5">
        <f>ABS((P230-X230)/P230)*100</f>
        <v>2.5769794243752808</v>
      </c>
      <c r="AI230" s="5">
        <f>ABS((P230-Y230)/P230)*100</f>
        <v>2.2916289537200556</v>
      </c>
      <c r="AJ230" s="5">
        <f>ABS((P230-Z230)/P230)*100</f>
        <v>2.0976235137941637</v>
      </c>
      <c r="AL230" s="5">
        <f>0.15*(T230-T229)+(1-0.15)*AL229</f>
        <v>0.14129383452085423</v>
      </c>
      <c r="AM230" s="5">
        <f>0.25*(T230-T229)+(1-0.25)*AM229</f>
        <v>0.23373821284042573</v>
      </c>
      <c r="AN230" s="5">
        <f>0.45*(T230-T229)+(1-0.45)*AN229</f>
        <v>-0.1016561839926502</v>
      </c>
      <c r="AO230" s="5">
        <f>0.85*(T230-T229)+(1-0.85)*AO229</f>
        <v>-1.1793436896806271</v>
      </c>
      <c r="AP230" s="5">
        <f>T230+AL230</f>
        <v>114.26034915158466</v>
      </c>
      <c r="AQ230" s="5">
        <f t="shared" si="60"/>
        <v>114.35279352990423</v>
      </c>
      <c r="AR230" s="5">
        <f t="shared" si="61"/>
        <v>114.01739913307117</v>
      </c>
      <c r="AS230" s="5">
        <f t="shared" si="62"/>
        <v>112.93971162738319</v>
      </c>
      <c r="AT230" s="5">
        <f t="shared" si="67"/>
        <v>2.0390058484153428</v>
      </c>
      <c r="AU230" s="5">
        <f t="shared" si="68"/>
        <v>54.367207470095764</v>
      </c>
      <c r="AV230" s="5">
        <f t="shared" si="69"/>
        <v>114.01739913307117</v>
      </c>
      <c r="AW230" s="5">
        <f t="shared" si="69"/>
        <v>0.49428267382191393</v>
      </c>
      <c r="AY230" s="5">
        <f>0.15*(Y230-Y229)+(1-0.15)*AY229</f>
        <v>0.14019397449380763</v>
      </c>
      <c r="AZ230" s="5">
        <f>0.25*(Y230-Y229)+(1-0.25)*AZ229</f>
        <v>0.32489748019309084</v>
      </c>
      <c r="BA230" s="5">
        <f>0.45*(Y230-Y229)+(1-0.45)*BA229</f>
        <v>0.53465896915836642</v>
      </c>
      <c r="BB230" s="5">
        <f>0.85*(Y230-Y229)+(1-0.85)*BB229</f>
        <v>0.75940608087272921</v>
      </c>
      <c r="BC230" s="5">
        <f>Y230+AY230</f>
        <v>164.99375858086103</v>
      </c>
      <c r="BD230" s="5">
        <f>Y230+AZ230</f>
        <v>165.17846208656033</v>
      </c>
      <c r="BE230" s="5">
        <f>Y230+BA230</f>
        <v>165.38822357552559</v>
      </c>
      <c r="BF230" s="5">
        <f>Y230+BB230</f>
        <v>165.61297068723997</v>
      </c>
      <c r="BG230" s="5">
        <f t="shared" si="70"/>
        <v>3.7262424191389698</v>
      </c>
      <c r="BH230" s="5">
        <f t="shared" si="71"/>
        <v>3.5415389134396662</v>
      </c>
      <c r="BI230" s="5">
        <f t="shared" si="72"/>
        <v>3.3317774244744101</v>
      </c>
      <c r="BJ230" s="5">
        <f t="shared" si="73"/>
        <v>3.1070303127600312</v>
      </c>
    </row>
    <row r="231" spans="13:62" x14ac:dyDescent="0.35">
      <c r="M231" s="2">
        <v>229</v>
      </c>
      <c r="N231" s="3">
        <v>44110</v>
      </c>
      <c r="O231" s="1">
        <v>112.96511099999999</v>
      </c>
      <c r="P231" s="1">
        <v>166.88999899999999</v>
      </c>
      <c r="R231" s="5">
        <f t="shared" si="63"/>
        <v>113.86379840602433</v>
      </c>
      <c r="S231" s="5">
        <f t="shared" si="64"/>
        <v>114.80138614840642</v>
      </c>
      <c r="T231" s="5">
        <f t="shared" si="65"/>
        <v>115.31822014267871</v>
      </c>
      <c r="U231" s="5">
        <f t="shared" si="66"/>
        <v>115.64402587892459</v>
      </c>
      <c r="V231" s="5"/>
      <c r="W231" s="5">
        <f>0.15*P230+(1-0.15)*W230</f>
        <v>164.85576095840733</v>
      </c>
      <c r="X231" s="5">
        <f>0.35*P230+(1-0.35)*X230</f>
        <v>165.89387918812574</v>
      </c>
      <c r="Y231" s="5">
        <f>0.55*P230+(1-0.55)*Y230</f>
        <v>166.98010462286524</v>
      </c>
      <c r="Z231" s="5">
        <f>0.75*P230+(1-0.75)*Z230</f>
        <v>167.83522339663756</v>
      </c>
      <c r="AB231" s="5">
        <f t="shared" si="56"/>
        <v>0.79554421543863807</v>
      </c>
      <c r="AC231" s="5">
        <f t="shared" si="57"/>
        <v>1.6255241394012612</v>
      </c>
      <c r="AD231" s="5">
        <f t="shared" si="58"/>
        <v>2.0830406147954115</v>
      </c>
      <c r="AE231" s="5">
        <f t="shared" si="59"/>
        <v>2.3714533232518149</v>
      </c>
      <c r="AG231" s="5">
        <f>ABS((P231-W231)/P231)*100</f>
        <v>1.2189094935476981</v>
      </c>
      <c r="AH231" s="5">
        <f>ABS((P231-X231)/P231)*100</f>
        <v>0.59687208211574838</v>
      </c>
      <c r="AI231" s="5">
        <f>ABS((P231-Y231)/P231)*100</f>
        <v>5.3991026068166102E-2</v>
      </c>
      <c r="AJ231" s="5">
        <f>ABS((P231-Z231)/P231)*100</f>
        <v>0.56637569794554943</v>
      </c>
      <c r="AL231" s="5">
        <f>0.15*(T231-T230)+(1-0.15)*AL230</f>
        <v>0.29997448318496117</v>
      </c>
      <c r="AM231" s="5">
        <f>0.25*(T231-T230)+(1-0.25)*AM230</f>
        <v>0.47509486603404444</v>
      </c>
      <c r="AN231" s="5">
        <f>0.45*(T231-T230)+(1-0.45)*AN230</f>
        <v>0.48371327033074768</v>
      </c>
      <c r="AO231" s="5">
        <f>0.85*(T231-T230)+(1-0.85)*AO230</f>
        <v>0.84238854832057131</v>
      </c>
      <c r="AP231" s="5">
        <f>T231+AL231</f>
        <v>115.61819462586368</v>
      </c>
      <c r="AQ231" s="5">
        <f t="shared" si="60"/>
        <v>115.79331500871275</v>
      </c>
      <c r="AR231" s="5">
        <f t="shared" si="61"/>
        <v>115.80193341300946</v>
      </c>
      <c r="AS231" s="5">
        <f t="shared" si="62"/>
        <v>116.16060869099928</v>
      </c>
      <c r="AT231" s="5">
        <f t="shared" si="67"/>
        <v>2.6530836258636867</v>
      </c>
      <c r="AU231" s="5">
        <f t="shared" si="68"/>
        <v>51.096683991287236</v>
      </c>
      <c r="AV231" s="5">
        <f t="shared" si="69"/>
        <v>115.80193341300946</v>
      </c>
      <c r="AW231" s="5">
        <f t="shared" si="69"/>
        <v>2.2968102849749528</v>
      </c>
      <c r="AY231" s="5">
        <f>0.15*(Y231-Y230)+(1-0.15)*AY230</f>
        <v>0.43814588079443828</v>
      </c>
      <c r="AZ231" s="5">
        <f>0.25*(Y231-Y230)+(1-0.25)*AZ230</f>
        <v>0.77530811426932122</v>
      </c>
      <c r="BA231" s="5">
        <f>0.45*(Y231-Y230)+(1-0.45)*BA230</f>
        <v>1.2510054404612072</v>
      </c>
      <c r="BB231" s="5">
        <f>0.85*(Y231-Y230)+(1-0.85)*BB230</f>
        <v>1.9214699261542196</v>
      </c>
      <c r="BC231" s="5">
        <f>Y231+AY231</f>
        <v>167.41825050365969</v>
      </c>
      <c r="BD231" s="5">
        <f>Y231+AZ231</f>
        <v>167.75541273713455</v>
      </c>
      <c r="BE231" s="5">
        <f>Y231+BA231</f>
        <v>168.23111006332644</v>
      </c>
      <c r="BF231" s="5">
        <f>Y231+BB231</f>
        <v>168.90157454901947</v>
      </c>
      <c r="BG231" s="5">
        <f t="shared" si="70"/>
        <v>0.5282515036597033</v>
      </c>
      <c r="BH231" s="5">
        <f t="shared" si="71"/>
        <v>0.86541373713455982</v>
      </c>
      <c r="BI231" s="5">
        <f t="shared" si="72"/>
        <v>1.3411110633264514</v>
      </c>
      <c r="BJ231" s="5">
        <f t="shared" si="73"/>
        <v>2.0115755490194829</v>
      </c>
    </row>
    <row r="232" spans="13:62" x14ac:dyDescent="0.35">
      <c r="M232" s="2">
        <v>230</v>
      </c>
      <c r="N232" s="3">
        <v>44111</v>
      </c>
      <c r="O232" s="1">
        <v>114.881805</v>
      </c>
      <c r="P232" s="1">
        <v>171.550003</v>
      </c>
      <c r="R232" s="5">
        <f t="shared" si="63"/>
        <v>113.72899529512068</v>
      </c>
      <c r="S232" s="5">
        <f t="shared" si="64"/>
        <v>114.15868984646417</v>
      </c>
      <c r="T232" s="5">
        <f t="shared" si="65"/>
        <v>114.02401011420541</v>
      </c>
      <c r="U232" s="5">
        <f t="shared" si="66"/>
        <v>113.63483971973115</v>
      </c>
      <c r="V232" s="5"/>
      <c r="W232" s="5">
        <f>0.15*P231+(1-0.15)*W231</f>
        <v>165.16089666464623</v>
      </c>
      <c r="X232" s="5">
        <f>0.35*P231+(1-0.35)*X231</f>
        <v>166.24252112228172</v>
      </c>
      <c r="Y232" s="5">
        <f>0.55*P231+(1-0.55)*Y231</f>
        <v>166.93054653028935</v>
      </c>
      <c r="Z232" s="5">
        <f>0.75*P231+(1-0.75)*Z231</f>
        <v>167.12630509915937</v>
      </c>
      <c r="AB232" s="5">
        <f t="shared" si="56"/>
        <v>1.0034745753510028</v>
      </c>
      <c r="AC232" s="5">
        <f t="shared" si="57"/>
        <v>0.62944271595996359</v>
      </c>
      <c r="AD232" s="5">
        <f t="shared" si="58"/>
        <v>0.74667601696769115</v>
      </c>
      <c r="AE232" s="5">
        <f t="shared" si="59"/>
        <v>1.0854332244073401</v>
      </c>
      <c r="AG232" s="5">
        <f>ABS((P232-W232)/P232)*100</f>
        <v>3.7243405558866551</v>
      </c>
      <c r="AH232" s="5">
        <f>ABS((P232-X232)/P232)*100</f>
        <v>3.0938395714969986</v>
      </c>
      <c r="AI232" s="5">
        <f>ABS((P232-Y232)/P232)*100</f>
        <v>2.6927755108874325</v>
      </c>
      <c r="AJ232" s="5">
        <f>ABS((P232-Z232)/P232)*100</f>
        <v>2.5786638434746258</v>
      </c>
      <c r="AL232" s="5">
        <f>0.15*(T232-T231)+(1-0.15)*AL231</f>
        <v>6.0846806436221756E-2</v>
      </c>
      <c r="AM232" s="5">
        <f>0.25*(T232-T231)+(1-0.25)*AM231</f>
        <v>3.2768642407207949E-2</v>
      </c>
      <c r="AN232" s="5">
        <f>0.45*(T232-T231)+(1-0.45)*AN231</f>
        <v>-0.31635221413107445</v>
      </c>
      <c r="AO232" s="5">
        <f>0.85*(T232-T231)+(1-0.85)*AO231</f>
        <v>-0.97372024195422058</v>
      </c>
      <c r="AP232" s="5">
        <f>T232+AL232</f>
        <v>114.08485692064163</v>
      </c>
      <c r="AQ232" s="5">
        <f t="shared" si="60"/>
        <v>114.05677875661262</v>
      </c>
      <c r="AR232" s="5">
        <f t="shared" si="61"/>
        <v>113.70765790007434</v>
      </c>
      <c r="AS232" s="5">
        <f t="shared" si="62"/>
        <v>113.05028987225118</v>
      </c>
      <c r="AT232" s="5">
        <f t="shared" si="67"/>
        <v>0.79694807935837275</v>
      </c>
      <c r="AU232" s="5">
        <f t="shared" si="68"/>
        <v>57.493224243387388</v>
      </c>
      <c r="AV232" s="5">
        <f t="shared" si="69"/>
        <v>113.70765790007434</v>
      </c>
      <c r="AW232" s="5">
        <f t="shared" si="69"/>
        <v>0.67870542286949842</v>
      </c>
      <c r="AY232" s="5">
        <f>0.15*(Y232-Y231)+(1-0.15)*AY231</f>
        <v>0.36499028478888862</v>
      </c>
      <c r="AZ232" s="5">
        <f>0.25*(Y232-Y231)+(1-0.25)*AZ231</f>
        <v>0.56909156255801774</v>
      </c>
      <c r="BA232" s="5">
        <f>0.45*(Y232-Y231)+(1-0.45)*BA231</f>
        <v>0.66575185059451214</v>
      </c>
      <c r="BB232" s="5">
        <f>0.85*(Y232-Y231)+(1-0.85)*BB231</f>
        <v>0.24609611023362402</v>
      </c>
      <c r="BC232" s="5">
        <f>Y232+AY232</f>
        <v>167.29553681507824</v>
      </c>
      <c r="BD232" s="5">
        <f>Y232+AZ232</f>
        <v>167.49963809284736</v>
      </c>
      <c r="BE232" s="5">
        <f>Y232+BA232</f>
        <v>167.59629838088387</v>
      </c>
      <c r="BF232" s="5">
        <f>Y232+BB232</f>
        <v>167.17664264052297</v>
      </c>
      <c r="BG232" s="5">
        <f t="shared" si="70"/>
        <v>4.2544661849217675</v>
      </c>
      <c r="BH232" s="5">
        <f t="shared" si="71"/>
        <v>4.0503649071526411</v>
      </c>
      <c r="BI232" s="5">
        <f t="shared" si="72"/>
        <v>3.953704619116138</v>
      </c>
      <c r="BJ232" s="5">
        <f t="shared" si="73"/>
        <v>4.3733603594770329</v>
      </c>
    </row>
    <row r="233" spans="13:62" x14ac:dyDescent="0.35">
      <c r="M233" s="2">
        <v>231</v>
      </c>
      <c r="N233" s="3">
        <v>44112</v>
      </c>
      <c r="O233" s="1">
        <v>114.77198799999999</v>
      </c>
      <c r="P233" s="1">
        <v>173.779999</v>
      </c>
      <c r="R233" s="5">
        <f t="shared" si="63"/>
        <v>113.90191675085258</v>
      </c>
      <c r="S233" s="5">
        <f t="shared" si="64"/>
        <v>114.41178015020171</v>
      </c>
      <c r="T233" s="5">
        <f t="shared" si="65"/>
        <v>114.49579730139243</v>
      </c>
      <c r="U233" s="5">
        <f t="shared" si="66"/>
        <v>114.57006367993279</v>
      </c>
      <c r="V233" s="5"/>
      <c r="W233" s="5">
        <f>0.15*P232+(1-0.15)*W232</f>
        <v>166.11926261494929</v>
      </c>
      <c r="X233" s="5">
        <f>0.35*P232+(1-0.35)*X232</f>
        <v>168.10013977948313</v>
      </c>
      <c r="Y233" s="5">
        <f>0.55*P232+(1-0.55)*Y232</f>
        <v>169.47124758863021</v>
      </c>
      <c r="Z233" s="5">
        <f>0.75*P232+(1-0.75)*Z232</f>
        <v>170.44407852478983</v>
      </c>
      <c r="AB233" s="5">
        <f t="shared" si="56"/>
        <v>0.75808676342472603</v>
      </c>
      <c r="AC233" s="5">
        <f t="shared" si="57"/>
        <v>0.31384648473483434</v>
      </c>
      <c r="AD233" s="5">
        <f t="shared" si="58"/>
        <v>0.24064295079350234</v>
      </c>
      <c r="AE233" s="5">
        <f t="shared" si="59"/>
        <v>0.17593519428033827</v>
      </c>
      <c r="AG233" s="5">
        <f>ABS((P233-W233)/P233)*100</f>
        <v>4.4082957930335303</v>
      </c>
      <c r="AH233" s="5">
        <f>ABS((P233-X233)/P233)*100</f>
        <v>3.268419411440366</v>
      </c>
      <c r="AI233" s="5">
        <f>ABS((P233-Y233)/P233)*100</f>
        <v>2.4794288388560743</v>
      </c>
      <c r="AJ233" s="5">
        <f>ABS((P233-Z233)/P233)*100</f>
        <v>1.9196227957224083</v>
      </c>
      <c r="AL233" s="5">
        <f>0.15*(T233-T232)+(1-0.15)*AL232</f>
        <v>0.12248786354884131</v>
      </c>
      <c r="AM233" s="5">
        <f>0.25*(T233-T232)+(1-0.25)*AM232</f>
        <v>0.14252327860216063</v>
      </c>
      <c r="AN233" s="5">
        <f>0.45*(T233-T232)+(1-0.45)*AN232</f>
        <v>3.8310516462067457E-2</v>
      </c>
      <c r="AO233" s="5">
        <f>0.85*(T233-T232)+(1-0.85)*AO232</f>
        <v>0.2549610728158328</v>
      </c>
      <c r="AP233" s="5">
        <f>T233+AL233</f>
        <v>114.61828516494127</v>
      </c>
      <c r="AQ233" s="5">
        <f t="shared" si="60"/>
        <v>114.63832057999458</v>
      </c>
      <c r="AR233" s="5">
        <f t="shared" si="61"/>
        <v>114.53410781785449</v>
      </c>
      <c r="AS233" s="5">
        <f t="shared" si="62"/>
        <v>114.75075837420826</v>
      </c>
      <c r="AT233" s="5">
        <f t="shared" si="67"/>
        <v>0.15370283505872351</v>
      </c>
      <c r="AU233" s="5">
        <f t="shared" si="68"/>
        <v>59.14167842000542</v>
      </c>
      <c r="AV233" s="5">
        <f t="shared" si="69"/>
        <v>114.53410781785449</v>
      </c>
      <c r="AW233" s="5">
        <f t="shared" si="69"/>
        <v>0.84884162335568192</v>
      </c>
      <c r="AY233" s="5">
        <f>0.15*(Y233-Y232)+(1-0.15)*AY232</f>
        <v>0.69134690082168393</v>
      </c>
      <c r="AZ233" s="5">
        <f>0.25*(Y233-Y232)+(1-0.25)*AZ232</f>
        <v>1.0619939365037276</v>
      </c>
      <c r="BA233" s="5">
        <f>0.45*(Y233-Y232)+(1-0.45)*BA232</f>
        <v>1.5094789940803679</v>
      </c>
      <c r="BB233" s="5">
        <f>0.85*(Y233-Y232)+(1-0.85)*BB232</f>
        <v>2.1965103161247725</v>
      </c>
      <c r="BC233" s="5">
        <f>Y233+AY233</f>
        <v>170.16259448945189</v>
      </c>
      <c r="BD233" s="5">
        <f>Y233+AZ233</f>
        <v>170.53324152513395</v>
      </c>
      <c r="BE233" s="5">
        <f>Y233+BA233</f>
        <v>170.98072658271059</v>
      </c>
      <c r="BF233" s="5">
        <f>Y233+BB233</f>
        <v>171.66775790475498</v>
      </c>
      <c r="BG233" s="5">
        <f t="shared" si="70"/>
        <v>3.6174045105481127</v>
      </c>
      <c r="BH233" s="5">
        <f t="shared" si="71"/>
        <v>3.2467574748660581</v>
      </c>
      <c r="BI233" s="5">
        <f t="shared" si="72"/>
        <v>2.7992724172894157</v>
      </c>
      <c r="BJ233" s="5">
        <f t="shared" si="73"/>
        <v>2.1122410952450252</v>
      </c>
    </row>
    <row r="234" spans="13:62" x14ac:dyDescent="0.35">
      <c r="M234" s="2">
        <v>232</v>
      </c>
      <c r="N234" s="3">
        <v>44113</v>
      </c>
      <c r="O234" s="1">
        <v>116.768547</v>
      </c>
      <c r="P234" s="1">
        <v>174.38000500000001</v>
      </c>
      <c r="R234" s="5">
        <f t="shared" si="63"/>
        <v>114.03242743822469</v>
      </c>
      <c r="S234" s="5">
        <f t="shared" si="64"/>
        <v>114.5378528976311</v>
      </c>
      <c r="T234" s="5">
        <f t="shared" si="65"/>
        <v>114.6477021856266</v>
      </c>
      <c r="U234" s="5">
        <f t="shared" si="66"/>
        <v>114.7215069199832</v>
      </c>
      <c r="V234" s="5"/>
      <c r="W234" s="5">
        <f>0.15*P233+(1-0.15)*W233</f>
        <v>167.26837307270691</v>
      </c>
      <c r="X234" s="5">
        <f>0.35*P233+(1-0.35)*X233</f>
        <v>170.08809050666403</v>
      </c>
      <c r="Y234" s="5">
        <f>0.55*P233+(1-0.55)*Y233</f>
        <v>171.84106086488362</v>
      </c>
      <c r="Z234" s="5">
        <f>0.75*P233+(1-0.75)*Z233</f>
        <v>172.94601888119746</v>
      </c>
      <c r="AB234" s="5">
        <f t="shared" si="56"/>
        <v>2.3431991166039867</v>
      </c>
      <c r="AC234" s="5">
        <f t="shared" si="57"/>
        <v>1.9103552794648551</v>
      </c>
      <c r="AD234" s="5">
        <f t="shared" si="58"/>
        <v>1.8162808982913856</v>
      </c>
      <c r="AE234" s="5">
        <f t="shared" si="59"/>
        <v>1.7530748926907511</v>
      </c>
      <c r="AG234" s="5">
        <f>ABS((P234-W234)/P234)*100</f>
        <v>4.0782381714538332</v>
      </c>
      <c r="AH234" s="5">
        <f>ABS((P234-X234)/P234)*100</f>
        <v>2.4612423272587818</v>
      </c>
      <c r="AI234" s="5">
        <f>ABS((P234-Y234)/P234)*100</f>
        <v>1.4559835200809836</v>
      </c>
      <c r="AJ234" s="5">
        <f>ABS((P234-Z234)/P234)*100</f>
        <v>0.82233402780470777</v>
      </c>
      <c r="AL234" s="5">
        <f>0.15*(T234-T233)+(1-0.15)*AL233</f>
        <v>0.12690041665164067</v>
      </c>
      <c r="AM234" s="5">
        <f>0.25*(T234-T233)+(1-0.25)*AM233</f>
        <v>0.14486868001016306</v>
      </c>
      <c r="AN234" s="5">
        <f>0.45*(T234-T233)+(1-0.45)*AN233</f>
        <v>8.9427981959513778E-2</v>
      </c>
      <c r="AO234" s="5">
        <f>0.85*(T234-T233)+(1-0.85)*AO233</f>
        <v>0.16736331252141973</v>
      </c>
      <c r="AP234" s="5">
        <f>T234+AL234</f>
        <v>114.77460260227824</v>
      </c>
      <c r="AQ234" s="5">
        <f t="shared" si="60"/>
        <v>114.79257086563676</v>
      </c>
      <c r="AR234" s="5">
        <f t="shared" si="61"/>
        <v>114.73713016758612</v>
      </c>
      <c r="AS234" s="5">
        <f t="shared" si="62"/>
        <v>114.81506549814802</v>
      </c>
      <c r="AT234" s="5">
        <f t="shared" si="67"/>
        <v>1.9939443977217621</v>
      </c>
      <c r="AU234" s="5">
        <f t="shared" si="68"/>
        <v>59.587434134363249</v>
      </c>
      <c r="AV234" s="5">
        <f t="shared" si="69"/>
        <v>114.73713016758612</v>
      </c>
      <c r="AW234" s="5">
        <f t="shared" si="69"/>
        <v>0.78263805992332891</v>
      </c>
      <c r="AY234" s="5">
        <f>0.15*(Y234-Y233)+(1-0.15)*AY233</f>
        <v>0.94311685713644278</v>
      </c>
      <c r="AZ234" s="5">
        <f>0.25*(Y234-Y233)+(1-0.25)*AZ233</f>
        <v>1.3889487714411484</v>
      </c>
      <c r="BA234" s="5">
        <f>0.45*(Y234-Y233)+(1-0.45)*BA233</f>
        <v>1.8966294210582371</v>
      </c>
      <c r="BB234" s="5">
        <f>0.85*(Y234-Y233)+(1-0.85)*BB233</f>
        <v>2.3438178322341141</v>
      </c>
      <c r="BC234" s="5">
        <f>Y234+AY234</f>
        <v>172.78417772202005</v>
      </c>
      <c r="BD234" s="5">
        <f>Y234+AZ234</f>
        <v>173.23000963632475</v>
      </c>
      <c r="BE234" s="5">
        <f>Y234+BA234</f>
        <v>173.73769028594185</v>
      </c>
      <c r="BF234" s="5">
        <f>Y234+BB234</f>
        <v>174.18487869711774</v>
      </c>
      <c r="BG234" s="5">
        <f t="shared" si="70"/>
        <v>1.5958272779799643</v>
      </c>
      <c r="BH234" s="5">
        <f t="shared" si="71"/>
        <v>1.1499953636752593</v>
      </c>
      <c r="BI234" s="5">
        <f t="shared" si="72"/>
        <v>0.6423147140581591</v>
      </c>
      <c r="BJ234" s="5">
        <f t="shared" si="73"/>
        <v>0.19512630288227228</v>
      </c>
    </row>
    <row r="235" spans="13:62" x14ac:dyDescent="0.35">
      <c r="M235" s="2">
        <v>233</v>
      </c>
      <c r="N235" s="3">
        <v>44116</v>
      </c>
      <c r="O235" s="1">
        <v>124.18575300000001</v>
      </c>
      <c r="P235" s="1">
        <v>175.36000100000001</v>
      </c>
      <c r="R235" s="5">
        <f t="shared" si="63"/>
        <v>114.44284537249098</v>
      </c>
      <c r="S235" s="5">
        <f t="shared" si="64"/>
        <v>115.31859583346021</v>
      </c>
      <c r="T235" s="5">
        <f t="shared" si="65"/>
        <v>115.81416683353197</v>
      </c>
      <c r="U235" s="5">
        <f t="shared" si="66"/>
        <v>116.25678697999579</v>
      </c>
      <c r="V235" s="5"/>
      <c r="W235" s="5">
        <f>0.15*P234+(1-0.15)*W234</f>
        <v>168.33511786180088</v>
      </c>
      <c r="X235" s="5">
        <f>0.35*P234+(1-0.35)*X234</f>
        <v>171.59026057933164</v>
      </c>
      <c r="Y235" s="5">
        <f>0.55*P234+(1-0.55)*Y234</f>
        <v>173.23748013919763</v>
      </c>
      <c r="Z235" s="5">
        <f>0.75*P234+(1-0.75)*Z234</f>
        <v>174.02150847029938</v>
      </c>
      <c r="AB235" s="5">
        <f t="shared" si="56"/>
        <v>7.8454310515869121</v>
      </c>
      <c r="AC235" s="5">
        <f t="shared" si="57"/>
        <v>7.1402370661148202</v>
      </c>
      <c r="AD235" s="5">
        <f t="shared" si="58"/>
        <v>6.741180823268861</v>
      </c>
      <c r="AE235" s="5">
        <f t="shared" si="59"/>
        <v>6.3847630090097462</v>
      </c>
      <c r="AG235" s="5">
        <f>ABS((P235-W235)/P235)*100</f>
        <v>4.0059780441031867</v>
      </c>
      <c r="AH235" s="5">
        <f>ABS((P235-X235)/P235)*100</f>
        <v>2.1497150998923464</v>
      </c>
      <c r="AI235" s="5">
        <f>ABS((P235-Y235)/P235)*100</f>
        <v>1.2103791336100538</v>
      </c>
      <c r="AJ235" s="5">
        <f>ABS((P235-Z235)/P235)*100</f>
        <v>0.76328268822297185</v>
      </c>
      <c r="AL235" s="5">
        <f>0.15*(T235-T234)+(1-0.15)*AL234</f>
        <v>0.28283505133970027</v>
      </c>
      <c r="AM235" s="5">
        <f>0.25*(T235-T234)+(1-0.25)*AM234</f>
        <v>0.40026767198396518</v>
      </c>
      <c r="AN235" s="5">
        <f>0.45*(T235-T234)+(1-0.45)*AN234</f>
        <v>0.57409448163514976</v>
      </c>
      <c r="AO235" s="5">
        <f>0.85*(T235-T234)+(1-0.85)*AO234</f>
        <v>1.0165994475977786</v>
      </c>
      <c r="AP235" s="5">
        <f>T235+AL235</f>
        <v>116.09700188487167</v>
      </c>
      <c r="AQ235" s="5">
        <f t="shared" si="60"/>
        <v>116.21443450551594</v>
      </c>
      <c r="AR235" s="5">
        <f t="shared" si="61"/>
        <v>116.38826131516711</v>
      </c>
      <c r="AS235" s="5">
        <f t="shared" si="62"/>
        <v>116.83076628112975</v>
      </c>
      <c r="AT235" s="5">
        <f t="shared" si="67"/>
        <v>8.088751115128332</v>
      </c>
      <c r="AU235" s="5">
        <f t="shared" si="68"/>
        <v>59.145566494484072</v>
      </c>
      <c r="AV235" s="5">
        <f t="shared" si="69"/>
        <v>116.38826131516711</v>
      </c>
      <c r="AW235" s="5">
        <f t="shared" si="69"/>
        <v>2.387920908638776</v>
      </c>
      <c r="AY235" s="5">
        <f>0.15*(Y235-Y234)+(1-0.15)*AY234</f>
        <v>1.0111122197130784</v>
      </c>
      <c r="AZ235" s="5">
        <f>0.25*(Y235-Y234)+(1-0.25)*AZ234</f>
        <v>1.3908163971593646</v>
      </c>
      <c r="BA235" s="5">
        <f>0.45*(Y235-Y234)+(1-0.45)*BA234</f>
        <v>1.6715348550233364</v>
      </c>
      <c r="BB235" s="5">
        <f>0.85*(Y235-Y234)+(1-0.85)*BB234</f>
        <v>1.5385290580020283</v>
      </c>
      <c r="BC235" s="5">
        <f>Y235+AY235</f>
        <v>174.24859235891071</v>
      </c>
      <c r="BD235" s="5">
        <f>Y235+AZ235</f>
        <v>174.628296536357</v>
      </c>
      <c r="BE235" s="5">
        <f>Y235+BA235</f>
        <v>174.90901499422097</v>
      </c>
      <c r="BF235" s="5">
        <f>Y235+BB235</f>
        <v>174.77600919719967</v>
      </c>
      <c r="BG235" s="5">
        <f t="shared" si="70"/>
        <v>1.111408641089298</v>
      </c>
      <c r="BH235" s="5">
        <f t="shared" si="71"/>
        <v>0.73170446364301256</v>
      </c>
      <c r="BI235" s="5">
        <f t="shared" si="72"/>
        <v>0.45098600577904335</v>
      </c>
      <c r="BJ235" s="5">
        <f t="shared" si="73"/>
        <v>0.58399180280034102</v>
      </c>
    </row>
    <row r="236" spans="13:62" x14ac:dyDescent="0.35">
      <c r="M236" s="2">
        <v>234</v>
      </c>
      <c r="N236" s="3">
        <v>44117</v>
      </c>
      <c r="O236" s="1">
        <v>120.891434</v>
      </c>
      <c r="P236" s="1">
        <v>171.550003</v>
      </c>
      <c r="R236" s="5">
        <f t="shared" si="63"/>
        <v>115.90428151661732</v>
      </c>
      <c r="S236" s="5">
        <f t="shared" si="64"/>
        <v>118.42210084174914</v>
      </c>
      <c r="T236" s="5">
        <f t="shared" si="65"/>
        <v>120.41853922508939</v>
      </c>
      <c r="U236" s="5">
        <f t="shared" si="66"/>
        <v>122.20351149499896</v>
      </c>
      <c r="V236" s="5"/>
      <c r="W236" s="5">
        <f>0.15*P235+(1-0.15)*W235</f>
        <v>169.38885033253075</v>
      </c>
      <c r="X236" s="5">
        <f>0.35*P235+(1-0.35)*X235</f>
        <v>172.90966972656557</v>
      </c>
      <c r="Y236" s="5">
        <f>0.55*P235+(1-0.55)*Y235</f>
        <v>174.40486661263895</v>
      </c>
      <c r="Z236" s="5">
        <f>0.75*P235+(1-0.75)*Z235</f>
        <v>175.02537786757486</v>
      </c>
      <c r="AB236" s="5">
        <f t="shared" si="56"/>
        <v>4.1253150189141499</v>
      </c>
      <c r="AC236" s="5">
        <f t="shared" si="57"/>
        <v>2.0426039104233489</v>
      </c>
      <c r="AD236" s="5">
        <f t="shared" si="58"/>
        <v>0.39117310405186689</v>
      </c>
      <c r="AE236" s="5">
        <f t="shared" si="59"/>
        <v>1.0853353720652859</v>
      </c>
      <c r="AG236" s="5">
        <f>ABS((P236-W236)/P236)*100</f>
        <v>1.2597800231278649</v>
      </c>
      <c r="AH236" s="5">
        <f>ABS((P236-X236)/P236)*100</f>
        <v>0.79257750089667089</v>
      </c>
      <c r="AI236" s="5">
        <f>ABS((P236-Y236)/P236)*100</f>
        <v>1.6641582994545041</v>
      </c>
      <c r="AJ236" s="5">
        <f>ABS((P236-Z236)/P236)*100</f>
        <v>2.0258669815207502</v>
      </c>
      <c r="AL236" s="5">
        <f>0.15*(T236-T235)+(1-0.15)*AL235</f>
        <v>0.93106565237235805</v>
      </c>
      <c r="AM236" s="5">
        <f>0.25*(T236-T235)+(1-0.25)*AM235</f>
        <v>1.4512938518773286</v>
      </c>
      <c r="AN236" s="5">
        <f>0.45*(T236-T235)+(1-0.45)*AN235</f>
        <v>2.387719541100171</v>
      </c>
      <c r="AO236" s="5">
        <f>0.85*(T236-T235)+(1-0.85)*AO235</f>
        <v>4.0662064499634729</v>
      </c>
      <c r="AP236" s="5">
        <f>T236+AL236</f>
        <v>121.34960487746174</v>
      </c>
      <c r="AQ236" s="5">
        <f t="shared" si="60"/>
        <v>121.86983307696671</v>
      </c>
      <c r="AR236" s="5">
        <f t="shared" si="61"/>
        <v>122.80625876618956</v>
      </c>
      <c r="AS236" s="5">
        <f t="shared" si="62"/>
        <v>124.48474567505286</v>
      </c>
      <c r="AT236" s="5">
        <f t="shared" si="67"/>
        <v>0.45817087746173968</v>
      </c>
      <c r="AU236" s="5">
        <f t="shared" si="68"/>
        <v>49.68016992303329</v>
      </c>
      <c r="AV236" s="5">
        <f t="shared" si="69"/>
        <v>122.80625876618956</v>
      </c>
      <c r="AW236" s="5">
        <f t="shared" si="69"/>
        <v>8.5804641584355466</v>
      </c>
      <c r="AY236" s="5">
        <f>0.15*(Y236-Y235)+(1-0.15)*AY235</f>
        <v>1.0345533577723154</v>
      </c>
      <c r="AZ236" s="5">
        <f>0.25*(Y236-Y235)+(1-0.25)*AZ235</f>
        <v>1.334958916229855</v>
      </c>
      <c r="BA236" s="5">
        <f>0.45*(Y236-Y235)+(1-0.45)*BA235</f>
        <v>1.4446680833114316</v>
      </c>
      <c r="BB236" s="5">
        <f>0.85*(Y236-Y235)+(1-0.85)*BB235</f>
        <v>1.223057861125431</v>
      </c>
      <c r="BC236" s="5">
        <f>Y236+AY236</f>
        <v>175.43941997041128</v>
      </c>
      <c r="BD236" s="5">
        <f>Y236+AZ236</f>
        <v>175.73982552886881</v>
      </c>
      <c r="BE236" s="5">
        <f>Y236+BA236</f>
        <v>175.84953469595038</v>
      </c>
      <c r="BF236" s="5">
        <f>Y236+BB236</f>
        <v>175.62792447376438</v>
      </c>
      <c r="BG236" s="5">
        <f t="shared" si="70"/>
        <v>3.8894169704112755</v>
      </c>
      <c r="BH236" s="5">
        <f t="shared" si="71"/>
        <v>4.1898225288688025</v>
      </c>
      <c r="BI236" s="5">
        <f t="shared" si="72"/>
        <v>4.2995316959503782</v>
      </c>
      <c r="BJ236" s="5">
        <f t="shared" si="73"/>
        <v>4.077921473764377</v>
      </c>
    </row>
    <row r="237" spans="13:62" x14ac:dyDescent="0.35">
      <c r="M237" s="2">
        <v>235</v>
      </c>
      <c r="N237" s="3">
        <v>44118</v>
      </c>
      <c r="O237" s="1">
        <v>120.98127700000001</v>
      </c>
      <c r="P237" s="1">
        <v>173.470001</v>
      </c>
      <c r="R237" s="5">
        <f t="shared" si="63"/>
        <v>116.65235438912472</v>
      </c>
      <c r="S237" s="5">
        <f t="shared" si="64"/>
        <v>119.28636744713694</v>
      </c>
      <c r="T237" s="5">
        <f t="shared" si="65"/>
        <v>120.67863135129022</v>
      </c>
      <c r="U237" s="5">
        <f t="shared" si="66"/>
        <v>121.21945337374974</v>
      </c>
      <c r="V237" s="5"/>
      <c r="W237" s="5">
        <f>0.15*P236+(1-0.15)*W236</f>
        <v>169.71302323265112</v>
      </c>
      <c r="X237" s="5">
        <f>0.35*P236+(1-0.35)*X236</f>
        <v>172.4337863722676</v>
      </c>
      <c r="Y237" s="5">
        <f>0.55*P236+(1-0.55)*Y236</f>
        <v>172.83469162568753</v>
      </c>
      <c r="Z237" s="5">
        <f>0.75*P236+(1-0.75)*Z236</f>
        <v>172.41884671689371</v>
      </c>
      <c r="AB237" s="5">
        <f t="shared" si="56"/>
        <v>3.5781756633923454</v>
      </c>
      <c r="AC237" s="5">
        <f t="shared" si="57"/>
        <v>1.4009684761907963</v>
      </c>
      <c r="AD237" s="5">
        <f t="shared" si="58"/>
        <v>0.25015907933405646</v>
      </c>
      <c r="AE237" s="5">
        <f t="shared" si="59"/>
        <v>0.19687044115903815</v>
      </c>
      <c r="AG237" s="5">
        <f>ABS((P237-W237)/P237)*100</f>
        <v>2.1657795271177012</v>
      </c>
      <c r="AH237" s="5">
        <f>ABS((P237-X237)/P237)*100</f>
        <v>0.59734514426640928</v>
      </c>
      <c r="AI237" s="5">
        <f>ABS((P237-Y237)/P237)*100</f>
        <v>0.3662358740128619</v>
      </c>
      <c r="AJ237" s="5">
        <f>ABS((P237-Z237)/P237)*100</f>
        <v>0.60595738574203706</v>
      </c>
      <c r="AL237" s="5">
        <f>0.15*(T237-T236)+(1-0.15)*AL236</f>
        <v>0.83041962344662901</v>
      </c>
      <c r="AM237" s="5">
        <f>0.25*(T237-T236)+(1-0.25)*AM236</f>
        <v>1.1534934204582044</v>
      </c>
      <c r="AN237" s="5">
        <f>0.45*(T237-T236)+(1-0.45)*AN236</f>
        <v>1.4302872043954684</v>
      </c>
      <c r="AO237" s="5">
        <f>0.85*(T237-T236)+(1-0.85)*AO236</f>
        <v>0.83100927476522768</v>
      </c>
      <c r="AP237" s="5">
        <f>T237+AL237</f>
        <v>121.50905097473685</v>
      </c>
      <c r="AQ237" s="5">
        <f t="shared" si="60"/>
        <v>121.83212477174843</v>
      </c>
      <c r="AR237" s="5">
        <f t="shared" si="61"/>
        <v>122.10891855568569</v>
      </c>
      <c r="AS237" s="5">
        <f t="shared" si="62"/>
        <v>121.50964062605544</v>
      </c>
      <c r="AT237" s="5">
        <f t="shared" si="67"/>
        <v>0.52777397473684573</v>
      </c>
      <c r="AU237" s="5">
        <f t="shared" si="68"/>
        <v>51.637876228251571</v>
      </c>
      <c r="AV237" s="5">
        <f t="shared" si="69"/>
        <v>122.10891855568569</v>
      </c>
      <c r="AW237" s="5">
        <f t="shared" si="69"/>
        <v>4.8572862369307188</v>
      </c>
      <c r="AY237" s="5">
        <f>0.15*(Y237-Y236)+(1-0.15)*AY236</f>
        <v>0.64384410606375375</v>
      </c>
      <c r="AZ237" s="5">
        <f>0.25*(Y237-Y236)+(1-0.25)*AZ236</f>
        <v>0.60867544043453403</v>
      </c>
      <c r="BA237" s="5">
        <f>0.45*(Y237-Y236)+(1-0.45)*BA236</f>
        <v>8.7988701693144544E-2</v>
      </c>
      <c r="BB237" s="5">
        <f>0.85*(Y237-Y236)+(1-0.85)*BB236</f>
        <v>-1.1511900597398999</v>
      </c>
      <c r="BC237" s="5">
        <f>Y237+AY237</f>
        <v>173.47853573175129</v>
      </c>
      <c r="BD237" s="5">
        <f>Y237+AZ237</f>
        <v>173.44336706612205</v>
      </c>
      <c r="BE237" s="5">
        <f>Y237+BA237</f>
        <v>172.92268032738068</v>
      </c>
      <c r="BF237" s="5">
        <f>Y237+BB237</f>
        <v>171.68350156594764</v>
      </c>
      <c r="BG237" s="5">
        <f t="shared" si="70"/>
        <v>8.5347317512969312E-3</v>
      </c>
      <c r="BH237" s="5">
        <f t="shared" si="71"/>
        <v>2.6633933877945992E-2</v>
      </c>
      <c r="BI237" s="5">
        <f t="shared" si="72"/>
        <v>0.54732067261932116</v>
      </c>
      <c r="BJ237" s="5">
        <f t="shared" si="73"/>
        <v>1.7864994340523594</v>
      </c>
    </row>
    <row r="238" spans="13:62" x14ac:dyDescent="0.35">
      <c r="M238" s="2">
        <v>236</v>
      </c>
      <c r="N238" s="3">
        <v>44119</v>
      </c>
      <c r="O238" s="1">
        <v>120.502106</v>
      </c>
      <c r="P238" s="1">
        <v>172.61000100000001</v>
      </c>
      <c r="R238" s="5">
        <f t="shared" si="63"/>
        <v>117.30169278075601</v>
      </c>
      <c r="S238" s="5">
        <f t="shared" si="64"/>
        <v>119.87958579063901</v>
      </c>
      <c r="T238" s="5">
        <f t="shared" si="65"/>
        <v>120.8450864580806</v>
      </c>
      <c r="U238" s="5">
        <f t="shared" si="66"/>
        <v>121.04082109343744</v>
      </c>
      <c r="V238" s="5"/>
      <c r="W238" s="5">
        <f>0.15*P237+(1-0.15)*W237</f>
        <v>170.27656989775346</v>
      </c>
      <c r="X238" s="5">
        <f>0.35*P237+(1-0.35)*X237</f>
        <v>172.79646149197396</v>
      </c>
      <c r="Y238" s="5">
        <f>0.55*P237+(1-0.55)*Y237</f>
        <v>173.18411178155938</v>
      </c>
      <c r="Z238" s="5">
        <f>0.75*P237+(1-0.75)*Z237</f>
        <v>173.20721242922343</v>
      </c>
      <c r="AB238" s="5">
        <f t="shared" si="56"/>
        <v>2.6558981626794007</v>
      </c>
      <c r="AC238" s="5">
        <f t="shared" si="57"/>
        <v>0.51660525282519565</v>
      </c>
      <c r="AD238" s="5">
        <f t="shared" si="58"/>
        <v>0.28462611108274205</v>
      </c>
      <c r="AE238" s="5">
        <f t="shared" si="59"/>
        <v>0.4470586542590767</v>
      </c>
      <c r="AG238" s="5">
        <f>ABS((P238-W238)/P238)*100</f>
        <v>1.3518516243137904</v>
      </c>
      <c r="AH238" s="5">
        <f>ABS((P238-X238)/P238)*100</f>
        <v>0.10802415323197079</v>
      </c>
      <c r="AI238" s="5">
        <f>ABS((P238-Y238)/P238)*100</f>
        <v>0.33260574603633153</v>
      </c>
      <c r="AJ238" s="5">
        <f>ABS((P238-Z238)/P238)*100</f>
        <v>0.34598889158422569</v>
      </c>
      <c r="AL238" s="5">
        <f>0.15*(T238-T237)+(1-0.15)*AL237</f>
        <v>0.7308249459481917</v>
      </c>
      <c r="AM238" s="5">
        <f>0.25*(T238-T237)+(1-0.25)*AM237</f>
        <v>0.90673384204124829</v>
      </c>
      <c r="AN238" s="5">
        <f>0.45*(T238-T237)+(1-0.45)*AN237</f>
        <v>0.86156276047317881</v>
      </c>
      <c r="AO238" s="5">
        <f>0.85*(T238-T237)+(1-0.85)*AO237</f>
        <v>0.26613823198660724</v>
      </c>
      <c r="AP238" s="5">
        <f>T238+AL238</f>
        <v>121.57591140402879</v>
      </c>
      <c r="AQ238" s="5">
        <f t="shared" si="60"/>
        <v>121.75182030012185</v>
      </c>
      <c r="AR238" s="5">
        <f t="shared" si="61"/>
        <v>121.70664921855378</v>
      </c>
      <c r="AS238" s="5">
        <f t="shared" si="62"/>
        <v>121.1112246900672</v>
      </c>
      <c r="AT238" s="5">
        <f t="shared" si="67"/>
        <v>1.0738054040287892</v>
      </c>
      <c r="AU238" s="5">
        <f t="shared" si="68"/>
        <v>50.858180699878162</v>
      </c>
      <c r="AV238" s="5">
        <f t="shared" si="69"/>
        <v>121.70664921855378</v>
      </c>
      <c r="AW238" s="5">
        <f t="shared" si="69"/>
        <v>3.8095319093111897</v>
      </c>
      <c r="AY238" s="5">
        <f>0.15*(Y238-Y237)+(1-0.15)*AY237</f>
        <v>0.59968051353496876</v>
      </c>
      <c r="AZ238" s="5">
        <f>0.25*(Y238-Y237)+(1-0.25)*AZ237</f>
        <v>0.54386161929386412</v>
      </c>
      <c r="BA238" s="5">
        <f>0.45*(Y238-Y237)+(1-0.45)*BA237</f>
        <v>0.20563285607356399</v>
      </c>
      <c r="BB238" s="5">
        <f>0.85*(Y238-Y237)+(1-0.85)*BB237</f>
        <v>0.12432862353009119</v>
      </c>
      <c r="BC238" s="5">
        <f>Y238+AY238</f>
        <v>173.78379229509434</v>
      </c>
      <c r="BD238" s="5">
        <f>Y238+AZ238</f>
        <v>173.72797340085324</v>
      </c>
      <c r="BE238" s="5">
        <f>Y238+BA238</f>
        <v>173.38974463763296</v>
      </c>
      <c r="BF238" s="5">
        <f>Y238+BB238</f>
        <v>173.30844040508947</v>
      </c>
      <c r="BG238" s="5">
        <f t="shared" si="70"/>
        <v>1.1737912950943326</v>
      </c>
      <c r="BH238" s="5">
        <f t="shared" si="71"/>
        <v>1.1179724008532332</v>
      </c>
      <c r="BI238" s="5">
        <f t="shared" si="72"/>
        <v>0.77974363763294718</v>
      </c>
      <c r="BJ238" s="5">
        <f t="shared" si="73"/>
        <v>0.69843940508945934</v>
      </c>
    </row>
    <row r="239" spans="13:62" x14ac:dyDescent="0.35">
      <c r="M239" s="2">
        <v>237</v>
      </c>
      <c r="N239" s="3">
        <v>44120</v>
      </c>
      <c r="O239" s="1">
        <v>118.81501</v>
      </c>
      <c r="P239" s="1">
        <v>174.86000100000001</v>
      </c>
      <c r="R239" s="5">
        <f t="shared" si="63"/>
        <v>117.7817547636426</v>
      </c>
      <c r="S239" s="5">
        <f t="shared" si="64"/>
        <v>120.09746786391537</v>
      </c>
      <c r="T239" s="5">
        <f t="shared" si="65"/>
        <v>120.65644720613628</v>
      </c>
      <c r="U239" s="5">
        <f t="shared" si="66"/>
        <v>120.63678477335935</v>
      </c>
      <c r="V239" s="5"/>
      <c r="W239" s="5">
        <f>0.15*P238+(1-0.15)*W238</f>
        <v>170.62658456309046</v>
      </c>
      <c r="X239" s="5">
        <f>0.35*P238+(1-0.35)*X238</f>
        <v>172.73120031978308</v>
      </c>
      <c r="Y239" s="5">
        <f>0.55*P238+(1-0.55)*Y238</f>
        <v>172.86835085170173</v>
      </c>
      <c r="Z239" s="5">
        <f>0.75*P238+(1-0.75)*Z238</f>
        <v>172.75930385730587</v>
      </c>
      <c r="AB239" s="5">
        <f t="shared" si="56"/>
        <v>0.86963358952493064</v>
      </c>
      <c r="AC239" s="5">
        <f t="shared" si="57"/>
        <v>1.0793736110575327</v>
      </c>
      <c r="AD239" s="5">
        <f t="shared" si="58"/>
        <v>1.5498355015382963</v>
      </c>
      <c r="AE239" s="5">
        <f t="shared" si="59"/>
        <v>1.5332867230826739</v>
      </c>
      <c r="AG239" s="5">
        <f>ABS((P239-W239)/P239)*100</f>
        <v>2.4210319185057938</v>
      </c>
      <c r="AH239" s="5">
        <f>ABS((P239-X239)/P239)*100</f>
        <v>1.2174314697715953</v>
      </c>
      <c r="AI239" s="5">
        <f>ABS((P239-Y239)/P239)*100</f>
        <v>1.1389969901111212</v>
      </c>
      <c r="AJ239" s="5">
        <f>ABS((P239-Z239)/P239)*100</f>
        <v>1.2013594479472436</v>
      </c>
      <c r="AL239" s="5">
        <f>0.15*(T239-T238)+(1-0.15)*AL238</f>
        <v>0.59290531626431442</v>
      </c>
      <c r="AM239" s="5">
        <f>0.25*(T239-T238)+(1-0.25)*AM238</f>
        <v>0.63289056854485537</v>
      </c>
      <c r="AN239" s="5">
        <f>0.45*(T239-T238)+(1-0.45)*AN238</f>
        <v>0.38897185488530284</v>
      </c>
      <c r="AO239" s="5">
        <f>0.85*(T239-T238)+(1-0.85)*AO238</f>
        <v>-0.1204226293546838</v>
      </c>
      <c r="AP239" s="5">
        <f>T239+AL239</f>
        <v>121.2493525224006</v>
      </c>
      <c r="AQ239" s="5">
        <f t="shared" si="60"/>
        <v>121.28933777468113</v>
      </c>
      <c r="AR239" s="5">
        <f t="shared" si="61"/>
        <v>121.04541906102158</v>
      </c>
      <c r="AS239" s="5">
        <f t="shared" si="62"/>
        <v>120.5360245767816</v>
      </c>
      <c r="AT239" s="5">
        <f t="shared" si="67"/>
        <v>2.4343425224005983</v>
      </c>
      <c r="AU239" s="5">
        <f t="shared" si="68"/>
        <v>53.570663225318881</v>
      </c>
      <c r="AV239" s="5">
        <f t="shared" si="69"/>
        <v>121.04541906102158</v>
      </c>
      <c r="AW239" s="5">
        <f t="shared" si="69"/>
        <v>2.754269813139004</v>
      </c>
      <c r="AY239" s="5">
        <f>0.15*(Y239-Y238)+(1-0.15)*AY238</f>
        <v>0.46236429702607651</v>
      </c>
      <c r="AZ239" s="5">
        <f>0.25*(Y239-Y238)+(1-0.25)*AZ238</f>
        <v>0.32895598200598658</v>
      </c>
      <c r="BA239" s="5">
        <f>0.45*(Y239-Y238)+(1-0.45)*BA238</f>
        <v>-2.8994347595480516E-2</v>
      </c>
      <c r="BB239" s="5">
        <f>0.85*(Y239-Y238)+(1-0.85)*BB238</f>
        <v>-0.24974749684948544</v>
      </c>
      <c r="BC239" s="5">
        <f>Y239+AY239</f>
        <v>173.33071514872782</v>
      </c>
      <c r="BD239" s="5">
        <f>Y239+AZ239</f>
        <v>173.19730683370773</v>
      </c>
      <c r="BE239" s="5">
        <f>Y239+BA239</f>
        <v>172.83935650410626</v>
      </c>
      <c r="BF239" s="5">
        <f>Y239+BB239</f>
        <v>172.61860335485224</v>
      </c>
      <c r="BG239" s="5">
        <f t="shared" si="70"/>
        <v>1.5292858512721921</v>
      </c>
      <c r="BH239" s="5">
        <f t="shared" si="71"/>
        <v>1.6626941662922832</v>
      </c>
      <c r="BI239" s="5">
        <f t="shared" si="72"/>
        <v>2.0206444958937482</v>
      </c>
      <c r="BJ239" s="5">
        <f t="shared" si="73"/>
        <v>2.2413976451477708</v>
      </c>
    </row>
    <row r="240" spans="13:62" x14ac:dyDescent="0.35">
      <c r="M240" s="2">
        <v>238</v>
      </c>
      <c r="N240" s="3">
        <v>44123</v>
      </c>
      <c r="O240" s="1">
        <v>115.78025100000001</v>
      </c>
      <c r="P240" s="1">
        <v>171.58999600000001</v>
      </c>
      <c r="R240" s="5">
        <f t="shared" si="63"/>
        <v>117.93674304909621</v>
      </c>
      <c r="S240" s="5">
        <f t="shared" si="64"/>
        <v>119.648607611545</v>
      </c>
      <c r="T240" s="5">
        <f t="shared" si="65"/>
        <v>119.64365674276132</v>
      </c>
      <c r="U240" s="5">
        <f t="shared" si="66"/>
        <v>119.27045369333983</v>
      </c>
      <c r="V240" s="5"/>
      <c r="W240" s="5">
        <f>0.15*P239+(1-0.15)*W239</f>
        <v>171.26159702862688</v>
      </c>
      <c r="X240" s="5">
        <f>0.35*P239+(1-0.35)*X239</f>
        <v>173.47628055785901</v>
      </c>
      <c r="Y240" s="5">
        <f>0.55*P239+(1-0.55)*Y239</f>
        <v>173.96375843326578</v>
      </c>
      <c r="Z240" s="5">
        <f>0.75*P239+(1-0.75)*Z239</f>
        <v>174.33482671432648</v>
      </c>
      <c r="AB240" s="5">
        <f t="shared" si="56"/>
        <v>1.8625733063026446</v>
      </c>
      <c r="AC240" s="5">
        <f t="shared" si="57"/>
        <v>3.3411195589349658</v>
      </c>
      <c r="AD240" s="5">
        <f t="shared" si="58"/>
        <v>3.3368434680292025</v>
      </c>
      <c r="AE240" s="5">
        <f t="shared" si="59"/>
        <v>3.0145060692084908</v>
      </c>
      <c r="AG240" s="5">
        <f>ABS((P240-W240)/P240)*100</f>
        <v>0.19138584942512207</v>
      </c>
      <c r="AH240" s="5">
        <f>ABS((P240-X240)/P240)*100</f>
        <v>1.099297512577015</v>
      </c>
      <c r="AI240" s="5">
        <f>ABS((P240-Y240)/P240)*100</f>
        <v>1.3833920907986776</v>
      </c>
      <c r="AJ240" s="5">
        <f>ABS((P240-Z240)/P240)*100</f>
        <v>1.5996449550161818</v>
      </c>
      <c r="AL240" s="5">
        <f>0.15*(T240-T239)+(1-0.15)*AL239</f>
        <v>0.35205094931842396</v>
      </c>
      <c r="AM240" s="5">
        <f>0.25*(T240-T239)+(1-0.25)*AM239</f>
        <v>0.22147031056490274</v>
      </c>
      <c r="AN240" s="5">
        <f>0.45*(T240-T239)+(1-0.45)*AN239</f>
        <v>-0.24182118833181324</v>
      </c>
      <c r="AO240" s="5">
        <f>0.85*(T240-T239)+(1-0.85)*AO239</f>
        <v>-0.87893528827191447</v>
      </c>
      <c r="AP240" s="5">
        <f>T240+AL240</f>
        <v>119.99570769207975</v>
      </c>
      <c r="AQ240" s="5">
        <f t="shared" si="60"/>
        <v>119.86512705332622</v>
      </c>
      <c r="AR240" s="5">
        <f t="shared" si="61"/>
        <v>119.40183555442951</v>
      </c>
      <c r="AS240" s="5">
        <f t="shared" si="62"/>
        <v>118.7647214544894</v>
      </c>
      <c r="AT240" s="5">
        <f t="shared" si="67"/>
        <v>4.2154566920797407</v>
      </c>
      <c r="AU240" s="5">
        <f t="shared" si="68"/>
        <v>51.724868946673794</v>
      </c>
      <c r="AV240" s="5">
        <f t="shared" si="69"/>
        <v>119.40183555442951</v>
      </c>
      <c r="AW240" s="5">
        <f t="shared" si="69"/>
        <v>0.82797840539319623</v>
      </c>
      <c r="AY240" s="5">
        <f>0.15*(Y240-Y239)+(1-0.15)*AY239</f>
        <v>0.55732078970677201</v>
      </c>
      <c r="AZ240" s="5">
        <f>0.25*(Y240-Y239)+(1-0.25)*AZ239</f>
        <v>0.52056888189550155</v>
      </c>
      <c r="BA240" s="5">
        <f>0.45*(Y240-Y239)+(1-0.45)*BA239</f>
        <v>0.47698652052630663</v>
      </c>
      <c r="BB240" s="5">
        <f>0.85*(Y240-Y239)+(1-0.85)*BB239</f>
        <v>0.89363431980201669</v>
      </c>
      <c r="BC240" s="5">
        <f>Y240+AY240</f>
        <v>174.52107922297256</v>
      </c>
      <c r="BD240" s="5">
        <f>Y240+AZ240</f>
        <v>174.48432731516129</v>
      </c>
      <c r="BE240" s="5">
        <f>Y240+BA240</f>
        <v>174.44074495379209</v>
      </c>
      <c r="BF240" s="5">
        <f>Y240+BB240</f>
        <v>174.85739275306778</v>
      </c>
      <c r="BG240" s="5">
        <f t="shared" si="70"/>
        <v>2.9310832229725463</v>
      </c>
      <c r="BH240" s="5">
        <f t="shared" si="71"/>
        <v>2.8943313151612813</v>
      </c>
      <c r="BI240" s="5">
        <f t="shared" si="72"/>
        <v>2.8507489537920776</v>
      </c>
      <c r="BJ240" s="5">
        <f t="shared" si="73"/>
        <v>3.2673967530677714</v>
      </c>
    </row>
    <row r="241" spans="13:62" x14ac:dyDescent="0.35">
      <c r="M241" s="2">
        <v>239</v>
      </c>
      <c r="N241" s="3">
        <v>44124</v>
      </c>
      <c r="O241" s="1">
        <v>117.30761699999999</v>
      </c>
      <c r="P241" s="1">
        <v>173.259995</v>
      </c>
      <c r="R241" s="5">
        <f t="shared" si="63"/>
        <v>117.61326924173177</v>
      </c>
      <c r="S241" s="5">
        <f t="shared" si="64"/>
        <v>118.29468279750427</v>
      </c>
      <c r="T241" s="5">
        <f t="shared" si="65"/>
        <v>117.5187835842426</v>
      </c>
      <c r="U241" s="5">
        <f t="shared" si="66"/>
        <v>116.65280167333496</v>
      </c>
      <c r="V241" s="5"/>
      <c r="W241" s="5">
        <f>0.15*P240+(1-0.15)*W240</f>
        <v>171.31085687433284</v>
      </c>
      <c r="X241" s="5">
        <f>0.35*P240+(1-0.35)*X240</f>
        <v>172.81608096260834</v>
      </c>
      <c r="Y241" s="5">
        <f>0.55*P240+(1-0.55)*Y240</f>
        <v>172.6581890949696</v>
      </c>
      <c r="Z241" s="5">
        <f>0.75*P240+(1-0.75)*Z240</f>
        <v>172.27620367858162</v>
      </c>
      <c r="AB241" s="5">
        <f t="shared" si="56"/>
        <v>0.26055617661364477</v>
      </c>
      <c r="AC241" s="5">
        <f t="shared" si="57"/>
        <v>0.84143367902893462</v>
      </c>
      <c r="AD241" s="5">
        <f t="shared" si="58"/>
        <v>0.18001097425975754</v>
      </c>
      <c r="AE241" s="5">
        <f t="shared" si="59"/>
        <v>0.55820358763662403</v>
      </c>
      <c r="AG241" s="5">
        <f>ABS((P241-W241)/P241)*100</f>
        <v>1.1249787498072834</v>
      </c>
      <c r="AH241" s="5">
        <f>ABS((P241-X241)/P241)*100</f>
        <v>0.25621265739483851</v>
      </c>
      <c r="AI241" s="5">
        <f>ABS((P241-Y241)/P241)*100</f>
        <v>0.34734267713121153</v>
      </c>
      <c r="AJ241" s="5">
        <f>ABS((P241-Z241)/P241)*100</f>
        <v>0.56781216080398711</v>
      </c>
      <c r="AL241" s="5">
        <f>0.15*(T241-T240)+(1-0.15)*AL240</f>
        <v>-1.9487666857148256E-2</v>
      </c>
      <c r="AM241" s="5">
        <f>0.25*(T241-T240)+(1-0.25)*AM240</f>
        <v>-0.36511555670600404</v>
      </c>
      <c r="AN241" s="5">
        <f>0.45*(T241-T240)+(1-0.45)*AN240</f>
        <v>-1.0891945749159233</v>
      </c>
      <c r="AO241" s="5">
        <f>0.85*(T241-T240)+(1-0.85)*AO240</f>
        <v>-1.9379824779817028</v>
      </c>
      <c r="AP241" s="5">
        <f>T241+AL241</f>
        <v>117.49929591738545</v>
      </c>
      <c r="AQ241" s="5">
        <f t="shared" si="60"/>
        <v>117.1536680275366</v>
      </c>
      <c r="AR241" s="5">
        <f t="shared" si="61"/>
        <v>116.42958900932668</v>
      </c>
      <c r="AS241" s="5">
        <f t="shared" si="62"/>
        <v>115.58080110626089</v>
      </c>
      <c r="AT241" s="5">
        <f t="shared" si="67"/>
        <v>0.19167891738545961</v>
      </c>
      <c r="AU241" s="5">
        <f t="shared" si="68"/>
        <v>56.106326972463407</v>
      </c>
      <c r="AV241" s="5">
        <f t="shared" si="69"/>
        <v>116.42958900932668</v>
      </c>
      <c r="AW241" s="5">
        <f t="shared" si="69"/>
        <v>2.0324681354708787</v>
      </c>
      <c r="AY241" s="5">
        <f>0.15*(Y241-Y240)+(1-0.15)*AY240</f>
        <v>0.27788727050632911</v>
      </c>
      <c r="AZ241" s="5">
        <f>0.25*(Y241-Y240)+(1-0.25)*AZ240</f>
        <v>6.4034326847581036E-2</v>
      </c>
      <c r="BA241" s="5">
        <f>0.45*(Y241-Y240)+(1-0.45)*BA240</f>
        <v>-0.32516361594381266</v>
      </c>
      <c r="BB241" s="5">
        <f>0.85*(Y241-Y240)+(1-0.85)*BB240</f>
        <v>-0.97568878958145089</v>
      </c>
      <c r="BC241" s="5">
        <f>Y241+AY241</f>
        <v>172.93607636547594</v>
      </c>
      <c r="BD241" s="5">
        <f>Y241+AZ241</f>
        <v>172.72222342181718</v>
      </c>
      <c r="BE241" s="5">
        <f>Y241+BA241</f>
        <v>172.33302547902579</v>
      </c>
      <c r="BF241" s="5">
        <f>Y241+BB241</f>
        <v>171.68250030538815</v>
      </c>
      <c r="BG241" s="5">
        <f t="shared" si="70"/>
        <v>0.32391863452406255</v>
      </c>
      <c r="BH241" s="5">
        <f t="shared" si="71"/>
        <v>0.53777157818282717</v>
      </c>
      <c r="BI241" s="5">
        <f t="shared" si="72"/>
        <v>0.92696952097421104</v>
      </c>
      <c r="BJ241" s="5">
        <f t="shared" si="73"/>
        <v>1.5774946946118575</v>
      </c>
    </row>
    <row r="242" spans="13:62" x14ac:dyDescent="0.35">
      <c r="M242" s="2">
        <v>240</v>
      </c>
      <c r="N242" s="3">
        <v>44125</v>
      </c>
      <c r="O242" s="1">
        <v>116.668724</v>
      </c>
      <c r="P242" s="1">
        <v>172.86999499999999</v>
      </c>
      <c r="R242" s="5">
        <f t="shared" si="63"/>
        <v>117.567421405472</v>
      </c>
      <c r="S242" s="5">
        <f t="shared" si="64"/>
        <v>117.94920976837776</v>
      </c>
      <c r="T242" s="5">
        <f t="shared" si="65"/>
        <v>117.40264196290917</v>
      </c>
      <c r="U242" s="5">
        <f t="shared" si="66"/>
        <v>117.14391316833374</v>
      </c>
      <c r="V242" s="5"/>
      <c r="W242" s="5">
        <f>0.15*P241+(1-0.15)*W241</f>
        <v>171.60322759318291</v>
      </c>
      <c r="X242" s="5">
        <f>0.35*P241+(1-0.35)*X241</f>
        <v>172.97145087569544</v>
      </c>
      <c r="Y242" s="5">
        <f>0.55*P241+(1-0.55)*Y241</f>
        <v>172.98918234273634</v>
      </c>
      <c r="Z242" s="5">
        <f>0.75*P241+(1-0.75)*Z241</f>
        <v>173.01404716964541</v>
      </c>
      <c r="AB242" s="5">
        <f t="shared" si="56"/>
        <v>0.7702984781696991</v>
      </c>
      <c r="AC242" s="5">
        <f t="shared" si="57"/>
        <v>1.0975398757063275</v>
      </c>
      <c r="AD242" s="5">
        <f t="shared" si="58"/>
        <v>0.62906144658715435</v>
      </c>
      <c r="AE242" s="5">
        <f t="shared" si="59"/>
        <v>0.4072978190228102</v>
      </c>
      <c r="AG242" s="5">
        <f>ABS((P242-W242)/P242)*100</f>
        <v>0.73278616501208393</v>
      </c>
      <c r="AH242" s="5">
        <f>ABS((P242-X242)/P242)*100</f>
        <v>5.8689118198591961E-2</v>
      </c>
      <c r="AI242" s="5">
        <f>ABS((P242-Y242)/P242)*100</f>
        <v>6.8946229064421063E-2</v>
      </c>
      <c r="AJ242" s="5">
        <f>ABS((P242-Z242)/P242)*100</f>
        <v>8.3329770238854808E-2</v>
      </c>
      <c r="AL242" s="5">
        <f>0.15*(T242-T241)+(1-0.15)*AL241</f>
        <v>-3.3985760028589967E-2</v>
      </c>
      <c r="AM242" s="5">
        <f>0.25*(T242-T241)+(1-0.25)*AM241</f>
        <v>-0.30287207286285961</v>
      </c>
      <c r="AN242" s="5">
        <f>0.45*(T242-T241)+(1-0.45)*AN241</f>
        <v>-0.65132074580379973</v>
      </c>
      <c r="AO242" s="5">
        <f>0.85*(T242-T241)+(1-0.85)*AO241</f>
        <v>-0.38941774983066779</v>
      </c>
      <c r="AP242" s="5">
        <f>T242+AL242</f>
        <v>117.36865620288059</v>
      </c>
      <c r="AQ242" s="5">
        <f t="shared" si="60"/>
        <v>117.09976989004632</v>
      </c>
      <c r="AR242" s="5">
        <f t="shared" si="61"/>
        <v>116.75132121710537</v>
      </c>
      <c r="AS242" s="5">
        <f t="shared" si="62"/>
        <v>117.0132242130785</v>
      </c>
      <c r="AT242" s="5">
        <f t="shared" si="67"/>
        <v>0.69993220288058922</v>
      </c>
      <c r="AU242" s="5">
        <f t="shared" si="68"/>
        <v>55.770225109953671</v>
      </c>
      <c r="AV242" s="5">
        <f t="shared" si="69"/>
        <v>116.75132121710537</v>
      </c>
      <c r="AW242" s="5">
        <f t="shared" si="69"/>
        <v>0.55419719239350229</v>
      </c>
      <c r="AY242" s="5">
        <f>0.15*(Y242-Y241)+(1-0.15)*AY241</f>
        <v>0.28585316709539099</v>
      </c>
      <c r="AZ242" s="5">
        <f>0.25*(Y242-Y241)+(1-0.25)*AZ241</f>
        <v>0.13077405707737119</v>
      </c>
      <c r="BA242" s="5">
        <f>0.45*(Y242-Y241)+(1-0.45)*BA241</f>
        <v>-2.9893027274063233E-2</v>
      </c>
      <c r="BB242" s="5">
        <f>0.85*(Y242-Y241)+(1-0.85)*BB241</f>
        <v>0.13499094216451274</v>
      </c>
      <c r="BC242" s="5">
        <f>Y242+AY242</f>
        <v>173.27503550983172</v>
      </c>
      <c r="BD242" s="5">
        <f>Y242+AZ242</f>
        <v>173.1199563998137</v>
      </c>
      <c r="BE242" s="5">
        <f>Y242+BA242</f>
        <v>172.95928931546229</v>
      </c>
      <c r="BF242" s="5">
        <f>Y242+BB242</f>
        <v>173.12417328490085</v>
      </c>
      <c r="BG242" s="5">
        <f t="shared" si="70"/>
        <v>0.40504050983173556</v>
      </c>
      <c r="BH242" s="5">
        <f t="shared" si="71"/>
        <v>0.24996139981371357</v>
      </c>
      <c r="BI242" s="5">
        <f t="shared" si="72"/>
        <v>8.9294315462296936E-2</v>
      </c>
      <c r="BJ242" s="5">
        <f t="shared" si="73"/>
        <v>0.25417828490085981</v>
      </c>
    </row>
    <row r="243" spans="13:62" x14ac:dyDescent="0.35">
      <c r="M243" s="2">
        <v>241</v>
      </c>
      <c r="N243" s="3">
        <v>44126</v>
      </c>
      <c r="O243" s="1">
        <v>115.55064400000001</v>
      </c>
      <c r="P243" s="1">
        <v>176.85000600000001</v>
      </c>
      <c r="R243" s="5">
        <f t="shared" si="63"/>
        <v>117.4326167946512</v>
      </c>
      <c r="S243" s="5">
        <f t="shared" si="64"/>
        <v>117.50103974944554</v>
      </c>
      <c r="T243" s="5">
        <f t="shared" si="65"/>
        <v>116.99898708330913</v>
      </c>
      <c r="U243" s="5">
        <f t="shared" si="66"/>
        <v>116.78752129208343</v>
      </c>
      <c r="V243" s="5"/>
      <c r="W243" s="5">
        <f>0.15*P242+(1-0.15)*W242</f>
        <v>171.79324270420545</v>
      </c>
      <c r="X243" s="5">
        <f>0.35*P242+(1-0.35)*X242</f>
        <v>172.93594131920202</v>
      </c>
      <c r="Y243" s="5">
        <f>0.55*P242+(1-0.55)*Y242</f>
        <v>172.92362930423133</v>
      </c>
      <c r="Z243" s="5">
        <f>0.75*P242+(1-0.75)*Z242</f>
        <v>172.90600804241134</v>
      </c>
      <c r="AB243" s="5">
        <f t="shared" si="56"/>
        <v>1.628699529057744</v>
      </c>
      <c r="AC243" s="5">
        <f t="shared" si="57"/>
        <v>1.6879142183279683</v>
      </c>
      <c r="AD243" s="5">
        <f t="shared" si="58"/>
        <v>1.2534270975669561</v>
      </c>
      <c r="AE243" s="5">
        <f t="shared" si="59"/>
        <v>1.0704200766578333</v>
      </c>
      <c r="AG243" s="5">
        <f>ABS((P243-W243)/P243)*100</f>
        <v>2.8593514980115713</v>
      </c>
      <c r="AH243" s="5">
        <f>ABS((P243-X243)/P243)*100</f>
        <v>2.2132115057988697</v>
      </c>
      <c r="AI243" s="5">
        <f>ABS((P243-Y243)/P243)*100</f>
        <v>2.2201733460889344</v>
      </c>
      <c r="AJ243" s="5">
        <f>ABS((P243-Z243)/P243)*100</f>
        <v>2.2301373049366275</v>
      </c>
      <c r="AL243" s="5">
        <f>0.15*(T243-T242)+(1-0.15)*AL242</f>
        <v>-8.9436127964307513E-2</v>
      </c>
      <c r="AM243" s="5">
        <f>0.25*(T243-T242)+(1-0.25)*AM242</f>
        <v>-0.3280677745471548</v>
      </c>
      <c r="AN243" s="5">
        <f>0.45*(T243-T242)+(1-0.45)*AN242</f>
        <v>-0.53987110601210808</v>
      </c>
      <c r="AO243" s="5">
        <f>0.85*(T243-T242)+(1-0.85)*AO242</f>
        <v>-0.40151931013463443</v>
      </c>
      <c r="AP243" s="5">
        <f>T243+AL243</f>
        <v>116.90955095534483</v>
      </c>
      <c r="AQ243" s="5">
        <f t="shared" si="60"/>
        <v>116.67091930876198</v>
      </c>
      <c r="AR243" s="5">
        <f t="shared" si="61"/>
        <v>116.45911597729702</v>
      </c>
      <c r="AS243" s="5">
        <f t="shared" si="62"/>
        <v>116.5974677731745</v>
      </c>
      <c r="AT243" s="5">
        <f t="shared" si="67"/>
        <v>1.3589069553448212</v>
      </c>
      <c r="AU243" s="5">
        <f t="shared" si="68"/>
        <v>60.179086691238027</v>
      </c>
      <c r="AV243" s="5">
        <f t="shared" si="69"/>
        <v>116.45911597729702</v>
      </c>
      <c r="AW243" s="5">
        <f t="shared" si="69"/>
        <v>0.83514902147669545</v>
      </c>
      <c r="AY243" s="5">
        <f>0.15*(Y243-Y242)+(1-0.15)*AY242</f>
        <v>0.23314223625533001</v>
      </c>
      <c r="AZ243" s="5">
        <f>0.25*(Y243-Y242)+(1-0.25)*AZ242</f>
        <v>8.1692283181774489E-2</v>
      </c>
      <c r="BA243" s="5">
        <f>0.45*(Y243-Y242)+(1-0.45)*BA242</f>
        <v>-4.5940032327991799E-2</v>
      </c>
      <c r="BB243" s="5">
        <f>0.85*(Y243-Y242)+(1-0.85)*BB242</f>
        <v>-3.5471441404586336E-2</v>
      </c>
      <c r="BC243" s="5">
        <f>Y243+AY243</f>
        <v>173.15677154048666</v>
      </c>
      <c r="BD243" s="5">
        <f>Y243+AZ243</f>
        <v>173.00532158741311</v>
      </c>
      <c r="BE243" s="5">
        <f>Y243+BA243</f>
        <v>172.87768927190334</v>
      </c>
      <c r="BF243" s="5">
        <f>Y243+BB243</f>
        <v>172.88815786282674</v>
      </c>
      <c r="BG243" s="5">
        <f t="shared" si="70"/>
        <v>3.6932344595133486</v>
      </c>
      <c r="BH243" s="5">
        <f t="shared" si="71"/>
        <v>3.8446844125869006</v>
      </c>
      <c r="BI243" s="5">
        <f t="shared" si="72"/>
        <v>3.972316728096672</v>
      </c>
      <c r="BJ243" s="5">
        <f t="shared" si="73"/>
        <v>3.9618481371732628</v>
      </c>
    </row>
    <row r="244" spans="13:62" x14ac:dyDescent="0.35">
      <c r="M244" s="2">
        <v>242</v>
      </c>
      <c r="N244" s="3">
        <v>44127</v>
      </c>
      <c r="O244" s="1">
        <v>114.84187300000001</v>
      </c>
      <c r="P244" s="1">
        <v>175.53999300000001</v>
      </c>
      <c r="R244" s="5">
        <f t="shared" si="63"/>
        <v>117.15032087545352</v>
      </c>
      <c r="S244" s="5">
        <f t="shared" si="64"/>
        <v>116.8184012371396</v>
      </c>
      <c r="T244" s="5">
        <f t="shared" si="65"/>
        <v>116.20239838748911</v>
      </c>
      <c r="U244" s="5">
        <f t="shared" si="66"/>
        <v>115.85986332302085</v>
      </c>
      <c r="V244" s="5"/>
      <c r="W244" s="5">
        <f>0.15*P243+(1-0.15)*W243</f>
        <v>172.55175719857465</v>
      </c>
      <c r="X244" s="5">
        <f>0.35*P243+(1-0.35)*X243</f>
        <v>174.30586395748131</v>
      </c>
      <c r="Y244" s="5">
        <f>0.55*P243+(1-0.55)*Y243</f>
        <v>175.0831364869041</v>
      </c>
      <c r="Z244" s="5">
        <f>0.75*P243+(1-0.75)*Z243</f>
        <v>175.86400651060285</v>
      </c>
      <c r="AB244" s="5">
        <f t="shared" si="56"/>
        <v>2.0101099147464354</v>
      </c>
      <c r="AC244" s="5">
        <f t="shared" si="57"/>
        <v>1.7210867303945745</v>
      </c>
      <c r="AD244" s="5">
        <f t="shared" si="58"/>
        <v>1.1846945299203755</v>
      </c>
      <c r="AE244" s="5">
        <f t="shared" si="59"/>
        <v>0.88642783022255256</v>
      </c>
      <c r="AG244" s="5">
        <f>ABS((P244-W244)/P244)*100</f>
        <v>1.7023105392429638</v>
      </c>
      <c r="AH244" s="5">
        <f>ABS((P244-X244)/P244)*100</f>
        <v>0.70304722099351036</v>
      </c>
      <c r="AI244" s="5">
        <f>ABS((P244-Y244)/P244)*100</f>
        <v>0.26025779384411524</v>
      </c>
      <c r="AJ244" s="5">
        <f>ABS((P244-Z244)/P244)*100</f>
        <v>0.18458102057850656</v>
      </c>
      <c r="AL244" s="5">
        <f>0.15*(T244-T243)+(1-0.15)*AL243</f>
        <v>-0.19550901314266439</v>
      </c>
      <c r="AM244" s="5">
        <f>0.25*(T244-T243)+(1-0.25)*AM243</f>
        <v>-0.44519800486537114</v>
      </c>
      <c r="AN244" s="5">
        <f>0.45*(T244-T243)+(1-0.45)*AN243</f>
        <v>-0.6553940214256686</v>
      </c>
      <c r="AO244" s="5">
        <f>0.85*(T244-T243)+(1-0.85)*AO243</f>
        <v>-0.73732828796721228</v>
      </c>
      <c r="AP244" s="5">
        <f>T244+AL244</f>
        <v>116.00688937434644</v>
      </c>
      <c r="AQ244" s="5">
        <f t="shared" si="60"/>
        <v>115.75720038262374</v>
      </c>
      <c r="AR244" s="5">
        <f t="shared" si="61"/>
        <v>115.54700436606345</v>
      </c>
      <c r="AS244" s="5">
        <f t="shared" si="62"/>
        <v>115.4650700995219</v>
      </c>
      <c r="AT244" s="5">
        <f t="shared" si="67"/>
        <v>1.1650163743464361</v>
      </c>
      <c r="AU244" s="5">
        <f t="shared" si="68"/>
        <v>59.782792617376273</v>
      </c>
      <c r="AV244" s="5">
        <f t="shared" si="69"/>
        <v>115.54700436606345</v>
      </c>
      <c r="AW244" s="5">
        <f t="shared" si="69"/>
        <v>1.6852507759316211</v>
      </c>
      <c r="AY244" s="5">
        <f>0.15*(Y244-Y243)+(1-0.15)*AY243</f>
        <v>0.52209697821794587</v>
      </c>
      <c r="AZ244" s="5">
        <f>0.25*(Y244-Y243)+(1-0.25)*AZ243</f>
        <v>0.60114600805452312</v>
      </c>
      <c r="BA244" s="5">
        <f>0.45*(Y244-Y243)+(1-0.45)*BA243</f>
        <v>0.94651121442235053</v>
      </c>
      <c r="BB244" s="5">
        <f>0.85*(Y244-Y243)+(1-0.85)*BB243</f>
        <v>1.8302603890611657</v>
      </c>
      <c r="BC244" s="5">
        <f>Y244+AY244</f>
        <v>175.60523346512204</v>
      </c>
      <c r="BD244" s="5">
        <f>Y244+AZ244</f>
        <v>175.68428249495861</v>
      </c>
      <c r="BE244" s="5">
        <f>Y244+BA244</f>
        <v>176.02964770132644</v>
      </c>
      <c r="BF244" s="5">
        <f>Y244+BB244</f>
        <v>176.91339687596525</v>
      </c>
      <c r="BG244" s="5">
        <f t="shared" si="70"/>
        <v>6.5240465122030855E-2</v>
      </c>
      <c r="BH244" s="5">
        <f t="shared" si="71"/>
        <v>0.14428949495859911</v>
      </c>
      <c r="BI244" s="5">
        <f t="shared" si="72"/>
        <v>0.48965470132642963</v>
      </c>
      <c r="BJ244" s="5">
        <f t="shared" si="73"/>
        <v>1.3734038759652378</v>
      </c>
    </row>
    <row r="245" spans="13:62" x14ac:dyDescent="0.35">
      <c r="M245" s="2">
        <v>243</v>
      </c>
      <c r="N245" s="3">
        <v>44130</v>
      </c>
      <c r="O245" s="1">
        <v>114.85185199999999</v>
      </c>
      <c r="P245" s="1">
        <v>170.16999799999999</v>
      </c>
      <c r="R245" s="5">
        <f t="shared" si="63"/>
        <v>116.80405369413549</v>
      </c>
      <c r="S245" s="5">
        <f t="shared" si="64"/>
        <v>116.12661635414074</v>
      </c>
      <c r="T245" s="5">
        <f t="shared" si="65"/>
        <v>115.4541094243701</v>
      </c>
      <c r="U245" s="5">
        <f t="shared" si="66"/>
        <v>115.09637058075521</v>
      </c>
      <c r="V245" s="5"/>
      <c r="W245" s="5">
        <f>0.15*P244+(1-0.15)*W244</f>
        <v>172.99999256878846</v>
      </c>
      <c r="X245" s="5">
        <f>0.35*P244+(1-0.35)*X244</f>
        <v>174.73780912236285</v>
      </c>
      <c r="Y245" s="5">
        <f>0.55*P244+(1-0.55)*Y244</f>
        <v>175.33440756910684</v>
      </c>
      <c r="Z245" s="5">
        <f>0.75*P244+(1-0.75)*Z244</f>
        <v>175.62099637765073</v>
      </c>
      <c r="AB245" s="5">
        <f t="shared" si="56"/>
        <v>1.6997563906374764</v>
      </c>
      <c r="AC245" s="5">
        <f t="shared" si="57"/>
        <v>1.1099205906934289</v>
      </c>
      <c r="AD245" s="5">
        <f t="shared" si="58"/>
        <v>0.52437763421534445</v>
      </c>
      <c r="AE245" s="5">
        <f t="shared" si="59"/>
        <v>0.21289911873185308</v>
      </c>
      <c r="AG245" s="5">
        <f>ABS((P245-W245)/P245)*100</f>
        <v>1.6630396674203785</v>
      </c>
      <c r="AH245" s="5">
        <f>ABS((P245-X245)/P245)*100</f>
        <v>2.6842634871294146</v>
      </c>
      <c r="AI245" s="5">
        <f>ABS((P245-Y245)/P245)*100</f>
        <v>3.0348531643673473</v>
      </c>
      <c r="AJ245" s="5">
        <f>ABS((P245-Z245)/P245)*100</f>
        <v>3.2032664051924913</v>
      </c>
      <c r="AL245" s="5">
        <f>0.15*(T245-T244)+(1-0.15)*AL244</f>
        <v>-0.27842600563911607</v>
      </c>
      <c r="AM245" s="5">
        <f>0.25*(T245-T244)+(1-0.25)*AM244</f>
        <v>-0.52097074442878055</v>
      </c>
      <c r="AN245" s="5">
        <f>0.45*(T245-T244)+(1-0.45)*AN244</f>
        <v>-0.69719674518767183</v>
      </c>
      <c r="AO245" s="5">
        <f>0.85*(T245-T244)+(1-0.85)*AO244</f>
        <v>-0.74664486184623957</v>
      </c>
      <c r="AP245" s="5">
        <f>T245+AL245</f>
        <v>115.17568341873098</v>
      </c>
      <c r="AQ245" s="5">
        <f t="shared" si="60"/>
        <v>114.93313867994132</v>
      </c>
      <c r="AR245" s="5">
        <f t="shared" si="61"/>
        <v>114.75691267918243</v>
      </c>
      <c r="AS245" s="5">
        <f t="shared" si="62"/>
        <v>114.70746456252387</v>
      </c>
      <c r="AT245" s="5">
        <f t="shared" si="67"/>
        <v>0.32383141873098964</v>
      </c>
      <c r="AU245" s="5">
        <f t="shared" si="68"/>
        <v>55.23685932005867</v>
      </c>
      <c r="AV245" s="5">
        <f t="shared" si="69"/>
        <v>114.75691267918243</v>
      </c>
      <c r="AW245" s="5">
        <f t="shared" si="69"/>
        <v>2.0965891316116227</v>
      </c>
      <c r="AY245" s="5">
        <f>0.15*(Y245-Y244)+(1-0.15)*AY244</f>
        <v>0.48147309381566628</v>
      </c>
      <c r="AZ245" s="5">
        <f>0.25*(Y245-Y244)+(1-0.25)*AZ244</f>
        <v>0.51367727659157947</v>
      </c>
      <c r="BA245" s="5">
        <f>0.45*(Y245-Y244)+(1-0.45)*BA244</f>
        <v>0.63365315492352969</v>
      </c>
      <c r="BB245" s="5">
        <f>0.85*(Y245-Y244)+(1-0.85)*BB244</f>
        <v>0.48811947823151125</v>
      </c>
      <c r="BC245" s="5">
        <f>Y245+AY245</f>
        <v>175.81588066292252</v>
      </c>
      <c r="BD245" s="5">
        <f>Y245+AZ245</f>
        <v>175.84808484569842</v>
      </c>
      <c r="BE245" s="5">
        <f>Y245+BA245</f>
        <v>175.96806072403038</v>
      </c>
      <c r="BF245" s="5">
        <f>Y245+BB245</f>
        <v>175.82252704733835</v>
      </c>
      <c r="BG245" s="5">
        <f t="shared" si="70"/>
        <v>5.6458826629225314</v>
      </c>
      <c r="BH245" s="5">
        <f t="shared" si="71"/>
        <v>5.6780868456984308</v>
      </c>
      <c r="BI245" s="5">
        <f t="shared" si="72"/>
        <v>5.7980627240303875</v>
      </c>
      <c r="BJ245" s="5">
        <f t="shared" si="73"/>
        <v>5.652529047338362</v>
      </c>
    </row>
    <row r="246" spans="13:62" x14ac:dyDescent="0.35">
      <c r="M246" s="2">
        <v>244</v>
      </c>
      <c r="N246" s="3">
        <v>44131</v>
      </c>
      <c r="O246" s="1">
        <v>116.39917800000001</v>
      </c>
      <c r="P246" s="1">
        <v>166.75</v>
      </c>
      <c r="R246" s="5">
        <f t="shared" si="63"/>
        <v>116.51122344001516</v>
      </c>
      <c r="S246" s="5">
        <f t="shared" si="64"/>
        <v>115.68044883019147</v>
      </c>
      <c r="T246" s="5">
        <f t="shared" si="65"/>
        <v>115.12286784096653</v>
      </c>
      <c r="U246" s="5">
        <f t="shared" si="66"/>
        <v>114.91298164518879</v>
      </c>
      <c r="V246" s="5"/>
      <c r="W246" s="5">
        <f>0.15*P245+(1-0.15)*W245</f>
        <v>172.57549338347019</v>
      </c>
      <c r="X246" s="5">
        <f>0.35*P245+(1-0.35)*X245</f>
        <v>173.13907522953585</v>
      </c>
      <c r="Y246" s="5">
        <f>0.55*P245+(1-0.55)*Y245</f>
        <v>172.49398230609808</v>
      </c>
      <c r="Z246" s="5">
        <f>0.75*P245+(1-0.75)*Z245</f>
        <v>171.53274759441268</v>
      </c>
      <c r="AB246" s="5">
        <f t="shared" si="56"/>
        <v>9.6259648856928864E-2</v>
      </c>
      <c r="AC246" s="5">
        <f t="shared" si="57"/>
        <v>0.61746928299488524</v>
      </c>
      <c r="AD246" s="5">
        <f t="shared" si="58"/>
        <v>1.096494134205545</v>
      </c>
      <c r="AE246" s="5">
        <f t="shared" si="59"/>
        <v>1.276810008753853</v>
      </c>
      <c r="AG246" s="5">
        <f>ABS((P246-W246)/P246)*100</f>
        <v>3.4935492554543859</v>
      </c>
      <c r="AH246" s="5">
        <f>ABS((P246-X246)/P246)*100</f>
        <v>3.8315293730349911</v>
      </c>
      <c r="AI246" s="5">
        <f>ABS((P246-Y246)/P246)*100</f>
        <v>3.4446670501337784</v>
      </c>
      <c r="AJ246" s="5">
        <f>ABS((P246-Z246)/P246)*100</f>
        <v>2.8682144494228985</v>
      </c>
      <c r="AL246" s="5">
        <f>0.15*(T246-T245)+(1-0.15)*AL245</f>
        <v>-0.28634834230378381</v>
      </c>
      <c r="AM246" s="5">
        <f>0.25*(T246-T245)+(1-0.25)*AM245</f>
        <v>-0.47353845417247731</v>
      </c>
      <c r="AN246" s="5">
        <f>0.45*(T246-T245)+(1-0.45)*AN245</f>
        <v>-0.53251692238482495</v>
      </c>
      <c r="AO246" s="5">
        <f>0.85*(T246-T245)+(1-0.85)*AO245</f>
        <v>-0.39355207516996837</v>
      </c>
      <c r="AP246" s="5">
        <f>T246+AL246</f>
        <v>114.83651949866275</v>
      </c>
      <c r="AQ246" s="5">
        <f t="shared" si="60"/>
        <v>114.64932938679405</v>
      </c>
      <c r="AR246" s="5">
        <f t="shared" si="61"/>
        <v>114.59035091858171</v>
      </c>
      <c r="AS246" s="5">
        <f t="shared" si="62"/>
        <v>114.72931576579657</v>
      </c>
      <c r="AT246" s="5">
        <f t="shared" si="67"/>
        <v>1.5626585013372534</v>
      </c>
      <c r="AU246" s="5">
        <f t="shared" si="68"/>
        <v>52.100670613205949</v>
      </c>
      <c r="AV246" s="5">
        <f t="shared" si="69"/>
        <v>114.59035091858171</v>
      </c>
      <c r="AW246" s="5">
        <f t="shared" si="69"/>
        <v>1.7819076742185871</v>
      </c>
      <c r="AY246" s="5">
        <f>0.15*(Y246-Y245)+(1-0.15)*AY245</f>
        <v>-1.6811659707998916E-2</v>
      </c>
      <c r="AZ246" s="5">
        <f>0.25*(Y246-Y245)+(1-0.25)*AZ245</f>
        <v>-0.32484835830850745</v>
      </c>
      <c r="BA246" s="5">
        <f>0.45*(Y246-Y245)+(1-0.45)*BA245</f>
        <v>-0.92968213314600456</v>
      </c>
      <c r="BB246" s="5">
        <f>0.85*(Y246-Y245)+(1-0.85)*BB245</f>
        <v>-2.3411435518227259</v>
      </c>
      <c r="BC246" s="5">
        <f>Y246+AY246</f>
        <v>172.47717064639008</v>
      </c>
      <c r="BD246" s="5">
        <f>Y246+AZ246</f>
        <v>172.16913394778956</v>
      </c>
      <c r="BE246" s="5">
        <f>Y246+BA246</f>
        <v>171.56430017295207</v>
      </c>
      <c r="BF246" s="5">
        <f>Y246+BB246</f>
        <v>170.15283875427534</v>
      </c>
      <c r="BG246" s="5">
        <f t="shared" si="70"/>
        <v>5.7271706463900784</v>
      </c>
      <c r="BH246" s="5">
        <f t="shared" si="71"/>
        <v>5.419133947789561</v>
      </c>
      <c r="BI246" s="5">
        <f t="shared" si="72"/>
        <v>4.8143001729520734</v>
      </c>
      <c r="BJ246" s="5">
        <f t="shared" si="73"/>
        <v>3.4028387542753364</v>
      </c>
    </row>
    <row r="247" spans="13:62" x14ac:dyDescent="0.35">
      <c r="M247" s="2">
        <v>245</v>
      </c>
      <c r="N247" s="3">
        <v>44132</v>
      </c>
      <c r="O247" s="1">
        <v>111.008476</v>
      </c>
      <c r="P247" s="1">
        <v>161.16000399999999</v>
      </c>
      <c r="R247" s="5">
        <f t="shared" si="63"/>
        <v>116.49441662401287</v>
      </c>
      <c r="S247" s="5">
        <f t="shared" si="64"/>
        <v>115.93200403962445</v>
      </c>
      <c r="T247" s="5">
        <f t="shared" si="65"/>
        <v>115.82483842843494</v>
      </c>
      <c r="U247" s="5">
        <f t="shared" si="66"/>
        <v>116.0276289112972</v>
      </c>
      <c r="V247" s="5"/>
      <c r="W247" s="5">
        <f>0.15*P246+(1-0.15)*W246</f>
        <v>171.70166937594965</v>
      </c>
      <c r="X247" s="5">
        <f>0.35*P246+(1-0.35)*X246</f>
        <v>170.90289889919831</v>
      </c>
      <c r="Y247" s="5">
        <f>0.55*P246+(1-0.55)*Y246</f>
        <v>169.33479203774414</v>
      </c>
      <c r="Z247" s="5">
        <f>0.75*P246+(1-0.75)*Z246</f>
        <v>167.94568689860318</v>
      </c>
      <c r="AB247" s="5">
        <f t="shared" si="56"/>
        <v>4.941911484320233</v>
      </c>
      <c r="AC247" s="5">
        <f t="shared" si="57"/>
        <v>4.4352721675274989</v>
      </c>
      <c r="AD247" s="5">
        <f t="shared" si="58"/>
        <v>4.3387339435548533</v>
      </c>
      <c r="AE247" s="5">
        <f t="shared" si="59"/>
        <v>4.5214141227352744</v>
      </c>
      <c r="AG247" s="5">
        <f>ABS((P247-W247)/P247)*100</f>
        <v>6.5411175938849331</v>
      </c>
      <c r="AH247" s="5">
        <f>ABS((P247-X247)/P247)*100</f>
        <v>6.0454794349585148</v>
      </c>
      <c r="AI247" s="5">
        <f>ABS((P247-Y247)/P247)*100</f>
        <v>5.0724670109490386</v>
      </c>
      <c r="AJ247" s="5">
        <f>ABS((P247-Z247)/P247)*100</f>
        <v>4.2105253972339183</v>
      </c>
      <c r="AL247" s="5">
        <f>0.15*(T247-T246)+(1-0.15)*AL246</f>
        <v>-0.13810050283795486</v>
      </c>
      <c r="AM247" s="5">
        <f>0.25*(T247-T246)+(1-0.25)*AM246</f>
        <v>-0.17966119376225564</v>
      </c>
      <c r="AN247" s="5">
        <f>0.45*(T247-T246)+(1-0.45)*AN246</f>
        <v>2.3002457049130398E-2</v>
      </c>
      <c r="AO247" s="5">
        <f>0.85*(T247-T246)+(1-0.85)*AO246</f>
        <v>0.53764218807265252</v>
      </c>
      <c r="AP247" s="5">
        <f>T247+AL247</f>
        <v>115.68673792559699</v>
      </c>
      <c r="AQ247" s="5">
        <f t="shared" si="60"/>
        <v>115.64517723467269</v>
      </c>
      <c r="AR247" s="5">
        <f t="shared" si="61"/>
        <v>115.84784088548408</v>
      </c>
      <c r="AS247" s="5">
        <f t="shared" si="62"/>
        <v>116.3624806165076</v>
      </c>
      <c r="AT247" s="5">
        <f t="shared" si="67"/>
        <v>4.6782619255969848</v>
      </c>
      <c r="AU247" s="5">
        <f t="shared" si="68"/>
        <v>45.5148267653273</v>
      </c>
      <c r="AV247" s="5">
        <f t="shared" si="69"/>
        <v>115.84784088548408</v>
      </c>
      <c r="AW247" s="5">
        <f t="shared" si="69"/>
        <v>0.13193600750527423</v>
      </c>
      <c r="AY247" s="5">
        <f>0.15*(Y247-Y246)+(1-0.15)*AY246</f>
        <v>-0.48816845100488987</v>
      </c>
      <c r="AZ247" s="5">
        <f>0.25*(Y247-Y246)+(1-0.25)*AZ246</f>
        <v>-1.0334338358198654</v>
      </c>
      <c r="BA247" s="5">
        <f>0.45*(Y247-Y246)+(1-0.45)*BA246</f>
        <v>-1.932960793989575</v>
      </c>
      <c r="BB247" s="5">
        <f>0.85*(Y247-Y246)+(1-0.85)*BB246</f>
        <v>-3.0364832608742569</v>
      </c>
      <c r="BC247" s="5">
        <f>Y247+AY247</f>
        <v>168.84662358673924</v>
      </c>
      <c r="BD247" s="5">
        <f>Y247+AZ247</f>
        <v>168.30135820192427</v>
      </c>
      <c r="BE247" s="5">
        <f>Y247+BA247</f>
        <v>167.40183124375457</v>
      </c>
      <c r="BF247" s="5">
        <f>Y247+BB247</f>
        <v>166.29830877686987</v>
      </c>
      <c r="BG247" s="5">
        <f t="shared" si="70"/>
        <v>7.6866195867392548</v>
      </c>
      <c r="BH247" s="5">
        <f t="shared" si="71"/>
        <v>7.1413542019242868</v>
      </c>
      <c r="BI247" s="5">
        <f t="shared" si="72"/>
        <v>6.2418272437545852</v>
      </c>
      <c r="BJ247" s="5">
        <f t="shared" si="73"/>
        <v>5.1383047768698873</v>
      </c>
    </row>
    <row r="248" spans="13:62" x14ac:dyDescent="0.35">
      <c r="M248" s="2">
        <v>246</v>
      </c>
      <c r="N248" s="3">
        <v>44133</v>
      </c>
      <c r="O248" s="1">
        <v>115.12138400000001</v>
      </c>
      <c r="P248" s="1">
        <v>164.60000600000001</v>
      </c>
      <c r="R248" s="5">
        <f t="shared" si="63"/>
        <v>115.67152553041093</v>
      </c>
      <c r="S248" s="5">
        <f t="shared" si="64"/>
        <v>114.20876922575587</v>
      </c>
      <c r="T248" s="5">
        <f t="shared" si="65"/>
        <v>113.17583909279573</v>
      </c>
      <c r="U248" s="5">
        <f t="shared" si="66"/>
        <v>112.26326422782431</v>
      </c>
      <c r="V248" s="5"/>
      <c r="W248" s="5">
        <f>0.15*P247+(1-0.15)*W247</f>
        <v>170.12041956955719</v>
      </c>
      <c r="X248" s="5">
        <f>0.35*P247+(1-0.35)*X247</f>
        <v>167.49288568447889</v>
      </c>
      <c r="Y248" s="5">
        <f>0.55*P247+(1-0.55)*Y247</f>
        <v>164.83865861698484</v>
      </c>
      <c r="Z248" s="5">
        <f>0.75*P247+(1-0.75)*Z247</f>
        <v>162.85642472465079</v>
      </c>
      <c r="AB248" s="5">
        <f t="shared" si="56"/>
        <v>0.47787953140914791</v>
      </c>
      <c r="AC248" s="5">
        <f t="shared" si="57"/>
        <v>0.79274131576122575</v>
      </c>
      <c r="AD248" s="5">
        <f t="shared" si="58"/>
        <v>1.689994369077668</v>
      </c>
      <c r="AE248" s="5">
        <f t="shared" si="59"/>
        <v>2.4827010177150908</v>
      </c>
      <c r="AG248" s="5">
        <f>ABS((P248-W248)/P248)*100</f>
        <v>3.3538355822157002</v>
      </c>
      <c r="AH248" s="5">
        <f>ABS((P248-X248)/P248)*100</f>
        <v>1.7575210079147172</v>
      </c>
      <c r="AI248" s="5">
        <f>ABS((P248-Y248)/P248)*100</f>
        <v>0.14498943395229075</v>
      </c>
      <c r="AJ248" s="5">
        <f>ABS((P248-Z248)/P248)*100</f>
        <v>1.0592838467753241</v>
      </c>
      <c r="AL248" s="5">
        <f>0.15*(T248-T247)+(1-0.15)*AL247</f>
        <v>-0.51473532775814423</v>
      </c>
      <c r="AM248" s="5">
        <f>0.25*(T248-T247)+(1-0.25)*AM247</f>
        <v>-0.7969957292314962</v>
      </c>
      <c r="AN248" s="5">
        <f>0.45*(T248-T247)+(1-0.45)*AN247</f>
        <v>-1.1793983496606264</v>
      </c>
      <c r="AO248" s="5">
        <f>0.85*(T248-T247)+(1-0.85)*AO247</f>
        <v>-2.1710031070824369</v>
      </c>
      <c r="AP248" s="5">
        <f>T248+AL248</f>
        <v>112.66110376503758</v>
      </c>
      <c r="AQ248" s="5">
        <f t="shared" si="60"/>
        <v>112.37884336356423</v>
      </c>
      <c r="AR248" s="5">
        <f t="shared" si="61"/>
        <v>111.9964407431351</v>
      </c>
      <c r="AS248" s="5">
        <f t="shared" si="62"/>
        <v>111.00483598571329</v>
      </c>
      <c r="AT248" s="5">
        <f t="shared" si="67"/>
        <v>2.4602802349624255</v>
      </c>
      <c r="AU248" s="5">
        <f t="shared" si="68"/>
        <v>52.221162636435778</v>
      </c>
      <c r="AV248" s="5">
        <f t="shared" si="69"/>
        <v>111.9964407431351</v>
      </c>
      <c r="AW248" s="5">
        <f t="shared" si="69"/>
        <v>4.6666895446976469</v>
      </c>
      <c r="AY248" s="5">
        <f>0.15*(Y248-Y247)+(1-0.15)*AY247</f>
        <v>-1.0893631964680504</v>
      </c>
      <c r="AZ248" s="5">
        <f>0.25*(Y248-Y247)+(1-0.25)*AZ247</f>
        <v>-1.8991087320547222</v>
      </c>
      <c r="BA248" s="5">
        <f>0.45*(Y248-Y247)+(1-0.45)*BA247</f>
        <v>-3.0863884760359483</v>
      </c>
      <c r="BB248" s="5">
        <f>0.85*(Y248-Y247)+(1-0.85)*BB247</f>
        <v>-4.2771858967765368</v>
      </c>
      <c r="BC248" s="5">
        <f>Y248+AY248</f>
        <v>163.7492954205168</v>
      </c>
      <c r="BD248" s="5">
        <f>Y248+AZ248</f>
        <v>162.93954988493013</v>
      </c>
      <c r="BE248" s="5">
        <f>Y248+BA248</f>
        <v>161.75227014094889</v>
      </c>
      <c r="BF248" s="5">
        <f>Y248+BB248</f>
        <v>160.56147272020831</v>
      </c>
      <c r="BG248" s="5">
        <f t="shared" si="70"/>
        <v>0.85071057948320572</v>
      </c>
      <c r="BH248" s="5">
        <f t="shared" si="71"/>
        <v>1.6604561150698771</v>
      </c>
      <c r="BI248" s="5">
        <f t="shared" si="72"/>
        <v>2.847735859051113</v>
      </c>
      <c r="BJ248" s="5">
        <f t="shared" si="73"/>
        <v>4.0385332797916931</v>
      </c>
    </row>
    <row r="249" spans="13:62" x14ac:dyDescent="0.35">
      <c r="M249" s="2">
        <v>247</v>
      </c>
      <c r="N249" s="3">
        <v>44134</v>
      </c>
      <c r="O249" s="1">
        <v>108.672516</v>
      </c>
      <c r="P249" s="1">
        <v>164.949997</v>
      </c>
      <c r="R249" s="5">
        <f t="shared" si="63"/>
        <v>115.58900430084928</v>
      </c>
      <c r="S249" s="5">
        <f t="shared" si="64"/>
        <v>114.52818439674132</v>
      </c>
      <c r="T249" s="5">
        <f t="shared" si="65"/>
        <v>114.24588879175809</v>
      </c>
      <c r="U249" s="5">
        <f t="shared" si="66"/>
        <v>114.40685405695608</v>
      </c>
      <c r="V249" s="5"/>
      <c r="W249" s="5">
        <f>0.15*P248+(1-0.15)*W248</f>
        <v>169.2923575341236</v>
      </c>
      <c r="X249" s="5">
        <f>0.35*P248+(1-0.35)*X248</f>
        <v>166.48037779491128</v>
      </c>
      <c r="Y249" s="5">
        <f>0.55*P248+(1-0.55)*Y248</f>
        <v>164.7073996776432</v>
      </c>
      <c r="Z249" s="5">
        <f>0.75*P248+(1-0.75)*Z248</f>
        <v>164.1641106811627</v>
      </c>
      <c r="AB249" s="5">
        <f t="shared" si="56"/>
        <v>6.364523943523384</v>
      </c>
      <c r="AC249" s="5">
        <f t="shared" si="57"/>
        <v>5.3883618529098207</v>
      </c>
      <c r="AD249" s="5">
        <f t="shared" si="58"/>
        <v>5.128594604138998</v>
      </c>
      <c r="AE249" s="5">
        <f t="shared" si="59"/>
        <v>5.2767141757867062</v>
      </c>
      <c r="AG249" s="5">
        <f>ABS((P249-W249)/P249)*100</f>
        <v>2.632531441709332</v>
      </c>
      <c r="AH249" s="5">
        <f>ABS((P249-X249)/P249)*100</f>
        <v>0.92778467580771218</v>
      </c>
      <c r="AI249" s="5">
        <f>ABS((P249-Y249)/P249)*100</f>
        <v>0.14707325054198139</v>
      </c>
      <c r="AJ249" s="5">
        <f>ABS((P249-Z249)/P249)*100</f>
        <v>0.47643912284357259</v>
      </c>
      <c r="AL249" s="5">
        <f>0.15*(T249-T248)+(1-0.15)*AL248</f>
        <v>-0.27701757375006797</v>
      </c>
      <c r="AM249" s="5">
        <f>0.25*(T249-T248)+(1-0.25)*AM248</f>
        <v>-0.33023437218303098</v>
      </c>
      <c r="AN249" s="5">
        <f>0.45*(T249-T248)+(1-0.45)*AN248</f>
        <v>-0.16714672778028056</v>
      </c>
      <c r="AO249" s="5">
        <f>0.85*(T249-T248)+(1-0.85)*AO248</f>
        <v>0.58389177805564418</v>
      </c>
      <c r="AP249" s="5">
        <f>T249+AL249</f>
        <v>113.96887121800802</v>
      </c>
      <c r="AQ249" s="5">
        <f t="shared" si="60"/>
        <v>113.91565441957506</v>
      </c>
      <c r="AR249" s="5">
        <f t="shared" si="61"/>
        <v>114.07874206397781</v>
      </c>
      <c r="AS249" s="5">
        <f t="shared" si="62"/>
        <v>114.82978056981374</v>
      </c>
      <c r="AT249" s="5">
        <f t="shared" si="67"/>
        <v>5.2963552180080171</v>
      </c>
      <c r="AU249" s="5">
        <f t="shared" si="68"/>
        <v>51.034342580424934</v>
      </c>
      <c r="AV249" s="5">
        <f t="shared" si="69"/>
        <v>114.07874206397781</v>
      </c>
      <c r="AW249" s="5">
        <f t="shared" si="69"/>
        <v>0.75922373103554719</v>
      </c>
      <c r="AY249" s="5">
        <f>0.15*(Y249-Y248)+(1-0.15)*AY248</f>
        <v>-0.94564755789909016</v>
      </c>
      <c r="AZ249" s="5">
        <f>0.25*(Y249-Y248)+(1-0.25)*AZ248</f>
        <v>-1.4571462838764537</v>
      </c>
      <c r="BA249" s="5">
        <f>0.45*(Y249-Y248)+(1-0.45)*BA248</f>
        <v>-1.7565801845235136</v>
      </c>
      <c r="BB249" s="5">
        <f>0.85*(Y249-Y248)+(1-0.85)*BB248</f>
        <v>-0.75314798295688201</v>
      </c>
      <c r="BC249" s="5">
        <f>Y249+AY249</f>
        <v>163.7617521197441</v>
      </c>
      <c r="BD249" s="5">
        <f>Y249+AZ249</f>
        <v>163.25025339376674</v>
      </c>
      <c r="BE249" s="5">
        <f>Y249+BA249</f>
        <v>162.9508194931197</v>
      </c>
      <c r="BF249" s="5">
        <f>Y249+BB249</f>
        <v>163.95425169468632</v>
      </c>
      <c r="BG249" s="5">
        <f t="shared" si="70"/>
        <v>1.188244880255894</v>
      </c>
      <c r="BH249" s="5">
        <f t="shared" si="71"/>
        <v>1.6997436062332554</v>
      </c>
      <c r="BI249" s="5">
        <f t="shared" si="72"/>
        <v>1.9991775068803008</v>
      </c>
      <c r="BJ249" s="5">
        <f t="shared" si="73"/>
        <v>0.995745305313676</v>
      </c>
    </row>
    <row r="250" spans="13:62" x14ac:dyDescent="0.35">
      <c r="M250" s="2">
        <v>248</v>
      </c>
      <c r="N250" s="3">
        <v>44137</v>
      </c>
      <c r="O250" s="1">
        <v>108.58266399999999</v>
      </c>
      <c r="P250" s="1">
        <v>173.61000100000001</v>
      </c>
      <c r="R250" s="5">
        <f t="shared" si="63"/>
        <v>114.5515310557219</v>
      </c>
      <c r="S250" s="5">
        <f t="shared" si="64"/>
        <v>112.47870045788186</v>
      </c>
      <c r="T250" s="5">
        <f t="shared" si="65"/>
        <v>111.18053375629114</v>
      </c>
      <c r="U250" s="5">
        <f t="shared" si="66"/>
        <v>110.10610051423903</v>
      </c>
      <c r="V250" s="5"/>
      <c r="W250" s="5">
        <f>0.15*P249+(1-0.15)*W249</f>
        <v>168.64100345400504</v>
      </c>
      <c r="X250" s="5">
        <f>0.35*P249+(1-0.35)*X249</f>
        <v>165.94474451669231</v>
      </c>
      <c r="Y250" s="5">
        <f>0.55*P249+(1-0.55)*Y249</f>
        <v>164.84082820493944</v>
      </c>
      <c r="Z250" s="5">
        <f>0.75*P249+(1-0.75)*Z249</f>
        <v>164.75352542029066</v>
      </c>
      <c r="AB250" s="5">
        <f t="shared" si="56"/>
        <v>5.4970718490770327</v>
      </c>
      <c r="AC250" s="5">
        <f t="shared" si="57"/>
        <v>3.5880833222897008</v>
      </c>
      <c r="AD250" s="5">
        <f t="shared" si="58"/>
        <v>2.3925271867442364</v>
      </c>
      <c r="AE250" s="5">
        <f t="shared" si="59"/>
        <v>1.4030200200641951</v>
      </c>
      <c r="AG250" s="5">
        <f>ABS((P250-W250)/P250)*100</f>
        <v>2.8621608878367359</v>
      </c>
      <c r="AH250" s="5">
        <f>ABS((P250-X250)/P250)*100</f>
        <v>4.4152159663357757</v>
      </c>
      <c r="AI250" s="5">
        <f>ABS((P250-Y250)/P250)*100</f>
        <v>5.0510758277459882</v>
      </c>
      <c r="AJ250" s="5">
        <f>ABS((P250-Z250)/P250)*100</f>
        <v>5.1013625532490803</v>
      </c>
      <c r="AL250" s="5">
        <f>0.15*(T250-T249)+(1-0.15)*AL249</f>
        <v>-0.69526819300760034</v>
      </c>
      <c r="AM250" s="5">
        <f>0.25*(T250-T249)+(1-0.25)*AM249</f>
        <v>-1.0140145380040109</v>
      </c>
      <c r="AN250" s="5">
        <f>0.45*(T250-T249)+(1-0.45)*AN249</f>
        <v>-1.4713404662392822</v>
      </c>
      <c r="AO250" s="5">
        <f>0.85*(T250-T249)+(1-0.85)*AO249</f>
        <v>-2.5179680134385611</v>
      </c>
      <c r="AP250" s="5">
        <f>T250+AL250</f>
        <v>110.48526556328353</v>
      </c>
      <c r="AQ250" s="5">
        <f t="shared" si="60"/>
        <v>110.16651921828714</v>
      </c>
      <c r="AR250" s="5">
        <f t="shared" si="61"/>
        <v>109.70919329005186</v>
      </c>
      <c r="AS250" s="5">
        <f t="shared" si="62"/>
        <v>108.66256574285258</v>
      </c>
      <c r="AT250" s="5">
        <f t="shared" si="67"/>
        <v>1.9026015632835396</v>
      </c>
      <c r="AU250" s="5">
        <f t="shared" si="68"/>
        <v>63.443481781712876</v>
      </c>
      <c r="AV250" s="5">
        <f t="shared" si="69"/>
        <v>109.70919329005186</v>
      </c>
      <c r="AW250" s="5">
        <f t="shared" si="69"/>
        <v>5.8889653128693169</v>
      </c>
      <c r="AY250" s="5">
        <f>0.15*(Y250-Y249)+(1-0.15)*AY249</f>
        <v>-0.78378614511978972</v>
      </c>
      <c r="AZ250" s="5">
        <f>0.25*(Y250-Y249)+(1-0.25)*AZ249</f>
        <v>-1.0595025810832788</v>
      </c>
      <c r="BA250" s="5">
        <f>0.45*(Y250-Y249)+(1-0.45)*BA249</f>
        <v>-0.90607626420462184</v>
      </c>
      <c r="BB250" s="5">
        <f>0.85*(Y250-Y249)+(1-0.85)*BB249</f>
        <v>4.4205075827687124E-4</v>
      </c>
      <c r="BC250" s="5">
        <f>Y250+AY250</f>
        <v>164.05704205981965</v>
      </c>
      <c r="BD250" s="5">
        <f>Y250+AZ250</f>
        <v>163.78132562385616</v>
      </c>
      <c r="BE250" s="5">
        <f>Y250+BA250</f>
        <v>163.93475194073483</v>
      </c>
      <c r="BF250" s="5">
        <f>Y250+BB250</f>
        <v>164.84127025569771</v>
      </c>
      <c r="BG250" s="5">
        <f t="shared" si="70"/>
        <v>9.5529589401803605</v>
      </c>
      <c r="BH250" s="5">
        <f t="shared" si="71"/>
        <v>9.828675376143849</v>
      </c>
      <c r="BI250" s="5">
        <f t="shared" si="72"/>
        <v>9.6752490592651839</v>
      </c>
      <c r="BJ250" s="5">
        <f t="shared" si="73"/>
        <v>8.768730744302303</v>
      </c>
    </row>
    <row r="251" spans="13:62" x14ac:dyDescent="0.35">
      <c r="M251" s="2">
        <v>249</v>
      </c>
      <c r="N251" s="3">
        <v>44138</v>
      </c>
      <c r="O251" s="1">
        <v>110.24979399999999</v>
      </c>
      <c r="P251" s="1">
        <v>179.21000699999999</v>
      </c>
      <c r="R251" s="5">
        <f t="shared" si="63"/>
        <v>113.65620099736361</v>
      </c>
      <c r="S251" s="5">
        <f t="shared" si="64"/>
        <v>111.11508769762321</v>
      </c>
      <c r="T251" s="5">
        <f t="shared" si="65"/>
        <v>109.75170539033101</v>
      </c>
      <c r="U251" s="5">
        <f t="shared" si="66"/>
        <v>108.96352312855974</v>
      </c>
      <c r="V251" s="5"/>
      <c r="W251" s="5">
        <f>0.15*P250+(1-0.15)*W250</f>
        <v>169.38635308590426</v>
      </c>
      <c r="X251" s="5">
        <f>0.35*P250+(1-0.35)*X250</f>
        <v>168.62758428584999</v>
      </c>
      <c r="Y251" s="5">
        <f>0.55*P250+(1-0.55)*Y250</f>
        <v>169.66387324222273</v>
      </c>
      <c r="Z251" s="5">
        <f>0.75*P250+(1-0.75)*Z250</f>
        <v>171.39588210507267</v>
      </c>
      <c r="AB251" s="5">
        <f t="shared" si="56"/>
        <v>3.089717335311863</v>
      </c>
      <c r="AC251" s="5">
        <f t="shared" si="57"/>
        <v>0.78484835774225181</v>
      </c>
      <c r="AD251" s="5">
        <f t="shared" si="58"/>
        <v>0.45178189599971769</v>
      </c>
      <c r="AE251" s="5">
        <f t="shared" si="59"/>
        <v>1.166687777611858</v>
      </c>
      <c r="AG251" s="5">
        <f>ABS((P251-W251)/P251)*100</f>
        <v>5.4816436194300966</v>
      </c>
      <c r="AH251" s="5">
        <f>ABS((P251-X251)/P251)*100</f>
        <v>5.9050400651733694</v>
      </c>
      <c r="AI251" s="5">
        <f>ABS((P251-Y251)/P251)*100</f>
        <v>5.3267861084215324</v>
      </c>
      <c r="AJ251" s="5">
        <f>ABS((P251-Z251)/P251)*100</f>
        <v>4.3603172756571116</v>
      </c>
      <c r="AL251" s="5">
        <f>0.15*(T251-T250)+(1-0.15)*AL250</f>
        <v>-0.80530221895047971</v>
      </c>
      <c r="AM251" s="5">
        <f>0.25*(T251-T250)+(1-0.25)*AM250</f>
        <v>-1.1177179949930405</v>
      </c>
      <c r="AN251" s="5">
        <f>0.45*(T251-T250)+(1-0.45)*AN250</f>
        <v>-1.4522100211136633</v>
      </c>
      <c r="AO251" s="5">
        <f>0.85*(T251-T250)+(1-0.85)*AO250</f>
        <v>-1.5921993130818939</v>
      </c>
      <c r="AP251" s="5">
        <f>T251+AL251</f>
        <v>108.94640317138054</v>
      </c>
      <c r="AQ251" s="5">
        <f t="shared" si="60"/>
        <v>108.63398739533797</v>
      </c>
      <c r="AR251" s="5">
        <f t="shared" si="61"/>
        <v>108.29949536921735</v>
      </c>
      <c r="AS251" s="5">
        <f t="shared" si="62"/>
        <v>108.15950607724912</v>
      </c>
      <c r="AT251" s="5">
        <f t="shared" si="67"/>
        <v>1.303390828619456</v>
      </c>
      <c r="AU251" s="5">
        <f t="shared" si="68"/>
        <v>70.576019604662022</v>
      </c>
      <c r="AV251" s="5">
        <f t="shared" si="69"/>
        <v>108.29949536921735</v>
      </c>
      <c r="AW251" s="5">
        <f t="shared" si="69"/>
        <v>5.4966949201144928</v>
      </c>
      <c r="AY251" s="5">
        <f>0.15*(Y251-Y250)+(1-0.15)*AY250</f>
        <v>5.7238532240672768E-2</v>
      </c>
      <c r="AZ251" s="5">
        <f>0.25*(Y251-Y250)+(1-0.25)*AZ250</f>
        <v>0.41113432350836421</v>
      </c>
      <c r="BA251" s="5">
        <f>0.45*(Y251-Y250)+(1-0.45)*BA250</f>
        <v>1.6720283214649401</v>
      </c>
      <c r="BB251" s="5">
        <f>0.85*(Y251-Y250)+(1-0.85)*BB250</f>
        <v>4.0996545893045413</v>
      </c>
      <c r="BC251" s="5">
        <f>Y251+AY251</f>
        <v>169.7211117744634</v>
      </c>
      <c r="BD251" s="5">
        <f>Y251+AZ251</f>
        <v>170.07500756573111</v>
      </c>
      <c r="BE251" s="5">
        <f>Y251+BA251</f>
        <v>171.33590156368768</v>
      </c>
      <c r="BF251" s="5">
        <f>Y251+BB251</f>
        <v>173.76352783152728</v>
      </c>
      <c r="BG251" s="5">
        <f t="shared" si="70"/>
        <v>9.488895225536595</v>
      </c>
      <c r="BH251" s="5">
        <f t="shared" si="71"/>
        <v>9.1349994342688774</v>
      </c>
      <c r="BI251" s="5">
        <f t="shared" si="72"/>
        <v>7.8741054363123055</v>
      </c>
      <c r="BJ251" s="5">
        <f t="shared" si="73"/>
        <v>5.4464791684727061</v>
      </c>
    </row>
    <row r="252" spans="13:62" x14ac:dyDescent="0.35">
      <c r="M252" s="2">
        <v>250</v>
      </c>
      <c r="N252" s="3">
        <v>44139</v>
      </c>
      <c r="O252" s="1">
        <v>114.752022</v>
      </c>
      <c r="P252" s="1">
        <v>178.91000399999999</v>
      </c>
      <c r="R252" s="5">
        <f t="shared" si="63"/>
        <v>113.14523994775907</v>
      </c>
      <c r="S252" s="5">
        <f t="shared" si="64"/>
        <v>110.81223490345508</v>
      </c>
      <c r="T252" s="5">
        <f t="shared" si="65"/>
        <v>110.02565412564894</v>
      </c>
      <c r="U252" s="5">
        <f t="shared" si="66"/>
        <v>109.92822628213993</v>
      </c>
      <c r="V252" s="5"/>
      <c r="W252" s="5">
        <f>0.15*P251+(1-0.15)*W251</f>
        <v>170.85990117301861</v>
      </c>
      <c r="X252" s="5">
        <f>0.35*P251+(1-0.35)*X251</f>
        <v>172.33143223580248</v>
      </c>
      <c r="Y252" s="5">
        <f>0.55*P251+(1-0.55)*Y251</f>
        <v>174.91424680900022</v>
      </c>
      <c r="Z252" s="5">
        <f>0.75*P251+(1-0.75)*Z251</f>
        <v>177.25647577626816</v>
      </c>
      <c r="AB252" s="5">
        <f t="shared" si="56"/>
        <v>1.4002211239823998</v>
      </c>
      <c r="AC252" s="5">
        <f t="shared" si="57"/>
        <v>3.4333051634984861</v>
      </c>
      <c r="AD252" s="5">
        <f t="shared" si="58"/>
        <v>4.1187665297532234</v>
      </c>
      <c r="AE252" s="5">
        <f t="shared" si="59"/>
        <v>4.203669472473492</v>
      </c>
      <c r="AG252" s="5">
        <f>ABS((P252-W252)/P252)*100</f>
        <v>4.4995263803031236</v>
      </c>
      <c r="AH252" s="5">
        <f>ABS((P252-X252)/P252)*100</f>
        <v>3.6770284596257157</v>
      </c>
      <c r="AI252" s="5">
        <f>ABS((P252-Y252)/P252)*100</f>
        <v>2.2333894704958861</v>
      </c>
      <c r="AJ252" s="5">
        <f>ABS((P252-Z252)/P252)*100</f>
        <v>0.92422345691291019</v>
      </c>
      <c r="AL252" s="5">
        <f>0.15*(T252-T251)+(1-0.15)*AL251</f>
        <v>-0.64341457581021833</v>
      </c>
      <c r="AM252" s="5">
        <f>0.25*(T252-T251)+(1-0.25)*AM251</f>
        <v>-0.76980131241529781</v>
      </c>
      <c r="AN252" s="5">
        <f>0.45*(T252-T251)+(1-0.45)*AN251</f>
        <v>-0.6754385807194464</v>
      </c>
      <c r="AO252" s="5">
        <f>0.85*(T252-T251)+(1-0.85)*AO251</f>
        <v>-5.9734719420436733E-3</v>
      </c>
      <c r="AP252" s="5">
        <f>T252+AL252</f>
        <v>109.38223954983873</v>
      </c>
      <c r="AQ252" s="5">
        <f t="shared" si="60"/>
        <v>109.25585281323364</v>
      </c>
      <c r="AR252" s="5">
        <f t="shared" si="61"/>
        <v>109.3502155449295</v>
      </c>
      <c r="AS252" s="5">
        <f t="shared" si="62"/>
        <v>110.0196806537069</v>
      </c>
      <c r="AT252" s="5">
        <f t="shared" si="67"/>
        <v>5.3697824501612672</v>
      </c>
      <c r="AU252" s="5">
        <f t="shared" si="68"/>
        <v>69.654151186766342</v>
      </c>
      <c r="AV252" s="5">
        <f t="shared" si="69"/>
        <v>109.3502155449295</v>
      </c>
      <c r="AW252" s="5">
        <f t="shared" si="69"/>
        <v>3.1255592940521666</v>
      </c>
      <c r="AY252" s="5">
        <f>0.15*(Y252-Y251)+(1-0.15)*AY251</f>
        <v>0.83620878742119442</v>
      </c>
      <c r="AZ252" s="5">
        <f>0.25*(Y252-Y251)+(1-0.25)*AZ251</f>
        <v>1.6209441343256441</v>
      </c>
      <c r="BA252" s="5">
        <f>0.45*(Y252-Y251)+(1-0.45)*BA251</f>
        <v>3.2822836818555849</v>
      </c>
      <c r="BB252" s="5">
        <f>0.85*(Y252-Y251)+(1-0.85)*BB251</f>
        <v>5.0777657201565418</v>
      </c>
      <c r="BC252" s="5">
        <f>Y252+AY252</f>
        <v>175.7504555964214</v>
      </c>
      <c r="BD252" s="5">
        <f>Y252+AZ252</f>
        <v>176.53519094332586</v>
      </c>
      <c r="BE252" s="5">
        <f>Y252+BA252</f>
        <v>178.19653049085579</v>
      </c>
      <c r="BF252" s="5">
        <f>Y252+BB252</f>
        <v>179.99201252915677</v>
      </c>
      <c r="BG252" s="5">
        <f t="shared" si="70"/>
        <v>3.159548403578583</v>
      </c>
      <c r="BH252" s="5">
        <f t="shared" si="71"/>
        <v>2.3748130566741281</v>
      </c>
      <c r="BI252" s="5">
        <f t="shared" si="72"/>
        <v>0.71347350914419394</v>
      </c>
      <c r="BJ252" s="5">
        <f t="shared" si="73"/>
        <v>1.0820085291567807</v>
      </c>
    </row>
    <row r="253" spans="13:62" x14ac:dyDescent="0.35">
      <c r="M253" s="2">
        <v>251</v>
      </c>
      <c r="N253" s="3">
        <v>44140</v>
      </c>
      <c r="O253" s="1">
        <v>118.824997</v>
      </c>
      <c r="P253" s="1">
        <v>183.279999</v>
      </c>
      <c r="R253" s="5">
        <f t="shared" si="63"/>
        <v>113.38625725559521</v>
      </c>
      <c r="S253" s="5">
        <f t="shared" si="64"/>
        <v>112.19116038724579</v>
      </c>
      <c r="T253" s="5">
        <f t="shared" si="65"/>
        <v>112.62515645654202</v>
      </c>
      <c r="U253" s="5">
        <f t="shared" si="66"/>
        <v>113.54607307053497</v>
      </c>
      <c r="V253" s="5"/>
      <c r="W253" s="5">
        <f>0.15*P252+(1-0.15)*W252</f>
        <v>172.0674165970658</v>
      </c>
      <c r="X253" s="5">
        <f>0.35*P252+(1-0.35)*X252</f>
        <v>174.6339323532716</v>
      </c>
      <c r="Y253" s="5">
        <f>0.55*P252+(1-0.55)*Y252</f>
        <v>177.11191326405009</v>
      </c>
      <c r="Z253" s="5">
        <f>0.75*P252+(1-0.75)*Z252</f>
        <v>178.49662194406704</v>
      </c>
      <c r="AB253" s="5">
        <f t="shared" si="56"/>
        <v>4.5771006789125233</v>
      </c>
      <c r="AC253" s="5">
        <f t="shared" si="57"/>
        <v>5.5828628489291772</v>
      </c>
      <c r="AD253" s="5">
        <f t="shared" si="58"/>
        <v>5.2176231432667164</v>
      </c>
      <c r="AE253" s="5">
        <f t="shared" si="59"/>
        <v>4.4426038819635094</v>
      </c>
      <c r="AG253" s="5">
        <f>ABS((P253-W253)/P253)*100</f>
        <v>6.1177337757046812</v>
      </c>
      <c r="AH253" s="5">
        <f>ABS((P253-X253)/P253)*100</f>
        <v>4.7174087155731597</v>
      </c>
      <c r="AI253" s="5">
        <f>ABS((P253-Y253)/P253)*100</f>
        <v>3.3653894421670723</v>
      </c>
      <c r="AJ253" s="5">
        <f>ABS((P253-Z253)/P253)*100</f>
        <v>2.6098740080923721</v>
      </c>
      <c r="AL253" s="5">
        <f>0.15*(T253-T252)+(1-0.15)*AL252</f>
        <v>-0.15697703980472444</v>
      </c>
      <c r="AM253" s="5">
        <f>0.25*(T253-T252)+(1-0.25)*AM252</f>
        <v>7.2524598411795149E-2</v>
      </c>
      <c r="AN253" s="5">
        <f>0.45*(T253-T252)+(1-0.45)*AN252</f>
        <v>0.79828482950618773</v>
      </c>
      <c r="AO253" s="5">
        <f>0.85*(T253-T252)+(1-0.85)*AO252</f>
        <v>2.2086809604678064</v>
      </c>
      <c r="AP253" s="5">
        <f>T253+AL253</f>
        <v>112.46817941673729</v>
      </c>
      <c r="AQ253" s="5">
        <f t="shared" si="60"/>
        <v>112.6976810549538</v>
      </c>
      <c r="AR253" s="5">
        <f t="shared" si="61"/>
        <v>113.4234412860482</v>
      </c>
      <c r="AS253" s="5">
        <f t="shared" si="62"/>
        <v>114.83383741700982</v>
      </c>
      <c r="AT253" s="5">
        <f t="shared" si="67"/>
        <v>6.3568175832627105</v>
      </c>
      <c r="AU253" s="5">
        <f t="shared" si="68"/>
        <v>70.582317945046199</v>
      </c>
      <c r="AV253" s="5">
        <f t="shared" si="69"/>
        <v>113.4234412860482</v>
      </c>
      <c r="AW253" s="5">
        <f t="shared" si="69"/>
        <v>1.4475801614146064</v>
      </c>
      <c r="AY253" s="5">
        <f>0.15*(Y253-Y252)+(1-0.15)*AY252</f>
        <v>1.0404274375654956</v>
      </c>
      <c r="AZ253" s="5">
        <f>0.25*(Y253-Y252)+(1-0.25)*AZ252</f>
        <v>1.7651247145067006</v>
      </c>
      <c r="BA253" s="5">
        <f>0.45*(Y253-Y252)+(1-0.45)*BA252</f>
        <v>2.7942059297930131</v>
      </c>
      <c r="BB253" s="5">
        <f>0.85*(Y253-Y252)+(1-0.85)*BB252</f>
        <v>2.6296813448158707</v>
      </c>
      <c r="BC253" s="5">
        <f>Y253+AY253</f>
        <v>178.15234070161557</v>
      </c>
      <c r="BD253" s="5">
        <f>Y253+AZ253</f>
        <v>178.87703797855679</v>
      </c>
      <c r="BE253" s="5">
        <f>Y253+BA253</f>
        <v>179.9061191938431</v>
      </c>
      <c r="BF253" s="5">
        <f>Y253+BB253</f>
        <v>179.74159460886597</v>
      </c>
      <c r="BG253" s="5">
        <f t="shared" si="70"/>
        <v>5.1276582983844321</v>
      </c>
      <c r="BH253" s="5">
        <f t="shared" si="71"/>
        <v>4.4029610214432182</v>
      </c>
      <c r="BI253" s="5">
        <f t="shared" si="72"/>
        <v>3.3738798061569071</v>
      </c>
      <c r="BJ253" s="5">
        <f t="shared" si="73"/>
        <v>3.538404391134037</v>
      </c>
    </row>
    <row r="254" spans="13:62" ht="16" thickBot="1" x14ac:dyDescent="0.4">
      <c r="M254" s="2">
        <v>252</v>
      </c>
      <c r="N254" s="3">
        <v>44141</v>
      </c>
      <c r="O254" s="1">
        <v>118.69000200000001</v>
      </c>
      <c r="P254" s="1">
        <v>184.270004</v>
      </c>
      <c r="R254" s="5">
        <f t="shared" si="63"/>
        <v>114.20206821725593</v>
      </c>
      <c r="S254" s="5">
        <f t="shared" si="64"/>
        <v>114.51300320170976</v>
      </c>
      <c r="T254" s="5">
        <f t="shared" si="65"/>
        <v>116.0350687554439</v>
      </c>
      <c r="U254" s="5">
        <f t="shared" si="66"/>
        <v>117.50526601763374</v>
      </c>
      <c r="V254" s="5"/>
      <c r="W254" s="5">
        <f>0.15*P253+(1-0.15)*W253</f>
        <v>173.7493039575059</v>
      </c>
      <c r="X254" s="5">
        <f>0.35*P253+(1-0.35)*X253</f>
        <v>177.66005567962657</v>
      </c>
      <c r="Y254" s="5">
        <f>0.55*P253+(1-0.55)*Y253</f>
        <v>180.50436041882256</v>
      </c>
      <c r="Z254" s="5">
        <f>0.75*P253+(1-0.75)*Z253</f>
        <v>182.08415473601679</v>
      </c>
      <c r="AB254" s="5">
        <f t="shared" si="56"/>
        <v>3.7812231081975032</v>
      </c>
      <c r="AC254" s="5">
        <f t="shared" si="57"/>
        <v>3.5192507607256105</v>
      </c>
      <c r="AD254" s="5">
        <f t="shared" si="58"/>
        <v>2.2368634255782593</v>
      </c>
      <c r="AE254" s="5">
        <f t="shared" si="59"/>
        <v>0.99817673131917439</v>
      </c>
      <c r="AG254" s="5">
        <f>ABS((P254-W254)/P254)*100</f>
        <v>5.7093937234049763</v>
      </c>
      <c r="AH254" s="5">
        <f>ABS((P254-X254)/P254)*100</f>
        <v>3.587099461056849</v>
      </c>
      <c r="AI254" s="5">
        <f>ABS((P254-Y254)/P254)*100</f>
        <v>2.0435466974741279</v>
      </c>
      <c r="AJ254" s="5">
        <f>ABS((P254-Z254)/P254)*100</f>
        <v>1.1862208805200953</v>
      </c>
      <c r="AL254" s="5">
        <f>0.15*(T254-T253)+(1-0.15)*AL253</f>
        <v>0.37805636100126716</v>
      </c>
      <c r="AM254" s="5">
        <f>0.25*(T254-T253)+(1-0.25)*AM253</f>
        <v>0.90687152353431799</v>
      </c>
      <c r="AN254" s="5">
        <f>0.45*(T254-T253)+(1-0.45)*AN253</f>
        <v>1.9735171907342524</v>
      </c>
      <c r="AO254" s="5">
        <f>0.85*(T254-T253)+(1-0.85)*AO253</f>
        <v>3.2297275981367743</v>
      </c>
      <c r="AP254" s="5">
        <f>T254+AL254</f>
        <v>116.41312511644517</v>
      </c>
      <c r="AQ254" s="5">
        <f t="shared" si="60"/>
        <v>116.94194027897822</v>
      </c>
      <c r="AR254" s="5">
        <f t="shared" si="61"/>
        <v>118.00858594617816</v>
      </c>
      <c r="AS254" s="5">
        <f t="shared" si="62"/>
        <v>119.26479635358068</v>
      </c>
      <c r="AT254" s="5">
        <f t="shared" si="67"/>
        <v>2.2768768835548343</v>
      </c>
      <c r="AU254" s="5">
        <f t="shared" si="68"/>
        <v>67.328063721021778</v>
      </c>
      <c r="AV254" s="5">
        <f t="shared" si="69"/>
        <v>118.00858594617816</v>
      </c>
      <c r="AW254" s="5">
        <f t="shared" si="69"/>
        <v>5.0627281363247505</v>
      </c>
      <c r="AY254" s="5">
        <f>0.15*(Y254-Y253)+(1-0.15)*AY253</f>
        <v>1.3932303951465417</v>
      </c>
      <c r="AZ254" s="5">
        <f>0.25*(Y254-Y253)+(1-0.25)*AZ253</f>
        <v>2.1719553245731427</v>
      </c>
      <c r="BA254" s="5">
        <f>0.45*(Y254-Y253)+(1-0.45)*BA253</f>
        <v>3.0634144810337687</v>
      </c>
      <c r="BB254" s="5">
        <f>0.85*(Y254-Y253)+(1-0.85)*BB253</f>
        <v>3.2780322832789794</v>
      </c>
      <c r="BC254" s="5">
        <f>Y254+AY254</f>
        <v>181.89759081396909</v>
      </c>
      <c r="BD254" s="5">
        <f>Y254+AZ254</f>
        <v>182.67631574339569</v>
      </c>
      <c r="BE254" s="5">
        <f>Y254+BA254</f>
        <v>183.56777489985632</v>
      </c>
      <c r="BF254" s="5">
        <f>Y254+BB254</f>
        <v>183.78239270210153</v>
      </c>
      <c r="BG254" s="5">
        <f t="shared" si="70"/>
        <v>2.3724131860309114</v>
      </c>
      <c r="BH254" s="5">
        <f t="shared" si="71"/>
        <v>1.5936882566043096</v>
      </c>
      <c r="BI254" s="5">
        <f t="shared" si="72"/>
        <v>0.70222910014368267</v>
      </c>
      <c r="BJ254" s="5">
        <f t="shared" si="73"/>
        <v>0.48761129789846791</v>
      </c>
    </row>
    <row r="255" spans="13:62" ht="16" thickBot="1" x14ac:dyDescent="0.4">
      <c r="M255" s="2">
        <v>253</v>
      </c>
      <c r="N255" s="3">
        <v>44144</v>
      </c>
      <c r="O255" s="4"/>
      <c r="R255" s="7">
        <f t="shared" si="63"/>
        <v>114.87525828466754</v>
      </c>
      <c r="S255" s="7">
        <f t="shared" si="64"/>
        <v>115.97495278111136</v>
      </c>
      <c r="T255" s="7">
        <f t="shared" si="65"/>
        <v>117.49528203994976</v>
      </c>
      <c r="U255" s="7">
        <f t="shared" si="66"/>
        <v>118.39381800440844</v>
      </c>
      <c r="V255" s="7"/>
      <c r="W255" s="7">
        <f>0.15*P254+(1-0.15)*W254</f>
        <v>175.32740896388</v>
      </c>
      <c r="X255" s="7">
        <f>0.35*P254+(1-0.35)*X254</f>
        <v>179.97353759175726</v>
      </c>
      <c r="Y255" s="7">
        <f>0.55*P254+(1-0.55)*Y254</f>
        <v>182.57546438847015</v>
      </c>
      <c r="Z255" s="7">
        <f>0.75*P254+(1-0.75)*Z254</f>
        <v>183.7235416840042</v>
      </c>
      <c r="AB255" t="e">
        <f t="shared" si="56"/>
        <v>#DIV/0!</v>
      </c>
      <c r="AC255" t="e">
        <f t="shared" si="57"/>
        <v>#DIV/0!</v>
      </c>
      <c r="AG255" t="e">
        <f>ABS((#REF!-W255)/#REF!)*100</f>
        <v>#REF!</v>
      </c>
      <c r="AH255" s="5" t="e">
        <f>ABS((#REF!-X255)/#REF!)*100</f>
        <v>#REF!</v>
      </c>
      <c r="AI255" s="5" t="e">
        <f>ABS((#REF!-Y255)/#REF!)*100</f>
        <v>#REF!</v>
      </c>
      <c r="AJ255" s="5" t="e">
        <f>ABS((#REF!-Z255)/#REF!)*100</f>
        <v>#REF!</v>
      </c>
      <c r="AL255" s="7">
        <f>0.15*(T255-T254)+(1-0.15)*AL254</f>
        <v>0.54037989952695531</v>
      </c>
      <c r="AM255" s="7">
        <f>0.25*(T255-T254)+(1-0.25)*AM254</f>
        <v>1.0452069637772023</v>
      </c>
      <c r="AN255" s="7">
        <f>0.45*(T255-T254)+(1-0.45)*AN254</f>
        <v>1.7425304329314737</v>
      </c>
      <c r="AO255" s="7">
        <f>0.85*(T255-T254)+(1-0.85)*AO254</f>
        <v>1.7256404315504927</v>
      </c>
      <c r="AP255" s="7">
        <f>T255+AL255</f>
        <v>118.03566193947671</v>
      </c>
      <c r="AQ255" s="7">
        <f t="shared" si="60"/>
        <v>118.54048900372696</v>
      </c>
      <c r="AR255" s="7">
        <f t="shared" si="61"/>
        <v>119.23781247288123</v>
      </c>
      <c r="AS255" s="7">
        <f t="shared" si="62"/>
        <v>119.22092247150024</v>
      </c>
      <c r="AT255" s="7">
        <f t="shared" si="67"/>
        <v>118.03566193947671</v>
      </c>
      <c r="AU255" s="7">
        <f t="shared" si="68"/>
        <v>118.54048900372696</v>
      </c>
      <c r="AV255" s="7">
        <f t="shared" si="69"/>
        <v>119.23781247288123</v>
      </c>
      <c r="AW255" s="7">
        <f t="shared" si="69"/>
        <v>4.3456641868327068</v>
      </c>
      <c r="AY255" s="7">
        <f>0.15*(Y255-Y254)+(1-0.15)*AY254</f>
        <v>1.4949114313216998</v>
      </c>
      <c r="AZ255" s="7">
        <f>0.25*(Y255-Y254)+(1-0.25)*AZ254</f>
        <v>2.1467424858417559</v>
      </c>
      <c r="BA255" s="7">
        <f>0.45*(Y255-Y254)+(1-0.45)*BA254</f>
        <v>2.6168747509099908</v>
      </c>
      <c r="BB255" s="7">
        <f>0.85*(Y255-Y254)+(1-0.85)*BB254</f>
        <v>2.2521432166923026</v>
      </c>
      <c r="BC255" s="7">
        <f>Y255+AY255</f>
        <v>184.07037581979185</v>
      </c>
      <c r="BD255" s="7">
        <f>Y255+AZ255</f>
        <v>184.72220687431189</v>
      </c>
      <c r="BE255" s="7">
        <f>Y255+BA255</f>
        <v>185.19233913938015</v>
      </c>
      <c r="BF255" s="7">
        <f>Y255+BB255</f>
        <v>184.82760760516246</v>
      </c>
      <c r="BG255" s="7">
        <f t="shared" si="70"/>
        <v>184.07037581979185</v>
      </c>
      <c r="BH255" s="7">
        <f t="shared" si="71"/>
        <v>184.72220687431189</v>
      </c>
      <c r="BI255" s="7">
        <f t="shared" si="72"/>
        <v>185.19233913938015</v>
      </c>
      <c r="BJ255" s="7">
        <f t="shared" si="73"/>
        <v>184.82760760516246</v>
      </c>
    </row>
    <row r="256" spans="13:62" x14ac:dyDescent="0.35">
      <c r="M256" s="2">
        <v>254</v>
      </c>
      <c r="N256" s="3">
        <v>44145</v>
      </c>
      <c r="AB256" s="10" t="s">
        <v>19</v>
      </c>
      <c r="AC256" s="10" t="s">
        <v>19</v>
      </c>
      <c r="AD256" s="10" t="s">
        <v>19</v>
      </c>
      <c r="AE256" s="10" t="s">
        <v>19</v>
      </c>
      <c r="AF256" s="10"/>
      <c r="AG256" s="10" t="s">
        <v>19</v>
      </c>
      <c r="AH256" s="10" t="s">
        <v>19</v>
      </c>
      <c r="AI256" s="10" t="s">
        <v>19</v>
      </c>
      <c r="AJ256" s="10" t="s">
        <v>19</v>
      </c>
      <c r="AT256" s="7" t="s">
        <v>18</v>
      </c>
      <c r="AU256" s="7" t="s">
        <v>18</v>
      </c>
      <c r="AV256" s="7" t="s">
        <v>18</v>
      </c>
      <c r="AW256" s="7" t="s">
        <v>18</v>
      </c>
      <c r="BG256" s="7" t="s">
        <v>18</v>
      </c>
      <c r="BH256" s="7" t="s">
        <v>18</v>
      </c>
      <c r="BI256" s="7" t="s">
        <v>18</v>
      </c>
      <c r="BJ256" s="7" t="s">
        <v>18</v>
      </c>
    </row>
    <row r="257" spans="13:62" x14ac:dyDescent="0.35">
      <c r="M257" s="2">
        <v>255</v>
      </c>
      <c r="N257" s="3">
        <v>44146</v>
      </c>
      <c r="AB257" s="7">
        <f>SUM(AB3:AB254)/COUNT(AB3:AB254)</f>
        <v>3.8589867804666911</v>
      </c>
      <c r="AC257" s="7">
        <f>SUM(AC3:AC254)/COUNT(AC3:AC254)</f>
        <v>2.4589129906332365</v>
      </c>
      <c r="AD257" s="7">
        <f>SUM(AD3:AD254)/COUNT(AD3:AD254)</f>
        <v>2.0737982055123481</v>
      </c>
      <c r="AE257" s="7">
        <f>SUM(AE3:AE254)/COUNT(AE3:AE254)</f>
        <v>1.9612957659160075</v>
      </c>
      <c r="AF257" s="10"/>
      <c r="AG257" s="7">
        <f>SUM(AG3:AG254)/COUNT(AG3:AG254)</f>
        <v>3.0496213944889505</v>
      </c>
      <c r="AH257" s="7">
        <f>SUM(AH3:AH254)/COUNT(AH3:AH254)</f>
        <v>2.3398277048250766</v>
      </c>
      <c r="AI257" s="7">
        <f>SUM(AI3:AI254)/COUNT(AI3:AI254)</f>
        <v>2.0242184794363358</v>
      </c>
      <c r="AJ257" s="7">
        <f>SUM(AJ3:AJ254)/COUNT(AJ3:AJ254)</f>
        <v>1.888302184049121</v>
      </c>
      <c r="AT257" s="7">
        <f>SUM(AT4:AT255)/COUNT(AT4:AT255)</f>
        <v>2.1799890867993703</v>
      </c>
      <c r="AU257" s="7">
        <f>SUM(AU4:AU255)/COUNT(AU4:AU255)</f>
        <v>71.257103024100559</v>
      </c>
      <c r="AV257" s="7">
        <f>SUM(AV4:AV255)/COUNT(AV4:AV255)</f>
        <v>86.664140965902433</v>
      </c>
      <c r="AW257" s="7">
        <f>SUM(AW4:AW255)/COUNT(AW4:AW255)</f>
        <v>2.9999366254659146</v>
      </c>
      <c r="BG257" s="7">
        <f>SUM(BG4:BG255)/COUNT(BG4:BG255)</f>
        <v>3.6521873309077062</v>
      </c>
      <c r="BH257" s="7">
        <f>SUM(BH4:BH255)/COUNT(BH4:BH255)</f>
        <v>3.6050296746623514</v>
      </c>
      <c r="BI257" s="7">
        <f>SUM(BI4:BI255)/COUNT(BI4:BI255)</f>
        <v>3.5261949646112809</v>
      </c>
      <c r="BJ257" s="7">
        <f>SUM(BJ4:BJ255)/COUNT(BJ4:BJ255)</f>
        <v>3.4588667388417749</v>
      </c>
    </row>
    <row r="258" spans="13:62" x14ac:dyDescent="0.35">
      <c r="M258" s="2">
        <v>256</v>
      </c>
      <c r="N258" s="3">
        <v>44147</v>
      </c>
    </row>
    <row r="259" spans="13:62" x14ac:dyDescent="0.35">
      <c r="M259" s="2">
        <v>257</v>
      </c>
      <c r="N259" s="3">
        <v>44148</v>
      </c>
    </row>
  </sheetData>
  <sortState xmlns:xlrd2="http://schemas.microsoft.com/office/spreadsheetml/2017/richdata2" ref="AL3:AS255">
    <sortCondition ref="AQ10:AQ255"/>
  </sortState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39997558519241921"/>
  </sheetPr>
  <dimension ref="A1:AA260"/>
  <sheetViews>
    <sheetView topLeftCell="M97" workbookViewId="0">
      <selection activeCell="W120" sqref="W120"/>
    </sheetView>
  </sheetViews>
  <sheetFormatPr defaultColWidth="10.6640625" defaultRowHeight="15.5" x14ac:dyDescent="0.35"/>
  <cols>
    <col min="3" max="3" width="8.33203125" customWidth="1"/>
    <col min="4" max="4" width="17.58203125" customWidth="1"/>
    <col min="5" max="5" width="23.1640625" customWidth="1"/>
    <col min="6" max="6" width="22.58203125" customWidth="1"/>
    <col min="7" max="7" width="25.5" customWidth="1"/>
    <col min="9" max="9" width="37.6640625" customWidth="1"/>
    <col min="10" max="10" width="17.33203125" customWidth="1"/>
    <col min="11" max="11" width="15.75" customWidth="1"/>
    <col min="12" max="12" width="22.25" customWidth="1"/>
    <col min="13" max="13" width="18.5" customWidth="1"/>
    <col min="14" max="14" width="12.33203125" customWidth="1"/>
    <col min="15" max="15" width="41.5" customWidth="1"/>
    <col min="16" max="16" width="15.1640625" customWidth="1"/>
    <col min="17" max="17" width="18.9140625" customWidth="1"/>
    <col min="18" max="18" width="24.1640625" customWidth="1"/>
    <col min="19" max="19" width="19.4140625" customWidth="1"/>
    <col min="21" max="21" width="15.75" customWidth="1"/>
    <col min="22" max="22" width="22.25" customWidth="1"/>
    <col min="25" max="25" width="18.9140625" customWidth="1"/>
    <col min="26" max="26" width="24.1640625" customWidth="1"/>
  </cols>
  <sheetData>
    <row r="1" spans="1:27" x14ac:dyDescent="0.35">
      <c r="A1" s="10" t="s">
        <v>32</v>
      </c>
      <c r="B1" s="2" t="s">
        <v>0</v>
      </c>
      <c r="C1" s="2" t="s">
        <v>5</v>
      </c>
      <c r="D1" s="2" t="s">
        <v>1</v>
      </c>
      <c r="E1" s="2" t="s">
        <v>2</v>
      </c>
      <c r="F1" s="2" t="s">
        <v>4</v>
      </c>
      <c r="G1" s="2" t="s">
        <v>3</v>
      </c>
      <c r="I1" s="10" t="s">
        <v>34</v>
      </c>
      <c r="J1" s="2" t="s">
        <v>35</v>
      </c>
      <c r="K1" s="2" t="s">
        <v>36</v>
      </c>
      <c r="L1" s="2" t="s">
        <v>37</v>
      </c>
      <c r="M1" s="2" t="s">
        <v>40</v>
      </c>
      <c r="O1" s="10" t="s">
        <v>41</v>
      </c>
      <c r="P1" s="2" t="s">
        <v>35</v>
      </c>
      <c r="Q1" s="2" t="s">
        <v>38</v>
      </c>
      <c r="R1" s="2" t="s">
        <v>39</v>
      </c>
      <c r="S1" s="2" t="s">
        <v>40</v>
      </c>
      <c r="T1" s="10" t="s">
        <v>31</v>
      </c>
      <c r="U1" s="11" t="s">
        <v>106</v>
      </c>
      <c r="V1" s="19" t="s">
        <v>37</v>
      </c>
      <c r="W1" s="20" t="s">
        <v>50</v>
      </c>
      <c r="Y1" s="11" t="s">
        <v>107</v>
      </c>
      <c r="Z1" s="19" t="s">
        <v>39</v>
      </c>
      <c r="AA1" s="20" t="s">
        <v>50</v>
      </c>
    </row>
    <row r="2" spans="1:27" x14ac:dyDescent="0.35">
      <c r="B2" s="3">
        <v>43777</v>
      </c>
      <c r="C2" s="2">
        <v>1</v>
      </c>
      <c r="D2" s="1">
        <v>63.954543999999999</v>
      </c>
      <c r="E2" s="2">
        <v>69986400</v>
      </c>
      <c r="F2" s="1">
        <v>177.02937299999999</v>
      </c>
      <c r="G2" s="2">
        <v>1636800</v>
      </c>
      <c r="J2">
        <v>0.5</v>
      </c>
      <c r="K2" s="1">
        <v>63.954543999999999</v>
      </c>
      <c r="P2">
        <v>0.5</v>
      </c>
      <c r="Q2" s="1">
        <v>177.02937299999999</v>
      </c>
      <c r="U2" s="1">
        <v>63.954543999999999</v>
      </c>
      <c r="Y2" s="1">
        <v>177.02937299999999</v>
      </c>
    </row>
    <row r="3" spans="1:27" x14ac:dyDescent="0.35">
      <c r="B3" s="3">
        <v>43780</v>
      </c>
      <c r="C3" s="2">
        <v>2</v>
      </c>
      <c r="D3" s="1">
        <v>64.460991000000007</v>
      </c>
      <c r="E3" s="2">
        <v>81821200</v>
      </c>
      <c r="F3" s="1">
        <v>176.658142</v>
      </c>
      <c r="G3" s="2">
        <v>1594600</v>
      </c>
      <c r="J3" s="5">
        <v>0.3</v>
      </c>
      <c r="K3" s="1">
        <v>64.460991000000007</v>
      </c>
      <c r="P3" s="5">
        <v>0.3</v>
      </c>
      <c r="Q3" s="1">
        <v>176.658142</v>
      </c>
      <c r="U3" s="1">
        <v>64.460991000000007</v>
      </c>
      <c r="Y3" s="1">
        <v>176.658142</v>
      </c>
    </row>
    <row r="4" spans="1:27" x14ac:dyDescent="0.35">
      <c r="B4" s="3">
        <v>43781</v>
      </c>
      <c r="C4" s="2">
        <v>3</v>
      </c>
      <c r="D4" s="1">
        <v>64.401978</v>
      </c>
      <c r="E4" s="2">
        <v>87388800</v>
      </c>
      <c r="F4" s="1">
        <v>177.810913</v>
      </c>
      <c r="G4" s="2">
        <v>1816900</v>
      </c>
      <c r="J4">
        <v>0.2</v>
      </c>
      <c r="K4" s="1">
        <v>64.401978</v>
      </c>
      <c r="P4">
        <v>0.2</v>
      </c>
      <c r="Q4" s="1">
        <v>177.810913</v>
      </c>
      <c r="U4" s="1">
        <v>64.401978</v>
      </c>
      <c r="Y4" s="1">
        <v>177.810913</v>
      </c>
    </row>
    <row r="5" spans="1:27" x14ac:dyDescent="0.35">
      <c r="B5" s="3">
        <v>43782</v>
      </c>
      <c r="C5" s="2">
        <v>4</v>
      </c>
      <c r="D5" s="1">
        <v>65.019051000000005</v>
      </c>
      <c r="E5" s="2">
        <v>102734400</v>
      </c>
      <c r="F5" s="1">
        <v>177.752319</v>
      </c>
      <c r="G5" s="2">
        <v>1855200</v>
      </c>
      <c r="J5" s="6"/>
      <c r="K5" s="1">
        <v>65.019051000000005</v>
      </c>
      <c r="L5" s="5">
        <f t="shared" ref="L5:L69" si="0">D2*$J$2+D3*$J$3+D4*$J$4</f>
        <v>64.195964900000007</v>
      </c>
      <c r="M5" s="5"/>
      <c r="Q5" s="1">
        <v>177.752319</v>
      </c>
      <c r="R5" s="5">
        <f>F2*$J$2+F3*$J$3+F4*$J$4</f>
        <v>177.07431169999998</v>
      </c>
      <c r="U5" s="1">
        <v>65.019051000000005</v>
      </c>
      <c r="V5" s="5">
        <v>64.195964900000007</v>
      </c>
      <c r="W5" s="5">
        <f>ABS(U5-V5)</f>
        <v>0.8230860999999976</v>
      </c>
      <c r="Y5" s="1">
        <v>177.752319</v>
      </c>
      <c r="Z5" s="5">
        <v>177.07431169999998</v>
      </c>
      <c r="AA5" s="5">
        <f>ABS(Y5-Z5)</f>
        <v>0.67800730000001863</v>
      </c>
    </row>
    <row r="6" spans="1:27" x14ac:dyDescent="0.35">
      <c r="B6" s="3">
        <v>43783</v>
      </c>
      <c r="C6" s="2">
        <v>5</v>
      </c>
      <c r="D6" s="1">
        <v>64.569159999999997</v>
      </c>
      <c r="E6" s="2">
        <v>89182800</v>
      </c>
      <c r="F6" s="1">
        <v>176.37780799999999</v>
      </c>
      <c r="G6" s="2">
        <v>2208300</v>
      </c>
      <c r="K6" s="1">
        <v>64.569159999999997</v>
      </c>
      <c r="L6" s="5">
        <f t="shared" si="0"/>
        <v>64.5548991</v>
      </c>
      <c r="M6" s="5"/>
      <c r="Q6" s="1">
        <v>176.37780799999999</v>
      </c>
      <c r="R6" s="5">
        <f>F3*$J$2+F4*$J$3+F5*$J$4</f>
        <v>177.22280869999997</v>
      </c>
      <c r="U6" s="1">
        <v>64.569159999999997</v>
      </c>
      <c r="V6" s="5">
        <v>64.5548991</v>
      </c>
      <c r="W6" s="5">
        <f t="shared" ref="W6:W69" si="1">ABS(U6-V6)</f>
        <v>1.4260899999996468E-2</v>
      </c>
      <c r="Y6" s="1">
        <v>176.37780799999999</v>
      </c>
      <c r="Z6" s="5">
        <v>177.22280869999997</v>
      </c>
      <c r="AA6" s="5">
        <f t="shared" ref="AA6:AA69" si="2">ABS(Y6-Z6)</f>
        <v>0.84500069999998573</v>
      </c>
    </row>
    <row r="7" spans="1:27" x14ac:dyDescent="0.35">
      <c r="B7" s="3">
        <v>43784</v>
      </c>
      <c r="C7" s="2">
        <v>6</v>
      </c>
      <c r="D7" s="1">
        <v>65.336212000000003</v>
      </c>
      <c r="E7" s="2">
        <v>100206400</v>
      </c>
      <c r="F7" s="1">
        <v>178.43956</v>
      </c>
      <c r="G7" s="2">
        <v>3242700</v>
      </c>
      <c r="K7" s="1">
        <v>65.336212000000003</v>
      </c>
      <c r="L7" s="5">
        <f t="shared" si="0"/>
        <v>64.620536299999998</v>
      </c>
      <c r="M7" s="5"/>
      <c r="Q7" s="1">
        <v>178.43956</v>
      </c>
      <c r="R7" s="5">
        <f>F4*$J$2+F5*$J$3+F6*$J$4</f>
        <v>177.5067138</v>
      </c>
      <c r="U7" s="1">
        <v>65.336212000000003</v>
      </c>
      <c r="V7" s="5">
        <v>64.620536299999998</v>
      </c>
      <c r="W7" s="5">
        <f t="shared" si="1"/>
        <v>0.71567570000000558</v>
      </c>
      <c r="Y7" s="1">
        <v>178.43956</v>
      </c>
      <c r="Z7" s="5">
        <v>177.5067138</v>
      </c>
      <c r="AA7" s="5">
        <f t="shared" si="2"/>
        <v>0.93284620000000018</v>
      </c>
    </row>
    <row r="8" spans="1:27" x14ac:dyDescent="0.35">
      <c r="B8" s="3">
        <v>43787</v>
      </c>
      <c r="C8" s="2">
        <v>7</v>
      </c>
      <c r="D8" s="1">
        <v>65.665633999999997</v>
      </c>
      <c r="E8" s="2">
        <v>86703200</v>
      </c>
      <c r="F8" s="1">
        <v>176.52507</v>
      </c>
      <c r="G8" s="2">
        <v>2405800</v>
      </c>
      <c r="K8" s="1">
        <v>65.665633999999997</v>
      </c>
      <c r="L8" s="5">
        <f t="shared" si="0"/>
        <v>64.947515899999999</v>
      </c>
      <c r="M8" s="5"/>
      <c r="Q8" s="1">
        <v>176.52507</v>
      </c>
      <c r="R8" s="5">
        <f>F5*$J$2+F6*$J$3+F7*$J$4</f>
        <v>177.47741390000002</v>
      </c>
      <c r="U8" s="1">
        <v>65.665633999999997</v>
      </c>
      <c r="V8" s="5">
        <v>64.947515899999999</v>
      </c>
      <c r="W8" s="5">
        <f t="shared" si="1"/>
        <v>0.71811809999999809</v>
      </c>
      <c r="Y8" s="1">
        <v>176.52507</v>
      </c>
      <c r="Z8" s="5">
        <v>177.47741390000002</v>
      </c>
      <c r="AA8" s="5">
        <f t="shared" si="2"/>
        <v>0.95234390000001667</v>
      </c>
    </row>
    <row r="9" spans="1:27" x14ac:dyDescent="0.35">
      <c r="B9" s="3">
        <v>43788</v>
      </c>
      <c r="C9" s="2">
        <v>8</v>
      </c>
      <c r="D9" s="1">
        <v>65.466507000000007</v>
      </c>
      <c r="E9" s="2">
        <v>76167200</v>
      </c>
      <c r="F9" s="1">
        <v>176.839249</v>
      </c>
      <c r="G9" s="2">
        <v>2673200</v>
      </c>
      <c r="K9" s="1">
        <v>65.466507000000007</v>
      </c>
      <c r="L9" s="5">
        <f t="shared" si="0"/>
        <v>65.018570400000002</v>
      </c>
      <c r="M9" s="5"/>
      <c r="Q9" s="1">
        <v>176.839249</v>
      </c>
      <c r="R9" s="5">
        <f>F6*$J$2+F7*$J$3+F8*$J$4</f>
        <v>177.02578599999998</v>
      </c>
      <c r="U9" s="1">
        <v>65.466507000000007</v>
      </c>
      <c r="V9" s="5">
        <v>65.018570400000002</v>
      </c>
      <c r="W9" s="5">
        <f t="shared" si="1"/>
        <v>0.44793660000000557</v>
      </c>
      <c r="Y9" s="1">
        <v>176.839249</v>
      </c>
      <c r="Z9" s="5">
        <v>177.02578599999998</v>
      </c>
      <c r="AA9" s="5">
        <f t="shared" si="2"/>
        <v>0.18653699999998707</v>
      </c>
    </row>
    <row r="10" spans="1:27" x14ac:dyDescent="0.35">
      <c r="B10" s="3">
        <v>43789</v>
      </c>
      <c r="C10" s="2">
        <v>9</v>
      </c>
      <c r="D10" s="1">
        <v>64.704375999999996</v>
      </c>
      <c r="E10" s="2">
        <v>106234400</v>
      </c>
      <c r="F10" s="1">
        <v>173.99208100000001</v>
      </c>
      <c r="G10" s="2">
        <v>4190700</v>
      </c>
      <c r="K10" s="1">
        <v>64.704375999999996</v>
      </c>
      <c r="L10" s="5">
        <f t="shared" si="0"/>
        <v>65.461097600000002</v>
      </c>
      <c r="M10" s="5"/>
      <c r="Q10" s="1">
        <v>173.99208100000001</v>
      </c>
      <c r="R10" s="5">
        <f>F7*$J$2+F8*$J$3+F9*$J$4</f>
        <v>177.54515079999999</v>
      </c>
      <c r="U10" s="1">
        <v>64.704375999999996</v>
      </c>
      <c r="V10" s="5">
        <v>65.461097600000002</v>
      </c>
      <c r="W10" s="5">
        <f t="shared" si="1"/>
        <v>0.75672160000000588</v>
      </c>
      <c r="Y10" s="1">
        <v>173.99208100000001</v>
      </c>
      <c r="Z10" s="5">
        <v>177.54515079999999</v>
      </c>
      <c r="AA10" s="5">
        <f t="shared" si="2"/>
        <v>3.5530697999999745</v>
      </c>
    </row>
    <row r="11" spans="1:27" x14ac:dyDescent="0.35">
      <c r="B11" s="3">
        <v>43790</v>
      </c>
      <c r="C11" s="2">
        <v>10</v>
      </c>
      <c r="D11" s="1">
        <v>64.414268000000007</v>
      </c>
      <c r="E11" s="2">
        <v>121395200</v>
      </c>
      <c r="F11" s="1">
        <v>173.31463600000001</v>
      </c>
      <c r="G11" s="2">
        <v>3135100</v>
      </c>
      <c r="K11" s="1">
        <v>64.414268000000007</v>
      </c>
      <c r="L11" s="5">
        <f t="shared" si="0"/>
        <v>65.413644300000001</v>
      </c>
      <c r="M11" s="5"/>
      <c r="Q11" s="1">
        <v>173.31463600000001</v>
      </c>
      <c r="R11" s="5">
        <f>F8*$J$2+F9*$J$3+F10*$J$4</f>
        <v>176.11272589999999</v>
      </c>
      <c r="U11" s="1">
        <v>64.414268000000007</v>
      </c>
      <c r="V11" s="5">
        <v>65.413644300000001</v>
      </c>
      <c r="W11" s="5">
        <f t="shared" si="1"/>
        <v>0.99937629999999444</v>
      </c>
      <c r="Y11" s="1">
        <v>173.31463600000001</v>
      </c>
      <c r="Z11" s="5">
        <v>176.11272589999999</v>
      </c>
      <c r="AA11" s="5">
        <f t="shared" si="2"/>
        <v>2.7980898999999795</v>
      </c>
    </row>
    <row r="12" spans="1:27" x14ac:dyDescent="0.35">
      <c r="B12" s="3">
        <v>43791</v>
      </c>
      <c r="C12" s="2">
        <v>11</v>
      </c>
      <c r="D12" s="1">
        <v>64.357726999999997</v>
      </c>
      <c r="E12" s="2">
        <v>65325200</v>
      </c>
      <c r="F12" s="1">
        <v>173.56990099999999</v>
      </c>
      <c r="G12" s="2">
        <v>1852200</v>
      </c>
      <c r="K12" s="1">
        <v>64.357726999999997</v>
      </c>
      <c r="L12" s="5">
        <f t="shared" si="0"/>
        <v>65.027419899999998</v>
      </c>
      <c r="M12" s="5"/>
      <c r="Q12" s="1">
        <v>173.56990099999999</v>
      </c>
      <c r="R12" s="5">
        <f>F9*$J$2+F10*$J$3+F11*$J$4</f>
        <v>175.28017600000001</v>
      </c>
      <c r="U12" s="1">
        <v>64.357726999999997</v>
      </c>
      <c r="V12" s="5">
        <v>65.027419899999998</v>
      </c>
      <c r="W12" s="5">
        <f t="shared" si="1"/>
        <v>0.66969290000000115</v>
      </c>
      <c r="Y12" s="1">
        <v>173.56990099999999</v>
      </c>
      <c r="Z12" s="5">
        <v>175.28017600000001</v>
      </c>
      <c r="AA12" s="5">
        <f t="shared" si="2"/>
        <v>1.7102750000000242</v>
      </c>
    </row>
    <row r="13" spans="1:27" x14ac:dyDescent="0.35">
      <c r="B13" s="3">
        <v>43794</v>
      </c>
      <c r="C13" s="2">
        <v>12</v>
      </c>
      <c r="D13" s="1">
        <v>65.486168000000006</v>
      </c>
      <c r="E13" s="2">
        <v>84020400</v>
      </c>
      <c r="F13" s="1">
        <v>173.29499799999999</v>
      </c>
      <c r="G13" s="2">
        <v>2657500</v>
      </c>
      <c r="K13" s="1">
        <v>65.486168000000006</v>
      </c>
      <c r="L13" s="5">
        <f t="shared" si="0"/>
        <v>64.548013800000007</v>
      </c>
      <c r="M13" s="5"/>
      <c r="Q13" s="1">
        <v>173.29499799999999</v>
      </c>
      <c r="R13" s="5">
        <f>F10*$J$2+F11*$J$3+F12*$J$4</f>
        <v>173.70441150000002</v>
      </c>
      <c r="U13" s="1">
        <v>65.486168000000006</v>
      </c>
      <c r="V13" s="5">
        <v>64.548013800000007</v>
      </c>
      <c r="W13" s="5">
        <f t="shared" si="1"/>
        <v>0.93815419999999961</v>
      </c>
      <c r="Y13" s="1">
        <v>173.29499799999999</v>
      </c>
      <c r="Z13" s="5">
        <v>173.70441150000002</v>
      </c>
      <c r="AA13" s="5">
        <f t="shared" si="2"/>
        <v>0.40941350000002785</v>
      </c>
    </row>
    <row r="14" spans="1:27" x14ac:dyDescent="0.35">
      <c r="B14" s="3">
        <v>43795</v>
      </c>
      <c r="C14" s="2">
        <v>13</v>
      </c>
      <c r="D14" s="1">
        <v>64.974815000000007</v>
      </c>
      <c r="E14" s="2">
        <v>105207600</v>
      </c>
      <c r="F14" s="1">
        <v>175.26838699999999</v>
      </c>
      <c r="G14" s="2">
        <v>4578900</v>
      </c>
      <c r="K14" s="1">
        <v>64.974815000000007</v>
      </c>
      <c r="L14" s="5">
        <f t="shared" si="0"/>
        <v>64.61168570000001</v>
      </c>
      <c r="M14" s="5"/>
      <c r="Q14" s="1">
        <v>175.26838699999999</v>
      </c>
      <c r="R14" s="5">
        <f>F11*$J$2+F12*$J$3+F13*$J$4</f>
        <v>173.38728789999999</v>
      </c>
      <c r="U14" s="1">
        <v>64.974815000000007</v>
      </c>
      <c r="V14" s="5">
        <v>64.61168570000001</v>
      </c>
      <c r="W14" s="5">
        <f t="shared" si="1"/>
        <v>0.3631292999999971</v>
      </c>
      <c r="Y14" s="1">
        <v>175.26838699999999</v>
      </c>
      <c r="Z14" s="5">
        <v>173.38728789999999</v>
      </c>
      <c r="AA14" s="5">
        <f t="shared" si="2"/>
        <v>1.8810991000000001</v>
      </c>
    </row>
    <row r="15" spans="1:27" x14ac:dyDescent="0.35">
      <c r="B15" s="3">
        <v>43796</v>
      </c>
      <c r="C15" s="2">
        <v>14</v>
      </c>
      <c r="D15" s="1">
        <v>65.847565000000003</v>
      </c>
      <c r="E15" s="2">
        <v>65235600</v>
      </c>
      <c r="F15" s="1">
        <v>176.151993</v>
      </c>
      <c r="G15" s="2">
        <v>1044800</v>
      </c>
      <c r="K15" s="1">
        <v>65.847565000000003</v>
      </c>
      <c r="L15" s="5">
        <f t="shared" si="0"/>
        <v>64.819676900000005</v>
      </c>
      <c r="M15" s="5"/>
      <c r="Q15" s="1">
        <v>176.151993</v>
      </c>
      <c r="R15" s="5">
        <f>F12*$J$2+F13*$J$3+F14*$J$4</f>
        <v>173.8271273</v>
      </c>
      <c r="U15" s="1">
        <v>65.847565000000003</v>
      </c>
      <c r="V15" s="5">
        <v>64.819676900000005</v>
      </c>
      <c r="W15" s="5">
        <f t="shared" si="1"/>
        <v>1.0278880999999984</v>
      </c>
      <c r="Y15" s="1">
        <v>176.151993</v>
      </c>
      <c r="Z15" s="5">
        <v>173.8271273</v>
      </c>
      <c r="AA15" s="5">
        <f t="shared" si="2"/>
        <v>2.3248657000000037</v>
      </c>
    </row>
    <row r="16" spans="1:27" x14ac:dyDescent="0.35">
      <c r="B16" s="3">
        <v>43798</v>
      </c>
      <c r="C16" s="2">
        <v>15</v>
      </c>
      <c r="D16" s="1">
        <v>65.702515000000005</v>
      </c>
      <c r="E16" s="2">
        <v>46617600</v>
      </c>
      <c r="F16" s="1">
        <v>175.29785200000001</v>
      </c>
      <c r="G16" s="2">
        <v>1633100</v>
      </c>
      <c r="K16" s="1">
        <v>65.702515000000005</v>
      </c>
      <c r="L16" s="5">
        <f t="shared" si="0"/>
        <v>65.40504150000001</v>
      </c>
      <c r="M16" s="5"/>
      <c r="Q16" s="1">
        <v>175.29785200000001</v>
      </c>
      <c r="R16" s="5">
        <f>F13*$J$2+F14*$J$3+F15*$J$4</f>
        <v>174.45841369999999</v>
      </c>
      <c r="U16" s="1">
        <v>65.702515000000005</v>
      </c>
      <c r="V16" s="5">
        <v>65.40504150000001</v>
      </c>
      <c r="W16" s="5">
        <f t="shared" si="1"/>
        <v>0.29747349999999528</v>
      </c>
      <c r="Y16" s="1">
        <v>175.29785200000001</v>
      </c>
      <c r="Z16" s="5">
        <v>174.45841369999999</v>
      </c>
      <c r="AA16" s="5">
        <f t="shared" si="2"/>
        <v>0.83943830000001185</v>
      </c>
    </row>
    <row r="17" spans="2:27" x14ac:dyDescent="0.35">
      <c r="B17" s="3">
        <v>43801</v>
      </c>
      <c r="C17" s="2">
        <v>16</v>
      </c>
      <c r="D17" s="1">
        <v>64.942841000000001</v>
      </c>
      <c r="E17" s="2">
        <v>94487200</v>
      </c>
      <c r="F17" s="1">
        <v>171.144913</v>
      </c>
      <c r="G17" s="2">
        <v>3053500</v>
      </c>
      <c r="K17" s="1">
        <v>64.942841000000001</v>
      </c>
      <c r="L17" s="5">
        <f t="shared" si="0"/>
        <v>65.382180000000005</v>
      </c>
      <c r="M17" s="5"/>
      <c r="Q17" s="1">
        <v>171.144913</v>
      </c>
      <c r="R17" s="5">
        <f>F14*$J$2+F15*$J$3+F16*$J$4</f>
        <v>175.53936180000002</v>
      </c>
      <c r="U17" s="1">
        <v>64.942841000000001</v>
      </c>
      <c r="V17" s="5">
        <v>65.382180000000005</v>
      </c>
      <c r="W17" s="5">
        <f t="shared" si="1"/>
        <v>0.43933900000000392</v>
      </c>
      <c r="Y17" s="1">
        <v>171.144913</v>
      </c>
      <c r="Z17" s="5">
        <v>175.53936180000002</v>
      </c>
      <c r="AA17" s="5">
        <f t="shared" si="2"/>
        <v>4.3944488000000206</v>
      </c>
    </row>
    <row r="18" spans="2:27" x14ac:dyDescent="0.35">
      <c r="B18" s="3">
        <v>43802</v>
      </c>
      <c r="C18" s="2">
        <v>17</v>
      </c>
      <c r="D18" s="1">
        <v>63.784916000000003</v>
      </c>
      <c r="E18" s="2">
        <v>114430400</v>
      </c>
      <c r="F18" s="1">
        <v>169.40713500000001</v>
      </c>
      <c r="G18" s="2">
        <v>3775500</v>
      </c>
      <c r="K18" s="1">
        <v>63.784916000000003</v>
      </c>
      <c r="L18" s="5">
        <f t="shared" si="0"/>
        <v>65.623105199999998</v>
      </c>
      <c r="M18" s="5"/>
      <c r="Q18" s="1">
        <v>169.40713500000001</v>
      </c>
      <c r="R18" s="5">
        <f>F15*$J$2+F16*$J$3+F17*$J$4</f>
        <v>174.8943347</v>
      </c>
      <c r="U18" s="1">
        <v>63.784916000000003</v>
      </c>
      <c r="V18" s="5">
        <v>65.623105199999998</v>
      </c>
      <c r="W18" s="5">
        <f t="shared" si="1"/>
        <v>1.8381891999999951</v>
      </c>
      <c r="Y18" s="1">
        <v>169.40713500000001</v>
      </c>
      <c r="Z18" s="5">
        <v>174.8943347</v>
      </c>
      <c r="AA18" s="5">
        <f t="shared" si="2"/>
        <v>5.4871996999999908</v>
      </c>
    </row>
    <row r="19" spans="2:27" x14ac:dyDescent="0.35">
      <c r="B19" s="3">
        <v>43803</v>
      </c>
      <c r="C19" s="2">
        <v>18</v>
      </c>
      <c r="D19" s="1">
        <v>64.347892999999999</v>
      </c>
      <c r="E19" s="2">
        <v>67181600</v>
      </c>
      <c r="F19" s="1">
        <v>170.055115</v>
      </c>
      <c r="G19" s="2">
        <v>2933400</v>
      </c>
      <c r="K19" s="1">
        <v>64.347892999999999</v>
      </c>
      <c r="L19" s="5">
        <f t="shared" si="0"/>
        <v>65.091093000000001</v>
      </c>
      <c r="M19" s="5"/>
      <c r="Q19" s="1">
        <v>170.055115</v>
      </c>
      <c r="R19" s="5">
        <f>F16*$J$2+F17*$J$3+F18*$J$4</f>
        <v>172.87382690000001</v>
      </c>
      <c r="U19" s="1">
        <v>64.347892999999999</v>
      </c>
      <c r="V19" s="5">
        <v>65.091093000000001</v>
      </c>
      <c r="W19" s="5">
        <f t="shared" si="1"/>
        <v>0.74320000000000164</v>
      </c>
      <c r="Y19" s="1">
        <v>170.055115</v>
      </c>
      <c r="Z19" s="5">
        <v>172.87382690000001</v>
      </c>
      <c r="AA19" s="5">
        <f t="shared" si="2"/>
        <v>2.8187119000000109</v>
      </c>
    </row>
    <row r="20" spans="2:27" x14ac:dyDescent="0.35">
      <c r="B20" s="3">
        <v>43804</v>
      </c>
      <c r="C20" s="2">
        <v>19</v>
      </c>
      <c r="D20" s="1">
        <v>65.291945999999996</v>
      </c>
      <c r="E20" s="2">
        <v>74424400</v>
      </c>
      <c r="F20" s="1">
        <v>170.84053</v>
      </c>
      <c r="G20" s="2">
        <v>2342100</v>
      </c>
      <c r="K20" s="1">
        <v>65.291945999999996</v>
      </c>
      <c r="L20" s="5">
        <f t="shared" si="0"/>
        <v>64.476473900000002</v>
      </c>
      <c r="M20" s="5"/>
      <c r="Q20" s="1">
        <v>170.84053</v>
      </c>
      <c r="R20" s="5">
        <f>F17*$J$2+F18*$J$3+F19*$J$4</f>
        <v>170.40562</v>
      </c>
      <c r="U20" s="1">
        <v>65.291945999999996</v>
      </c>
      <c r="V20" s="5">
        <v>64.476473900000002</v>
      </c>
      <c r="W20" s="5">
        <f t="shared" si="1"/>
        <v>0.81547209999999382</v>
      </c>
      <c r="Y20" s="1">
        <v>170.84053</v>
      </c>
      <c r="Z20" s="5">
        <v>170.40562</v>
      </c>
      <c r="AA20" s="5">
        <f t="shared" si="2"/>
        <v>0.43491000000000213</v>
      </c>
    </row>
    <row r="21" spans="2:27" x14ac:dyDescent="0.35">
      <c r="B21" s="3">
        <v>43805</v>
      </c>
      <c r="C21" s="2">
        <v>20</v>
      </c>
      <c r="D21" s="1">
        <v>66.553130999999993</v>
      </c>
      <c r="E21" s="2">
        <v>106075600</v>
      </c>
      <c r="F21" s="1">
        <v>172.26414500000001</v>
      </c>
      <c r="G21" s="2">
        <v>2118000</v>
      </c>
      <c r="K21" s="1">
        <v>66.553130999999993</v>
      </c>
      <c r="L21" s="5">
        <f t="shared" si="0"/>
        <v>64.255215100000001</v>
      </c>
      <c r="M21" s="5"/>
      <c r="Q21" s="1">
        <v>172.26414500000001</v>
      </c>
      <c r="R21" s="5">
        <f>F18*$J$2+F19*$J$3+F20*$J$4</f>
        <v>169.88820799999999</v>
      </c>
      <c r="U21" s="1">
        <v>66.553130999999993</v>
      </c>
      <c r="V21" s="5">
        <v>64.255215100000001</v>
      </c>
      <c r="W21" s="5">
        <f t="shared" si="1"/>
        <v>2.2979158999999925</v>
      </c>
      <c r="Y21" s="1">
        <v>172.26414500000001</v>
      </c>
      <c r="Z21" s="5">
        <v>169.88820799999999</v>
      </c>
      <c r="AA21" s="5">
        <f t="shared" si="2"/>
        <v>2.3759370000000217</v>
      </c>
    </row>
    <row r="22" spans="2:27" x14ac:dyDescent="0.35">
      <c r="B22" s="3">
        <v>43808</v>
      </c>
      <c r="C22" s="2">
        <v>21</v>
      </c>
      <c r="D22" s="1">
        <v>65.621384000000006</v>
      </c>
      <c r="E22" s="2">
        <v>128042400</v>
      </c>
      <c r="F22" s="1">
        <v>171.31179800000001</v>
      </c>
      <c r="G22" s="2">
        <v>1556500</v>
      </c>
      <c r="K22" s="1">
        <v>65.621384000000006</v>
      </c>
      <c r="L22" s="5">
        <f t="shared" si="0"/>
        <v>65.072156499999991</v>
      </c>
      <c r="M22" s="5"/>
      <c r="Q22" s="1">
        <v>171.31179800000001</v>
      </c>
      <c r="R22" s="5">
        <f>F19*$J$2+F20*$J$3+F21*$J$4</f>
        <v>170.73254550000001</v>
      </c>
      <c r="U22" s="1">
        <v>65.621384000000006</v>
      </c>
      <c r="V22" s="5">
        <v>65.072156499999991</v>
      </c>
      <c r="W22" s="5">
        <f t="shared" si="1"/>
        <v>0.54922750000001486</v>
      </c>
      <c r="Y22" s="1">
        <v>171.31179800000001</v>
      </c>
      <c r="Z22" s="5">
        <v>170.73254550000001</v>
      </c>
      <c r="AA22" s="5">
        <f t="shared" si="2"/>
        <v>0.57925249999999551</v>
      </c>
    </row>
    <row r="23" spans="2:27" x14ac:dyDescent="0.35">
      <c r="B23" s="3">
        <v>43809</v>
      </c>
      <c r="C23" s="2">
        <v>22</v>
      </c>
      <c r="D23" s="1">
        <v>66.004897999999997</v>
      </c>
      <c r="E23" s="2">
        <v>90420400</v>
      </c>
      <c r="F23" s="1">
        <v>170.86998</v>
      </c>
      <c r="G23" s="2">
        <v>2027800</v>
      </c>
      <c r="K23" s="1">
        <v>66.004897999999997</v>
      </c>
      <c r="L23" s="5">
        <f t="shared" si="0"/>
        <v>65.736189100000004</v>
      </c>
      <c r="M23" s="5"/>
      <c r="Q23" s="1">
        <v>170.86998</v>
      </c>
      <c r="R23" s="5">
        <f>F20*$J$2+F21*$J$3+F22*$J$4</f>
        <v>171.36186810000001</v>
      </c>
      <c r="U23" s="1">
        <v>66.004897999999997</v>
      </c>
      <c r="V23" s="5">
        <v>65.736189100000004</v>
      </c>
      <c r="W23" s="5">
        <f t="shared" si="1"/>
        <v>0.26870889999999292</v>
      </c>
      <c r="Y23" s="1">
        <v>170.86998</v>
      </c>
      <c r="Z23" s="5">
        <v>171.36186810000001</v>
      </c>
      <c r="AA23" s="5">
        <f t="shared" si="2"/>
        <v>0.49188810000001126</v>
      </c>
    </row>
    <row r="24" spans="2:27" x14ac:dyDescent="0.35">
      <c r="B24" s="3">
        <v>43810</v>
      </c>
      <c r="C24" s="2">
        <v>23</v>
      </c>
      <c r="D24" s="1">
        <v>66.567886000000001</v>
      </c>
      <c r="E24" s="2">
        <v>78756800</v>
      </c>
      <c r="F24" s="1">
        <v>172.804092</v>
      </c>
      <c r="G24" s="2">
        <v>2174100</v>
      </c>
      <c r="K24" s="1">
        <v>66.567886000000001</v>
      </c>
      <c r="L24" s="5">
        <f t="shared" si="0"/>
        <v>66.163960299999999</v>
      </c>
      <c r="M24" s="5"/>
      <c r="Q24" s="1">
        <v>172.804092</v>
      </c>
      <c r="R24" s="5">
        <f>F21*$J$2+F22*$J$3+F23*$J$4</f>
        <v>171.69960789999999</v>
      </c>
      <c r="U24" s="1">
        <v>66.567886000000001</v>
      </c>
      <c r="V24" s="5">
        <v>66.163960299999999</v>
      </c>
      <c r="W24" s="5">
        <f t="shared" si="1"/>
        <v>0.40392570000000205</v>
      </c>
      <c r="Y24" s="1">
        <v>172.804092</v>
      </c>
      <c r="Z24" s="5">
        <v>171.69960789999999</v>
      </c>
      <c r="AA24" s="5">
        <f t="shared" si="2"/>
        <v>1.1044841000000076</v>
      </c>
    </row>
    <row r="25" spans="2:27" x14ac:dyDescent="0.35">
      <c r="B25" s="3">
        <v>43811</v>
      </c>
      <c r="C25" s="2">
        <v>24</v>
      </c>
      <c r="D25" s="1">
        <v>66.737517999999994</v>
      </c>
      <c r="E25" s="2">
        <v>137310400</v>
      </c>
      <c r="F25" s="1">
        <v>174.15898100000001</v>
      </c>
      <c r="G25" s="2">
        <v>2277600</v>
      </c>
      <c r="K25" s="1">
        <v>66.737517999999994</v>
      </c>
      <c r="L25" s="5">
        <f t="shared" si="0"/>
        <v>65.925738600000003</v>
      </c>
      <c r="M25" s="5"/>
      <c r="Q25" s="1">
        <v>174.15898100000001</v>
      </c>
      <c r="R25" s="5">
        <f>F22*$J$2+F23*$J$3+F24*$J$4</f>
        <v>171.47771140000003</v>
      </c>
      <c r="U25" s="1">
        <v>66.737517999999994</v>
      </c>
      <c r="V25" s="5">
        <v>65.925738600000003</v>
      </c>
      <c r="W25" s="5">
        <f t="shared" si="1"/>
        <v>0.81177939999999182</v>
      </c>
      <c r="Y25" s="1">
        <v>174.15898100000001</v>
      </c>
      <c r="Z25" s="5">
        <v>171.47771140000003</v>
      </c>
      <c r="AA25" s="5">
        <f t="shared" si="2"/>
        <v>2.6812695999999789</v>
      </c>
    </row>
    <row r="26" spans="2:27" x14ac:dyDescent="0.35">
      <c r="B26" s="3">
        <v>43812</v>
      </c>
      <c r="C26" s="2">
        <v>25</v>
      </c>
      <c r="D26" s="1">
        <v>67.644706999999997</v>
      </c>
      <c r="E26" s="2">
        <v>133587600</v>
      </c>
      <c r="F26" s="1">
        <v>173.756439</v>
      </c>
      <c r="G26" s="2">
        <v>2050200</v>
      </c>
      <c r="K26" s="1">
        <v>67.644706999999997</v>
      </c>
      <c r="L26" s="5">
        <f t="shared" si="0"/>
        <v>66.320318399999991</v>
      </c>
      <c r="M26" s="5"/>
      <c r="Q26" s="1">
        <v>173.756439</v>
      </c>
      <c r="R26" s="5">
        <f>F23*$J$2+F24*$J$3+F25*$J$4</f>
        <v>172.10801380000001</v>
      </c>
      <c r="U26" s="1">
        <v>67.644706999999997</v>
      </c>
      <c r="V26" s="5">
        <v>66.320318399999991</v>
      </c>
      <c r="W26" s="5">
        <f t="shared" si="1"/>
        <v>1.324388600000006</v>
      </c>
      <c r="Y26" s="1">
        <v>173.756439</v>
      </c>
      <c r="Z26" s="5">
        <v>172.10801380000001</v>
      </c>
      <c r="AA26" s="5">
        <f t="shared" si="2"/>
        <v>1.6484251999999913</v>
      </c>
    </row>
    <row r="27" spans="2:27" x14ac:dyDescent="0.35">
      <c r="B27" s="3">
        <v>43815</v>
      </c>
      <c r="C27" s="2">
        <v>26</v>
      </c>
      <c r="D27" s="1">
        <v>68.802634999999995</v>
      </c>
      <c r="E27" s="2">
        <v>128186000</v>
      </c>
      <c r="F27" s="1">
        <v>173.18699599999999</v>
      </c>
      <c r="G27" s="2">
        <v>3207600</v>
      </c>
      <c r="K27" s="1">
        <v>68.802634999999995</v>
      </c>
      <c r="L27" s="5">
        <f t="shared" si="0"/>
        <v>66.834139800000003</v>
      </c>
      <c r="M27" s="5"/>
      <c r="Q27" s="1">
        <v>173.18699599999999</v>
      </c>
      <c r="R27" s="5">
        <f>F24*$J$2+F25*$J$3+F26*$J$4</f>
        <v>173.40102809999999</v>
      </c>
      <c r="U27" s="1">
        <v>68.802634999999995</v>
      </c>
      <c r="V27" s="5">
        <v>66.834139800000003</v>
      </c>
      <c r="W27" s="5">
        <f t="shared" si="1"/>
        <v>1.9684951999999925</v>
      </c>
      <c r="Y27" s="1">
        <v>173.18699599999999</v>
      </c>
      <c r="Z27" s="5">
        <v>173.40102809999999</v>
      </c>
      <c r="AA27" s="5">
        <f t="shared" si="2"/>
        <v>0.21403209999999717</v>
      </c>
    </row>
    <row r="28" spans="2:27" x14ac:dyDescent="0.35">
      <c r="B28" s="3">
        <v>43816</v>
      </c>
      <c r="C28" s="2">
        <v>27</v>
      </c>
      <c r="D28" s="1">
        <v>68.937850999999995</v>
      </c>
      <c r="E28" s="2">
        <v>114158400</v>
      </c>
      <c r="F28" s="1">
        <v>173.481537</v>
      </c>
      <c r="G28" s="2">
        <v>3039800</v>
      </c>
      <c r="K28" s="1">
        <v>68.937850999999995</v>
      </c>
      <c r="L28" s="5">
        <f t="shared" si="0"/>
        <v>67.422698099999991</v>
      </c>
      <c r="M28" s="5"/>
      <c r="Q28" s="1">
        <v>173.481537</v>
      </c>
      <c r="R28" s="5">
        <f>F25*$J$2+F26*$J$3+F27*$J$4</f>
        <v>173.84382140000002</v>
      </c>
      <c r="U28" s="1">
        <v>68.937850999999995</v>
      </c>
      <c r="V28" s="5">
        <v>67.422698099999991</v>
      </c>
      <c r="W28" s="5">
        <f t="shared" si="1"/>
        <v>1.5151529000000039</v>
      </c>
      <c r="Y28" s="1">
        <v>173.481537</v>
      </c>
      <c r="Z28" s="5">
        <v>173.84382140000002</v>
      </c>
      <c r="AA28" s="5">
        <f t="shared" si="2"/>
        <v>0.36228440000002138</v>
      </c>
    </row>
    <row r="29" spans="2:27" x14ac:dyDescent="0.35">
      <c r="B29" s="3">
        <v>43817</v>
      </c>
      <c r="C29" s="2">
        <v>28</v>
      </c>
      <c r="D29" s="1">
        <v>68.773132000000004</v>
      </c>
      <c r="E29" s="2">
        <v>116028400</v>
      </c>
      <c r="F29" s="1">
        <v>171.45906099999999</v>
      </c>
      <c r="G29" s="2">
        <v>3614700</v>
      </c>
      <c r="K29" s="1">
        <v>68.773132000000004</v>
      </c>
      <c r="L29" s="5">
        <f t="shared" si="0"/>
        <v>68.250714200000004</v>
      </c>
      <c r="M29" s="5"/>
      <c r="Q29" s="1">
        <v>171.45906099999999</v>
      </c>
      <c r="R29" s="5">
        <f>F26*$J$2+F27*$J$3+F28*$J$4</f>
        <v>173.5306257</v>
      </c>
      <c r="U29" s="1">
        <v>68.773132000000004</v>
      </c>
      <c r="V29" s="5">
        <v>68.250714200000004</v>
      </c>
      <c r="W29" s="5">
        <f t="shared" si="1"/>
        <v>0.52241779999999949</v>
      </c>
      <c r="Y29" s="1">
        <v>171.45906099999999</v>
      </c>
      <c r="Z29" s="5">
        <v>173.5306257</v>
      </c>
      <c r="AA29" s="5">
        <f t="shared" si="2"/>
        <v>2.0715647000000104</v>
      </c>
    </row>
    <row r="30" spans="2:27" x14ac:dyDescent="0.35">
      <c r="B30" s="3">
        <v>43818</v>
      </c>
      <c r="C30" s="2">
        <v>29</v>
      </c>
      <c r="D30" s="1">
        <v>68.841965000000002</v>
      </c>
      <c r="E30" s="2">
        <v>98369200</v>
      </c>
      <c r="F30" s="1">
        <v>173.28518700000001</v>
      </c>
      <c r="G30" s="2">
        <v>2680600</v>
      </c>
      <c r="K30" s="1">
        <v>68.841965000000002</v>
      </c>
      <c r="L30" s="5">
        <f t="shared" si="0"/>
        <v>68.837299200000004</v>
      </c>
      <c r="M30" s="5"/>
      <c r="Q30" s="1">
        <v>173.28518700000001</v>
      </c>
      <c r="R30" s="5">
        <f>F27*$J$2+F28*$J$3+F29*$J$4</f>
        <v>172.9297713</v>
      </c>
      <c r="U30" s="1">
        <v>68.841965000000002</v>
      </c>
      <c r="V30" s="5">
        <v>68.837299200000004</v>
      </c>
      <c r="W30" s="5">
        <f t="shared" si="1"/>
        <v>4.6657999999979438E-3</v>
      </c>
      <c r="Y30" s="1">
        <v>173.28518700000001</v>
      </c>
      <c r="Z30" s="5">
        <v>172.9297713</v>
      </c>
      <c r="AA30" s="5">
        <f t="shared" si="2"/>
        <v>0.35541570000000888</v>
      </c>
    </row>
    <row r="31" spans="2:27" x14ac:dyDescent="0.35">
      <c r="B31" s="3">
        <v>43819</v>
      </c>
      <c r="C31" s="2">
        <v>30</v>
      </c>
      <c r="D31" s="1">
        <v>68.699387000000002</v>
      </c>
      <c r="E31" s="2">
        <v>275978000</v>
      </c>
      <c r="F31" s="1">
        <v>173.19682299999999</v>
      </c>
      <c r="G31" s="2">
        <v>4351900</v>
      </c>
      <c r="K31" s="1">
        <v>68.699387000000002</v>
      </c>
      <c r="L31" s="5">
        <f t="shared" si="0"/>
        <v>68.869258099999996</v>
      </c>
      <c r="M31" s="5"/>
      <c r="Q31" s="1">
        <v>173.19682299999999</v>
      </c>
      <c r="R31" s="5">
        <f>F28*$J$2+F29*$J$3+F30*$J$4</f>
        <v>172.83552420000001</v>
      </c>
      <c r="U31" s="1">
        <v>68.699387000000002</v>
      </c>
      <c r="V31" s="5">
        <v>68.869258099999996</v>
      </c>
      <c r="W31" s="5">
        <f t="shared" si="1"/>
        <v>0.16987109999999461</v>
      </c>
      <c r="Y31" s="1">
        <v>173.19682299999999</v>
      </c>
      <c r="Z31" s="5">
        <v>172.83552420000001</v>
      </c>
      <c r="AA31" s="5">
        <f t="shared" si="2"/>
        <v>0.36129879999998593</v>
      </c>
    </row>
    <row r="32" spans="2:27" x14ac:dyDescent="0.35">
      <c r="B32" s="3">
        <v>43822</v>
      </c>
      <c r="C32" s="2">
        <v>31</v>
      </c>
      <c r="D32" s="1">
        <v>69.820442</v>
      </c>
      <c r="E32" s="2">
        <v>98572000</v>
      </c>
      <c r="F32" s="1">
        <v>173.21646100000001</v>
      </c>
      <c r="G32" s="2">
        <v>2577700</v>
      </c>
      <c r="K32" s="1">
        <v>69.820442</v>
      </c>
      <c r="L32" s="5">
        <f t="shared" si="0"/>
        <v>68.779032900000004</v>
      </c>
      <c r="M32" s="5"/>
      <c r="Q32" s="1">
        <v>173.21646100000001</v>
      </c>
      <c r="R32" s="5">
        <f>F29*$J$2+F30*$J$3+F31*$J$4</f>
        <v>172.3544512</v>
      </c>
      <c r="U32" s="1">
        <v>69.820442</v>
      </c>
      <c r="V32" s="5">
        <v>68.779032900000004</v>
      </c>
      <c r="W32" s="5">
        <f t="shared" si="1"/>
        <v>1.0414090999999956</v>
      </c>
      <c r="Y32" s="1">
        <v>173.21646100000001</v>
      </c>
      <c r="Z32" s="5">
        <v>172.3544512</v>
      </c>
      <c r="AA32" s="5">
        <f t="shared" si="2"/>
        <v>0.86200980000000982</v>
      </c>
    </row>
    <row r="33" spans="2:27" x14ac:dyDescent="0.35">
      <c r="B33" s="3">
        <v>43823</v>
      </c>
      <c r="C33" s="2">
        <v>32</v>
      </c>
      <c r="D33" s="1">
        <v>69.886818000000005</v>
      </c>
      <c r="E33" s="2">
        <v>48478800</v>
      </c>
      <c r="F33" s="1">
        <v>173.098648</v>
      </c>
      <c r="G33" s="2">
        <v>625500</v>
      </c>
      <c r="K33" s="1">
        <v>69.886818000000005</v>
      </c>
      <c r="L33" s="5">
        <f t="shared" si="0"/>
        <v>68.994887000000006</v>
      </c>
      <c r="M33" s="5"/>
      <c r="Q33" s="1">
        <v>173.098648</v>
      </c>
      <c r="R33" s="5">
        <f>F30*$J$2+F31*$J$3+F32*$J$4</f>
        <v>173.24493260000003</v>
      </c>
      <c r="U33" s="1">
        <v>69.886818000000005</v>
      </c>
      <c r="V33" s="5">
        <v>68.994887000000006</v>
      </c>
      <c r="W33" s="5">
        <f t="shared" si="1"/>
        <v>0.89193099999999959</v>
      </c>
      <c r="Y33" s="1">
        <v>173.098648</v>
      </c>
      <c r="Z33" s="5">
        <v>173.24493260000003</v>
      </c>
      <c r="AA33" s="5">
        <f t="shared" si="2"/>
        <v>0.14628460000002974</v>
      </c>
    </row>
    <row r="34" spans="2:27" x14ac:dyDescent="0.35">
      <c r="B34" s="3">
        <v>43825</v>
      </c>
      <c r="C34" s="2">
        <v>33</v>
      </c>
      <c r="D34" s="1">
        <v>71.273392000000001</v>
      </c>
      <c r="E34" s="2">
        <v>93121200</v>
      </c>
      <c r="F34" s="1">
        <v>173.658264</v>
      </c>
      <c r="G34" s="2">
        <v>1269700</v>
      </c>
      <c r="K34" s="1">
        <v>71.273392000000001</v>
      </c>
      <c r="L34" s="5">
        <f t="shared" si="0"/>
        <v>69.273189700000003</v>
      </c>
      <c r="M34" s="5"/>
      <c r="Q34" s="1">
        <v>173.658264</v>
      </c>
      <c r="R34" s="5">
        <f>F31*$J$2+F32*$J$3+F33*$J$4</f>
        <v>173.1830794</v>
      </c>
      <c r="U34" s="1">
        <v>71.273392000000001</v>
      </c>
      <c r="V34" s="5">
        <v>69.273189700000003</v>
      </c>
      <c r="W34" s="5">
        <f t="shared" si="1"/>
        <v>2.000202299999998</v>
      </c>
      <c r="Y34" s="1">
        <v>173.658264</v>
      </c>
      <c r="Z34" s="5">
        <v>173.1830794</v>
      </c>
      <c r="AA34" s="5">
        <f t="shared" si="2"/>
        <v>0.47518460000000573</v>
      </c>
    </row>
    <row r="35" spans="2:27" x14ac:dyDescent="0.35">
      <c r="B35" s="3">
        <v>43826</v>
      </c>
      <c r="C35" s="2">
        <v>34</v>
      </c>
      <c r="D35" s="1">
        <v>71.246352999999999</v>
      </c>
      <c r="E35" s="2">
        <v>146266000</v>
      </c>
      <c r="F35" s="1">
        <v>173.26556400000001</v>
      </c>
      <c r="G35" s="2">
        <v>1303900</v>
      </c>
      <c r="K35" s="1">
        <v>71.246352999999999</v>
      </c>
      <c r="L35" s="5">
        <f t="shared" si="0"/>
        <v>70.130944800000009</v>
      </c>
      <c r="M35" s="5"/>
      <c r="Q35" s="1">
        <v>173.26556400000001</v>
      </c>
      <c r="R35" s="5">
        <f>F32*$J$2+F33*$J$3+F34*$J$4</f>
        <v>173.26947770000001</v>
      </c>
      <c r="U35" s="1">
        <v>71.246352999999999</v>
      </c>
      <c r="V35" s="5">
        <v>70.130944800000009</v>
      </c>
      <c r="W35" s="5">
        <f t="shared" si="1"/>
        <v>1.1154081999999903</v>
      </c>
      <c r="Y35" s="1">
        <v>173.26556400000001</v>
      </c>
      <c r="Z35" s="5">
        <v>173.26947770000001</v>
      </c>
      <c r="AA35" s="5">
        <f t="shared" si="2"/>
        <v>3.9136999999982436E-3</v>
      </c>
    </row>
    <row r="36" spans="2:27" x14ac:dyDescent="0.35">
      <c r="B36" s="3">
        <v>43829</v>
      </c>
      <c r="C36" s="2">
        <v>35</v>
      </c>
      <c r="D36" s="1">
        <v>71.669212000000002</v>
      </c>
      <c r="E36" s="2">
        <v>144114400</v>
      </c>
      <c r="F36" s="1">
        <v>173.20661899999999</v>
      </c>
      <c r="G36" s="2">
        <v>1670100</v>
      </c>
      <c r="K36" s="1">
        <v>71.669212000000002</v>
      </c>
      <c r="L36" s="5">
        <f t="shared" si="0"/>
        <v>70.574697200000003</v>
      </c>
      <c r="M36" s="5"/>
      <c r="Q36" s="1">
        <v>173.20661899999999</v>
      </c>
      <c r="R36" s="5">
        <f>F33*$J$2+F34*$J$3+F35*$J$4</f>
        <v>173.299916</v>
      </c>
      <c r="U36" s="1">
        <v>71.669212000000002</v>
      </c>
      <c r="V36" s="5">
        <v>70.574697200000003</v>
      </c>
      <c r="W36" s="5">
        <f t="shared" si="1"/>
        <v>1.0945147999999989</v>
      </c>
      <c r="Y36" s="1">
        <v>173.20661899999999</v>
      </c>
      <c r="Z36" s="5">
        <v>173.299916</v>
      </c>
      <c r="AA36" s="5">
        <f t="shared" si="2"/>
        <v>9.3297000000006847E-2</v>
      </c>
    </row>
    <row r="37" spans="2:27" x14ac:dyDescent="0.35">
      <c r="B37" s="3">
        <v>43830</v>
      </c>
      <c r="C37" s="2">
        <v>36</v>
      </c>
      <c r="D37" s="1">
        <v>72.192863000000003</v>
      </c>
      <c r="E37" s="2">
        <v>100805600</v>
      </c>
      <c r="F37" s="1">
        <v>173.776062</v>
      </c>
      <c r="G37" s="2">
        <v>1728900</v>
      </c>
      <c r="K37" s="1">
        <v>72.192863000000003</v>
      </c>
      <c r="L37" s="5">
        <f t="shared" si="0"/>
        <v>71.344444299999992</v>
      </c>
      <c r="M37" s="5"/>
      <c r="Q37" s="1">
        <v>173.776062</v>
      </c>
      <c r="R37" s="5">
        <f>F34*$J$2+F35*$J$3+F36*$J$4</f>
        <v>173.45012500000001</v>
      </c>
      <c r="U37" s="1">
        <v>72.192863000000003</v>
      </c>
      <c r="V37" s="5">
        <v>71.344444299999992</v>
      </c>
      <c r="W37" s="5">
        <f t="shared" si="1"/>
        <v>0.84841870000001052</v>
      </c>
      <c r="Y37" s="1">
        <v>173.776062</v>
      </c>
      <c r="Z37" s="5">
        <v>173.45012500000001</v>
      </c>
      <c r="AA37" s="5">
        <f t="shared" si="2"/>
        <v>0.32593699999998194</v>
      </c>
    </row>
    <row r="38" spans="2:27" x14ac:dyDescent="0.35">
      <c r="B38" s="3">
        <v>43832</v>
      </c>
      <c r="C38" s="2">
        <v>37</v>
      </c>
      <c r="D38" s="1">
        <v>73.840041999999997</v>
      </c>
      <c r="E38" s="2">
        <v>135480400</v>
      </c>
      <c r="F38" s="1">
        <v>177.49704</v>
      </c>
      <c r="G38" s="2">
        <v>2857400</v>
      </c>
      <c r="K38" s="1">
        <v>73.840041999999997</v>
      </c>
      <c r="L38" s="5">
        <f t="shared" si="0"/>
        <v>71.562512699999999</v>
      </c>
      <c r="M38" s="5"/>
      <c r="Q38" s="1">
        <v>177.49704</v>
      </c>
      <c r="R38" s="5">
        <f>F35*$J$2+F36*$J$3+F37*$J$4</f>
        <v>173.34998010000001</v>
      </c>
      <c r="U38" s="1">
        <v>73.840041999999997</v>
      </c>
      <c r="V38" s="5">
        <v>71.562512699999999</v>
      </c>
      <c r="W38" s="5">
        <f t="shared" si="1"/>
        <v>2.2775292999999976</v>
      </c>
      <c r="Y38" s="1">
        <v>177.49704</v>
      </c>
      <c r="Z38" s="5">
        <v>173.34998010000001</v>
      </c>
      <c r="AA38" s="5">
        <f t="shared" si="2"/>
        <v>4.1470598999999879</v>
      </c>
    </row>
    <row r="39" spans="2:27" x14ac:dyDescent="0.35">
      <c r="B39" s="3">
        <v>43833</v>
      </c>
      <c r="C39" s="2">
        <v>38</v>
      </c>
      <c r="D39" s="1">
        <v>73.122153999999995</v>
      </c>
      <c r="E39" s="2">
        <v>146322800</v>
      </c>
      <c r="F39" s="1">
        <v>175.602203</v>
      </c>
      <c r="G39" s="2">
        <v>2805200</v>
      </c>
      <c r="K39" s="1">
        <v>73.122153999999995</v>
      </c>
      <c r="L39" s="5">
        <f t="shared" si="0"/>
        <v>72.260473300000001</v>
      </c>
      <c r="M39" s="5"/>
      <c r="Q39" s="1">
        <v>175.602203</v>
      </c>
      <c r="R39" s="5">
        <f>F36*$J$2+F37*$J$3+F38*$J$4</f>
        <v>174.23553609999999</v>
      </c>
      <c r="U39" s="1">
        <v>73.122153999999995</v>
      </c>
      <c r="V39" s="5">
        <v>72.260473300000001</v>
      </c>
      <c r="W39" s="5">
        <f t="shared" si="1"/>
        <v>0.86168069999999375</v>
      </c>
      <c r="Y39" s="1">
        <v>175.602203</v>
      </c>
      <c r="Z39" s="5">
        <v>174.23553609999999</v>
      </c>
      <c r="AA39" s="5">
        <f t="shared" si="2"/>
        <v>1.3666669000000127</v>
      </c>
    </row>
    <row r="40" spans="2:27" x14ac:dyDescent="0.35">
      <c r="B40" s="3">
        <v>43836</v>
      </c>
      <c r="C40" s="2">
        <v>39</v>
      </c>
      <c r="D40" s="1">
        <v>73.704819000000001</v>
      </c>
      <c r="E40" s="2">
        <v>118387200</v>
      </c>
      <c r="F40" s="1">
        <v>174.276794</v>
      </c>
      <c r="G40" s="2">
        <v>3277900</v>
      </c>
      <c r="K40" s="1">
        <v>73.704819000000001</v>
      </c>
      <c r="L40" s="5">
        <f t="shared" si="0"/>
        <v>72.872874899999999</v>
      </c>
      <c r="M40" s="5"/>
      <c r="Q40" s="1">
        <v>174.276794</v>
      </c>
      <c r="R40" s="5">
        <f>F37*$J$2+F38*$J$3+F39*$J$4</f>
        <v>175.25758359999998</v>
      </c>
      <c r="U40" s="1">
        <v>73.704819000000001</v>
      </c>
      <c r="V40" s="5">
        <v>72.872874899999999</v>
      </c>
      <c r="W40" s="5">
        <f t="shared" si="1"/>
        <v>0.83194410000000119</v>
      </c>
      <c r="Y40" s="1">
        <v>174.276794</v>
      </c>
      <c r="Z40" s="5">
        <v>175.25758359999998</v>
      </c>
      <c r="AA40" s="5">
        <f t="shared" si="2"/>
        <v>0.98078959999998006</v>
      </c>
    </row>
    <row r="41" spans="2:27" x14ac:dyDescent="0.35">
      <c r="B41" s="3">
        <v>43837</v>
      </c>
      <c r="C41" s="2">
        <v>40</v>
      </c>
      <c r="D41" s="1">
        <v>73.358185000000006</v>
      </c>
      <c r="E41" s="2">
        <v>108872000</v>
      </c>
      <c r="F41" s="1">
        <v>174.37496899999999</v>
      </c>
      <c r="G41" s="2">
        <v>3002800</v>
      </c>
      <c r="K41" s="1">
        <v>73.358185000000006</v>
      </c>
      <c r="L41" s="5">
        <f t="shared" si="0"/>
        <v>73.597630999999993</v>
      </c>
      <c r="M41" s="5"/>
      <c r="Q41" s="1">
        <v>174.37496899999999</v>
      </c>
      <c r="R41" s="5">
        <f>F38*$J$2+F39*$J$3+F40*$J$4</f>
        <v>176.28453970000001</v>
      </c>
      <c r="U41" s="1">
        <v>73.358185000000006</v>
      </c>
      <c r="V41" s="5">
        <v>73.597630999999993</v>
      </c>
      <c r="W41" s="5">
        <f t="shared" si="1"/>
        <v>0.23944599999998673</v>
      </c>
      <c r="Y41" s="1">
        <v>174.37496899999999</v>
      </c>
      <c r="Z41" s="5">
        <v>176.28453970000001</v>
      </c>
      <c r="AA41" s="5">
        <f t="shared" si="2"/>
        <v>1.9095707000000175</v>
      </c>
    </row>
    <row r="42" spans="2:27" x14ac:dyDescent="0.35">
      <c r="B42" s="3">
        <v>43838</v>
      </c>
      <c r="C42" s="2">
        <v>41</v>
      </c>
      <c r="D42" s="1">
        <v>74.538239000000004</v>
      </c>
      <c r="E42" s="2">
        <v>132079200</v>
      </c>
      <c r="F42" s="1">
        <v>174.522232</v>
      </c>
      <c r="G42" s="2">
        <v>2545500</v>
      </c>
      <c r="K42" s="1">
        <v>74.538239000000004</v>
      </c>
      <c r="L42" s="5">
        <f t="shared" si="0"/>
        <v>73.344159700000006</v>
      </c>
      <c r="M42" s="5"/>
      <c r="Q42" s="1">
        <v>174.522232</v>
      </c>
      <c r="R42" s="5">
        <f>F39*$J$2+F40*$J$3+F41*$J$4</f>
        <v>174.95913350000001</v>
      </c>
      <c r="U42" s="1">
        <v>74.538239000000004</v>
      </c>
      <c r="V42" s="5">
        <v>73.344159700000006</v>
      </c>
      <c r="W42" s="5">
        <f t="shared" si="1"/>
        <v>1.1940792999999985</v>
      </c>
      <c r="Y42" s="1">
        <v>174.522232</v>
      </c>
      <c r="Z42" s="5">
        <v>174.95913350000001</v>
      </c>
      <c r="AA42" s="5">
        <f t="shared" si="2"/>
        <v>0.43690150000000472</v>
      </c>
    </row>
    <row r="43" spans="2:27" x14ac:dyDescent="0.35">
      <c r="B43" s="3">
        <v>43839</v>
      </c>
      <c r="C43" s="2">
        <v>42</v>
      </c>
      <c r="D43" s="1">
        <v>76.121498000000003</v>
      </c>
      <c r="E43" s="2">
        <v>170108400</v>
      </c>
      <c r="F43" s="1">
        <v>175.80838</v>
      </c>
      <c r="G43" s="2">
        <v>1789500</v>
      </c>
      <c r="K43" s="1">
        <v>76.121498000000003</v>
      </c>
      <c r="L43" s="5">
        <f t="shared" si="0"/>
        <v>73.767512800000006</v>
      </c>
      <c r="M43" s="5"/>
      <c r="Q43" s="1">
        <v>175.80838</v>
      </c>
      <c r="R43" s="5">
        <f>F40*$J$2+F41*$J$3+F42*$J$4</f>
        <v>174.35533410000002</v>
      </c>
      <c r="U43" s="1">
        <v>76.121498000000003</v>
      </c>
      <c r="V43" s="5">
        <v>73.767512800000006</v>
      </c>
      <c r="W43" s="5">
        <f t="shared" si="1"/>
        <v>2.3539851999999968</v>
      </c>
      <c r="Y43" s="1">
        <v>175.80838</v>
      </c>
      <c r="Z43" s="5">
        <v>174.35533410000002</v>
      </c>
      <c r="AA43" s="5">
        <f t="shared" si="2"/>
        <v>1.453045899999978</v>
      </c>
    </row>
    <row r="44" spans="2:27" x14ac:dyDescent="0.35">
      <c r="B44" s="3">
        <v>43840</v>
      </c>
      <c r="C44" s="2">
        <v>43</v>
      </c>
      <c r="D44" s="1">
        <v>76.293578999999994</v>
      </c>
      <c r="E44" s="2">
        <v>140644800</v>
      </c>
      <c r="F44" s="1">
        <v>175.42546100000001</v>
      </c>
      <c r="G44" s="2">
        <v>1671700</v>
      </c>
      <c r="K44" s="1">
        <v>76.293578999999994</v>
      </c>
      <c r="L44" s="5">
        <f t="shared" si="0"/>
        <v>74.264863800000001</v>
      </c>
      <c r="M44" s="5"/>
      <c r="Q44" s="1">
        <v>175.42546100000001</v>
      </c>
      <c r="R44" s="5">
        <f>F41*$J$2+F42*$J$3+F43*$J$4</f>
        <v>174.70583009999999</v>
      </c>
      <c r="U44" s="1">
        <v>76.293578999999994</v>
      </c>
      <c r="V44" s="5">
        <v>74.264863800000001</v>
      </c>
      <c r="W44" s="5">
        <f t="shared" si="1"/>
        <v>2.0287151999999935</v>
      </c>
      <c r="Y44" s="1">
        <v>175.42546100000001</v>
      </c>
      <c r="Z44" s="5">
        <v>174.70583009999999</v>
      </c>
      <c r="AA44" s="5">
        <f t="shared" si="2"/>
        <v>0.71963090000002694</v>
      </c>
    </row>
    <row r="45" spans="2:27" x14ac:dyDescent="0.35">
      <c r="B45" s="3">
        <v>43843</v>
      </c>
      <c r="C45" s="2">
        <v>44</v>
      </c>
      <c r="D45" s="1">
        <v>77.923537999999994</v>
      </c>
      <c r="E45" s="2">
        <v>121532000</v>
      </c>
      <c r="F45" s="1">
        <v>177.96829199999999</v>
      </c>
      <c r="G45" s="2">
        <v>2261900</v>
      </c>
      <c r="K45" s="1">
        <v>77.923537999999994</v>
      </c>
      <c r="L45" s="5">
        <f t="shared" si="0"/>
        <v>75.364284699999999</v>
      </c>
      <c r="M45" s="5"/>
      <c r="Q45" s="1">
        <v>177.96829199999999</v>
      </c>
      <c r="R45" s="5">
        <f>F42*$J$2+F43*$J$3+F44*$J$4</f>
        <v>175.08872220000001</v>
      </c>
      <c r="U45" s="1">
        <v>77.923537999999994</v>
      </c>
      <c r="V45" s="5">
        <v>75.364284699999999</v>
      </c>
      <c r="W45" s="5">
        <f t="shared" si="1"/>
        <v>2.5592532999999946</v>
      </c>
      <c r="Y45" s="1">
        <v>177.96829199999999</v>
      </c>
      <c r="Z45" s="5">
        <v>175.08872220000001</v>
      </c>
      <c r="AA45" s="5">
        <f t="shared" si="2"/>
        <v>2.8795697999999845</v>
      </c>
    </row>
    <row r="46" spans="2:27" x14ac:dyDescent="0.35">
      <c r="B46" s="3">
        <v>43844</v>
      </c>
      <c r="C46" s="2">
        <v>45</v>
      </c>
      <c r="D46" s="1">
        <v>76.871323000000004</v>
      </c>
      <c r="E46" s="2">
        <v>161954400</v>
      </c>
      <c r="F46" s="1">
        <v>177.16322299999999</v>
      </c>
      <c r="G46" s="2">
        <v>2191200</v>
      </c>
      <c r="K46" s="1">
        <v>76.871323000000004</v>
      </c>
      <c r="L46" s="5">
        <f t="shared" si="0"/>
        <v>76.533530299999995</v>
      </c>
      <c r="M46" s="5"/>
      <c r="Q46" s="1">
        <v>177.16322299999999</v>
      </c>
      <c r="R46" s="5">
        <f>F43*$J$2+F44*$J$3+F45*$J$4</f>
        <v>176.12548670000001</v>
      </c>
      <c r="U46" s="1">
        <v>76.871323000000004</v>
      </c>
      <c r="V46" s="5">
        <v>76.533530299999995</v>
      </c>
      <c r="W46" s="5">
        <f t="shared" si="1"/>
        <v>0.33779270000000849</v>
      </c>
      <c r="Y46" s="1">
        <v>177.16322299999999</v>
      </c>
      <c r="Z46" s="5">
        <v>176.12548670000001</v>
      </c>
      <c r="AA46" s="5">
        <f t="shared" si="2"/>
        <v>1.0377362999999775</v>
      </c>
    </row>
    <row r="47" spans="2:27" x14ac:dyDescent="0.35">
      <c r="B47" s="3">
        <v>43845</v>
      </c>
      <c r="C47" s="2">
        <v>46</v>
      </c>
      <c r="D47" s="1">
        <v>76.541884999999994</v>
      </c>
      <c r="E47" s="2">
        <v>121923600</v>
      </c>
      <c r="F47" s="1">
        <v>177.43812600000001</v>
      </c>
      <c r="G47" s="2">
        <v>2600800</v>
      </c>
      <c r="K47" s="1">
        <v>76.541884999999994</v>
      </c>
      <c r="L47" s="5">
        <f t="shared" si="0"/>
        <v>76.898115500000003</v>
      </c>
      <c r="M47" s="5"/>
      <c r="Q47" s="1">
        <v>177.43812600000001</v>
      </c>
      <c r="R47" s="5">
        <f>F44*$J$2+F45*$J$3+F46*$J$4</f>
        <v>176.5358627</v>
      </c>
      <c r="U47" s="1">
        <v>76.541884999999994</v>
      </c>
      <c r="V47" s="5">
        <v>76.898115500000003</v>
      </c>
      <c r="W47" s="5">
        <f t="shared" si="1"/>
        <v>0.35623050000000944</v>
      </c>
      <c r="Y47" s="1">
        <v>177.43812600000001</v>
      </c>
      <c r="Z47" s="5">
        <v>176.5358627</v>
      </c>
      <c r="AA47" s="5">
        <f t="shared" si="2"/>
        <v>0.90226330000001553</v>
      </c>
    </row>
    <row r="48" spans="2:27" x14ac:dyDescent="0.35">
      <c r="B48" s="3">
        <v>43846</v>
      </c>
      <c r="C48" s="2">
        <v>47</v>
      </c>
      <c r="D48" s="1">
        <v>77.500693999999996</v>
      </c>
      <c r="E48" s="2">
        <v>108829200</v>
      </c>
      <c r="F48" s="1">
        <v>178.94026199999999</v>
      </c>
      <c r="G48" s="2">
        <v>2215400</v>
      </c>
      <c r="K48" s="1">
        <v>77.500693999999996</v>
      </c>
      <c r="L48" s="5">
        <f t="shared" si="0"/>
        <v>77.331542899999988</v>
      </c>
      <c r="M48" s="5"/>
      <c r="Q48" s="1">
        <v>178.94026199999999</v>
      </c>
      <c r="R48" s="5">
        <f>F45*$J$2+F46*$J$3+F47*$J$4</f>
        <v>177.62073809999998</v>
      </c>
      <c r="U48" s="1">
        <v>77.500693999999996</v>
      </c>
      <c r="V48" s="5">
        <v>77.331542899999988</v>
      </c>
      <c r="W48" s="5">
        <f t="shared" si="1"/>
        <v>0.16915110000000766</v>
      </c>
      <c r="Y48" s="1">
        <v>178.94026199999999</v>
      </c>
      <c r="Z48" s="5">
        <v>177.62073809999998</v>
      </c>
      <c r="AA48" s="5">
        <f t="shared" si="2"/>
        <v>1.3195239000000072</v>
      </c>
    </row>
    <row r="49" spans="2:27" x14ac:dyDescent="0.35">
      <c r="B49" s="3">
        <v>43847</v>
      </c>
      <c r="C49" s="2">
        <v>48</v>
      </c>
      <c r="D49" s="1">
        <v>78.358695999999995</v>
      </c>
      <c r="E49" s="2">
        <v>137816400</v>
      </c>
      <c r="F49" s="1">
        <v>179.89259300000001</v>
      </c>
      <c r="G49" s="2">
        <v>2608000</v>
      </c>
      <c r="K49" s="1">
        <v>78.358695999999995</v>
      </c>
      <c r="L49" s="5">
        <f t="shared" si="0"/>
        <v>76.898365799999993</v>
      </c>
      <c r="M49" s="5"/>
      <c r="Q49" s="1">
        <v>179.89259300000001</v>
      </c>
      <c r="R49" s="5">
        <f>F46*$J$2+F47*$J$3+F48*$J$4</f>
        <v>177.60110169999999</v>
      </c>
      <c r="U49" s="1">
        <v>78.358695999999995</v>
      </c>
      <c r="V49" s="5">
        <v>76.898365799999993</v>
      </c>
      <c r="W49" s="5">
        <f t="shared" si="1"/>
        <v>1.4603302000000014</v>
      </c>
      <c r="Y49" s="1">
        <v>179.89259300000001</v>
      </c>
      <c r="Z49" s="5">
        <v>177.60110169999999</v>
      </c>
      <c r="AA49" s="5">
        <f t="shared" si="2"/>
        <v>2.2914913000000183</v>
      </c>
    </row>
    <row r="50" spans="2:27" x14ac:dyDescent="0.35">
      <c r="B50" s="3">
        <v>43851</v>
      </c>
      <c r="C50" s="2">
        <v>49</v>
      </c>
      <c r="D50" s="1">
        <v>77.827667000000005</v>
      </c>
      <c r="E50" s="2">
        <v>110843200</v>
      </c>
      <c r="F50" s="1">
        <v>177.634491</v>
      </c>
      <c r="G50" s="2">
        <v>2188600</v>
      </c>
      <c r="K50" s="1">
        <v>77.827667000000005</v>
      </c>
      <c r="L50" s="5">
        <f t="shared" si="0"/>
        <v>77.192889899999997</v>
      </c>
      <c r="M50" s="5"/>
      <c r="Q50" s="1">
        <v>177.634491</v>
      </c>
      <c r="R50" s="5">
        <f>F47*$J$2+F48*$J$3+F49*$J$4</f>
        <v>178.37966020000002</v>
      </c>
      <c r="U50" s="1">
        <v>77.827667000000005</v>
      </c>
      <c r="V50" s="5">
        <v>77.192889899999997</v>
      </c>
      <c r="W50" s="5">
        <f t="shared" si="1"/>
        <v>0.63477710000000798</v>
      </c>
      <c r="Y50" s="1">
        <v>177.634491</v>
      </c>
      <c r="Z50" s="5">
        <v>178.37966020000002</v>
      </c>
      <c r="AA50" s="5">
        <f t="shared" si="2"/>
        <v>0.74516920000002074</v>
      </c>
    </row>
    <row r="51" spans="2:27" x14ac:dyDescent="0.35">
      <c r="B51" s="3">
        <v>43852</v>
      </c>
      <c r="C51" s="2">
        <v>50</v>
      </c>
      <c r="D51" s="1">
        <v>78.105475999999996</v>
      </c>
      <c r="E51" s="2">
        <v>101832400</v>
      </c>
      <c r="F51" s="1">
        <v>176.770523</v>
      </c>
      <c r="G51" s="2">
        <v>1881700</v>
      </c>
      <c r="K51" s="1">
        <v>78.105475999999996</v>
      </c>
      <c r="L51" s="5">
        <f t="shared" si="0"/>
        <v>77.823489199999997</v>
      </c>
      <c r="M51" s="5"/>
      <c r="Q51" s="1">
        <v>176.770523</v>
      </c>
      <c r="R51" s="5">
        <f>F48*$J$2+F49*$J$3+F50*$J$4</f>
        <v>178.9648071</v>
      </c>
      <c r="U51" s="1">
        <v>78.105475999999996</v>
      </c>
      <c r="V51" s="5">
        <v>77.823489199999997</v>
      </c>
      <c r="W51" s="5">
        <f t="shared" si="1"/>
        <v>0.28198679999999854</v>
      </c>
      <c r="Y51" s="1">
        <v>176.770523</v>
      </c>
      <c r="Z51" s="5">
        <v>178.9648071</v>
      </c>
      <c r="AA51" s="5">
        <f t="shared" si="2"/>
        <v>2.1942841000000044</v>
      </c>
    </row>
    <row r="52" spans="2:27" x14ac:dyDescent="0.35">
      <c r="B52" s="3">
        <v>43853</v>
      </c>
      <c r="C52" s="2">
        <v>51</v>
      </c>
      <c r="D52" s="1">
        <v>78.481621000000004</v>
      </c>
      <c r="E52" s="2">
        <v>104472000</v>
      </c>
      <c r="F52" s="1">
        <v>176.30909700000001</v>
      </c>
      <c r="G52" s="2">
        <v>2434000</v>
      </c>
      <c r="K52" s="1">
        <v>78.481621000000004</v>
      </c>
      <c r="L52" s="5">
        <f t="shared" si="0"/>
        <v>78.148743299999992</v>
      </c>
      <c r="M52" s="5"/>
      <c r="Q52" s="1">
        <v>176.30909700000001</v>
      </c>
      <c r="R52" s="5">
        <f>F49*$J$2+F50*$J$3+F51*$J$4</f>
        <v>178.5907484</v>
      </c>
      <c r="U52" s="1">
        <v>78.481621000000004</v>
      </c>
      <c r="V52" s="5">
        <v>78.148743299999992</v>
      </c>
      <c r="W52" s="5">
        <f t="shared" si="1"/>
        <v>0.3328777000000116</v>
      </c>
      <c r="Y52" s="1">
        <v>176.30909700000001</v>
      </c>
      <c r="Z52" s="5">
        <v>178.5907484</v>
      </c>
      <c r="AA52" s="5">
        <f t="shared" si="2"/>
        <v>2.281651399999987</v>
      </c>
    </row>
    <row r="53" spans="2:27" x14ac:dyDescent="0.35">
      <c r="B53" s="3">
        <v>43854</v>
      </c>
      <c r="C53" s="2">
        <v>52</v>
      </c>
      <c r="D53" s="1">
        <v>78.255439999999993</v>
      </c>
      <c r="E53" s="2">
        <v>146537600</v>
      </c>
      <c r="F53" s="1">
        <v>173.903717</v>
      </c>
      <c r="G53" s="2">
        <v>2737000</v>
      </c>
      <c r="K53" s="1">
        <v>78.255439999999993</v>
      </c>
      <c r="L53" s="5">
        <f t="shared" si="0"/>
        <v>78.041800500000008</v>
      </c>
      <c r="M53" s="5"/>
      <c r="Q53" s="1">
        <v>173.903717</v>
      </c>
      <c r="R53" s="5">
        <f>F50*$J$2+F51*$J$3+F52*$J$4</f>
        <v>177.11022180000001</v>
      </c>
      <c r="U53" s="1">
        <v>78.255439999999993</v>
      </c>
      <c r="V53" s="5">
        <v>78.041800500000008</v>
      </c>
      <c r="W53" s="5">
        <f t="shared" si="1"/>
        <v>0.21363949999998511</v>
      </c>
      <c r="Y53" s="1">
        <v>173.903717</v>
      </c>
      <c r="Z53" s="5">
        <v>177.11022180000001</v>
      </c>
      <c r="AA53" s="5">
        <f t="shared" si="2"/>
        <v>3.2065048000000047</v>
      </c>
    </row>
    <row r="54" spans="2:27" x14ac:dyDescent="0.35">
      <c r="B54" s="3">
        <v>43857</v>
      </c>
      <c r="C54" s="2">
        <v>53</v>
      </c>
      <c r="D54" s="1">
        <v>75.954314999999994</v>
      </c>
      <c r="E54" s="2">
        <v>161940000</v>
      </c>
      <c r="F54" s="1">
        <v>170.37908899999999</v>
      </c>
      <c r="G54" s="2">
        <v>2491500</v>
      </c>
      <c r="K54" s="1">
        <v>75.954314999999994</v>
      </c>
      <c r="L54" s="5">
        <f t="shared" si="0"/>
        <v>78.248312299999995</v>
      </c>
      <c r="M54" s="5"/>
      <c r="Q54" s="1">
        <v>170.37908899999999</v>
      </c>
      <c r="R54" s="5">
        <f>F51*$J$2+F52*$J$3+F53*$J$4</f>
        <v>176.05873400000002</v>
      </c>
      <c r="U54" s="1">
        <v>75.954314999999994</v>
      </c>
      <c r="V54" s="5">
        <v>78.248312299999995</v>
      </c>
      <c r="W54" s="5">
        <f t="shared" si="1"/>
        <v>2.2939973000000009</v>
      </c>
      <c r="Y54" s="1">
        <v>170.37908899999999</v>
      </c>
      <c r="Z54" s="5">
        <v>176.05873400000002</v>
      </c>
      <c r="AA54" s="5">
        <f t="shared" si="2"/>
        <v>5.679645000000022</v>
      </c>
    </row>
    <row r="55" spans="2:27" x14ac:dyDescent="0.35">
      <c r="B55" s="3">
        <v>43858</v>
      </c>
      <c r="C55" s="2">
        <v>54</v>
      </c>
      <c r="D55" s="1">
        <v>78.103012000000007</v>
      </c>
      <c r="E55" s="2">
        <v>162234000</v>
      </c>
      <c r="F55" s="1">
        <v>172.26414500000001</v>
      </c>
      <c r="G55" s="2">
        <v>2178400</v>
      </c>
      <c r="K55" s="1">
        <v>78.103012000000007</v>
      </c>
      <c r="L55" s="5">
        <f t="shared" si="0"/>
        <v>77.908305500000012</v>
      </c>
      <c r="M55" s="5"/>
      <c r="Q55" s="1">
        <v>172.26414500000001</v>
      </c>
      <c r="R55" s="5">
        <f>F52*$J$2+F53*$J$3+F54*$J$4</f>
        <v>174.40148140000002</v>
      </c>
      <c r="U55" s="1">
        <v>78.103012000000007</v>
      </c>
      <c r="V55" s="5">
        <v>77.908305500000012</v>
      </c>
      <c r="W55" s="5">
        <f t="shared" si="1"/>
        <v>0.19470649999999523</v>
      </c>
      <c r="Y55" s="1">
        <v>172.26414500000001</v>
      </c>
      <c r="Z55" s="5">
        <v>174.40148140000002</v>
      </c>
      <c r="AA55" s="5">
        <f t="shared" si="2"/>
        <v>2.1373364000000095</v>
      </c>
    </row>
    <row r="56" spans="2:27" x14ac:dyDescent="0.35">
      <c r="B56" s="3">
        <v>43859</v>
      </c>
      <c r="C56" s="2">
        <v>55</v>
      </c>
      <c r="D56" s="1">
        <v>79.737899999999996</v>
      </c>
      <c r="E56" s="2">
        <v>216229200</v>
      </c>
      <c r="F56" s="1">
        <v>172.47030599999999</v>
      </c>
      <c r="G56" s="2">
        <v>2199000</v>
      </c>
      <c r="K56" s="1">
        <v>79.737899999999996</v>
      </c>
      <c r="L56" s="5">
        <f t="shared" si="0"/>
        <v>77.534616900000003</v>
      </c>
      <c r="M56" s="5"/>
      <c r="Q56" s="1">
        <v>172.47030599999999</v>
      </c>
      <c r="R56" s="5">
        <f>F53*$J$2+F54*$J$3+F55*$J$4</f>
        <v>172.5184142</v>
      </c>
      <c r="U56" s="1">
        <v>79.737899999999996</v>
      </c>
      <c r="V56" s="5">
        <v>77.534616900000003</v>
      </c>
      <c r="W56" s="5">
        <f t="shared" si="1"/>
        <v>2.2032830999999931</v>
      </c>
      <c r="Y56" s="1">
        <v>172.47030599999999</v>
      </c>
      <c r="Z56" s="5">
        <v>172.5184142</v>
      </c>
      <c r="AA56" s="5">
        <f t="shared" si="2"/>
        <v>4.8108200000001489E-2</v>
      </c>
    </row>
    <row r="57" spans="2:27" x14ac:dyDescent="0.35">
      <c r="B57" s="3">
        <v>43860</v>
      </c>
      <c r="C57" s="2">
        <v>56</v>
      </c>
      <c r="D57" s="1">
        <v>79.622337000000002</v>
      </c>
      <c r="E57" s="2">
        <v>126743200</v>
      </c>
      <c r="F57" s="1">
        <v>175.09165999999999</v>
      </c>
      <c r="G57" s="2">
        <v>3076100</v>
      </c>
      <c r="K57" s="1">
        <v>79.622337000000002</v>
      </c>
      <c r="L57" s="5">
        <f t="shared" si="0"/>
        <v>77.3556411</v>
      </c>
      <c r="M57" s="5"/>
      <c r="Q57" s="1">
        <v>175.09165999999999</v>
      </c>
      <c r="R57" s="5">
        <f>F54*$J$2+F55*$J$3+F56*$J$4</f>
        <v>171.3628492</v>
      </c>
      <c r="U57" s="1">
        <v>79.622337000000002</v>
      </c>
      <c r="V57" s="5">
        <v>77.3556411</v>
      </c>
      <c r="W57" s="5">
        <f t="shared" si="1"/>
        <v>2.266695900000002</v>
      </c>
      <c r="Y57" s="1">
        <v>175.09165999999999</v>
      </c>
      <c r="Z57" s="5">
        <v>171.3628492</v>
      </c>
      <c r="AA57" s="5">
        <f t="shared" si="2"/>
        <v>3.7288107999999909</v>
      </c>
    </row>
    <row r="58" spans="2:27" x14ac:dyDescent="0.35">
      <c r="B58" s="3">
        <v>43861</v>
      </c>
      <c r="C58" s="2">
        <v>57</v>
      </c>
      <c r="D58" s="1">
        <v>76.091994999999997</v>
      </c>
      <c r="E58" s="2">
        <v>199588400</v>
      </c>
      <c r="F58" s="1">
        <v>170.06492600000001</v>
      </c>
      <c r="G58" s="2">
        <v>5500000</v>
      </c>
      <c r="K58" s="1">
        <v>76.091994999999997</v>
      </c>
      <c r="L58" s="5">
        <f t="shared" si="0"/>
        <v>78.897343399999997</v>
      </c>
      <c r="M58" s="5"/>
      <c r="Q58" s="1">
        <v>170.06492600000001</v>
      </c>
      <c r="R58" s="5">
        <f>F55*$J$2+F56*$J$3+F57*$J$4</f>
        <v>172.89149630000003</v>
      </c>
      <c r="U58" s="1">
        <v>76.091994999999997</v>
      </c>
      <c r="V58" s="5">
        <v>78.897343399999997</v>
      </c>
      <c r="W58" s="5">
        <f t="shared" si="1"/>
        <v>2.8053483999999997</v>
      </c>
      <c r="Y58" s="1">
        <v>170.06492600000001</v>
      </c>
      <c r="Z58" s="5">
        <v>172.89149630000003</v>
      </c>
      <c r="AA58" s="5">
        <f t="shared" si="2"/>
        <v>2.8265703000000144</v>
      </c>
    </row>
    <row r="59" spans="2:27" x14ac:dyDescent="0.35">
      <c r="B59" s="3">
        <v>43864</v>
      </c>
      <c r="C59" s="2">
        <v>58</v>
      </c>
      <c r="D59" s="1">
        <v>75.883018000000007</v>
      </c>
      <c r="E59" s="2">
        <v>173985600</v>
      </c>
      <c r="F59" s="1">
        <v>168.19955400000001</v>
      </c>
      <c r="G59" s="2">
        <v>3542700</v>
      </c>
      <c r="K59" s="1">
        <v>75.883018000000007</v>
      </c>
      <c r="L59" s="5">
        <f t="shared" si="0"/>
        <v>78.974050099999999</v>
      </c>
      <c r="M59" s="5"/>
      <c r="Q59" s="1">
        <v>168.19955400000001</v>
      </c>
      <c r="R59" s="5">
        <f>F56*$J$2+F57*$J$3+F58*$J$4</f>
        <v>172.77563620000001</v>
      </c>
      <c r="U59" s="1">
        <v>75.883018000000007</v>
      </c>
      <c r="V59" s="5">
        <v>78.974050099999999</v>
      </c>
      <c r="W59" s="5">
        <f t="shared" si="1"/>
        <v>3.0910320999999925</v>
      </c>
      <c r="Y59" s="1">
        <v>168.19955400000001</v>
      </c>
      <c r="Z59" s="5">
        <v>172.77563620000001</v>
      </c>
      <c r="AA59" s="5">
        <f t="shared" si="2"/>
        <v>4.5760822000000019</v>
      </c>
    </row>
    <row r="60" spans="2:27" x14ac:dyDescent="0.35">
      <c r="B60" s="3">
        <v>43865</v>
      </c>
      <c r="C60" s="2">
        <v>59</v>
      </c>
      <c r="D60" s="1">
        <v>78.388199</v>
      </c>
      <c r="E60" s="2">
        <v>136616400</v>
      </c>
      <c r="F60" s="1">
        <v>172.01869199999999</v>
      </c>
      <c r="G60" s="2">
        <v>2992500</v>
      </c>
      <c r="K60" s="1">
        <v>78.388199</v>
      </c>
      <c r="L60" s="5">
        <f t="shared" si="0"/>
        <v>77.815370600000008</v>
      </c>
      <c r="M60" s="5"/>
      <c r="Q60" s="1">
        <v>172.01869199999999</v>
      </c>
      <c r="R60" s="5">
        <f>F57*$J$2+F58*$J$3+F59*$J$4</f>
        <v>172.20521859999999</v>
      </c>
      <c r="U60" s="1">
        <v>78.388199</v>
      </c>
      <c r="V60" s="5">
        <v>77.815370600000008</v>
      </c>
      <c r="W60" s="5">
        <f t="shared" si="1"/>
        <v>0.57282839999999169</v>
      </c>
      <c r="Y60" s="1">
        <v>172.01869199999999</v>
      </c>
      <c r="Z60" s="5">
        <v>172.20521859999999</v>
      </c>
      <c r="AA60" s="5">
        <f t="shared" si="2"/>
        <v>0.18652660000000765</v>
      </c>
    </row>
    <row r="61" spans="2:27" x14ac:dyDescent="0.35">
      <c r="B61" s="3">
        <v>43866</v>
      </c>
      <c r="C61" s="2">
        <v>60</v>
      </c>
      <c r="D61" s="1">
        <v>79.027405000000002</v>
      </c>
      <c r="E61" s="2">
        <v>118826800</v>
      </c>
      <c r="F61" s="1">
        <v>173.677887</v>
      </c>
      <c r="G61" s="2">
        <v>2818100</v>
      </c>
      <c r="K61" s="1">
        <v>79.027405000000002</v>
      </c>
      <c r="L61" s="5">
        <f t="shared" si="0"/>
        <v>76.488542700000011</v>
      </c>
      <c r="M61" s="5"/>
      <c r="Q61" s="1">
        <v>173.677887</v>
      </c>
      <c r="R61" s="5">
        <f>F58*$J$2+F59*$J$3+F60*$J$4</f>
        <v>169.89606760000001</v>
      </c>
      <c r="U61" s="1">
        <v>79.027405000000002</v>
      </c>
      <c r="V61" s="5">
        <v>76.488542700000011</v>
      </c>
      <c r="W61" s="5">
        <f t="shared" si="1"/>
        <v>2.538862299999991</v>
      </c>
      <c r="Y61" s="1">
        <v>173.677887</v>
      </c>
      <c r="Z61" s="5">
        <v>169.89606760000001</v>
      </c>
      <c r="AA61" s="5">
        <f t="shared" si="2"/>
        <v>3.7818193999999892</v>
      </c>
    </row>
    <row r="62" spans="2:27" x14ac:dyDescent="0.35">
      <c r="B62" s="3">
        <v>43867</v>
      </c>
      <c r="C62" s="2">
        <v>61</v>
      </c>
      <c r="D62" s="1">
        <v>79.951774999999998</v>
      </c>
      <c r="E62" s="2">
        <v>105425600</v>
      </c>
      <c r="F62" s="1">
        <v>173.137924</v>
      </c>
      <c r="G62" s="2">
        <v>2427500</v>
      </c>
      <c r="K62" s="1">
        <v>79.951774999999998</v>
      </c>
      <c r="L62" s="5">
        <f t="shared" si="0"/>
        <v>77.263449699999995</v>
      </c>
      <c r="M62" s="5"/>
      <c r="Q62" s="1">
        <v>173.137924</v>
      </c>
      <c r="R62" s="5">
        <f>F59*$J$2+F60*$J$3+F61*$J$4</f>
        <v>170.44096200000001</v>
      </c>
      <c r="U62" s="1">
        <v>79.951774999999998</v>
      </c>
      <c r="V62" s="5">
        <v>77.263449699999995</v>
      </c>
      <c r="W62" s="5">
        <f t="shared" si="1"/>
        <v>2.6883253000000025</v>
      </c>
      <c r="Y62" s="1">
        <v>173.137924</v>
      </c>
      <c r="Z62" s="5">
        <v>170.44096200000001</v>
      </c>
      <c r="AA62" s="5">
        <f t="shared" si="2"/>
        <v>2.696961999999985</v>
      </c>
    </row>
    <row r="63" spans="2:27" x14ac:dyDescent="0.35">
      <c r="B63" s="3">
        <v>43868</v>
      </c>
      <c r="C63" s="2">
        <v>62</v>
      </c>
      <c r="D63" s="1">
        <v>78.865020999999999</v>
      </c>
      <c r="E63" s="2">
        <v>117684000</v>
      </c>
      <c r="F63" s="1">
        <v>172.08738700000001</v>
      </c>
      <c r="G63" s="2">
        <v>3254500</v>
      </c>
      <c r="K63" s="1">
        <v>78.865020999999999</v>
      </c>
      <c r="L63" s="5">
        <f t="shared" si="0"/>
        <v>78.892675999999994</v>
      </c>
      <c r="M63" s="5"/>
      <c r="Q63" s="1">
        <v>172.08738700000001</v>
      </c>
      <c r="R63" s="5">
        <f>F60*$J$2+F61*$J$3+F62*$J$4</f>
        <v>172.74029689999998</v>
      </c>
      <c r="U63" s="1">
        <v>78.865020999999999</v>
      </c>
      <c r="V63" s="5">
        <v>78.892675999999994</v>
      </c>
      <c r="W63" s="5">
        <f t="shared" si="1"/>
        <v>2.7654999999995766E-2</v>
      </c>
      <c r="Y63" s="1">
        <v>172.08738700000001</v>
      </c>
      <c r="Z63" s="5">
        <v>172.74029689999998</v>
      </c>
      <c r="AA63" s="5">
        <f t="shared" si="2"/>
        <v>0.65290989999996896</v>
      </c>
    </row>
    <row r="64" spans="2:27" x14ac:dyDescent="0.35">
      <c r="B64" s="3">
        <v>43871</v>
      </c>
      <c r="C64" s="2">
        <v>63</v>
      </c>
      <c r="D64" s="1">
        <v>79.239593999999997</v>
      </c>
      <c r="E64" s="2">
        <v>109348800</v>
      </c>
      <c r="F64" s="1">
        <v>173.72699</v>
      </c>
      <c r="G64" s="2">
        <v>2399700</v>
      </c>
      <c r="K64" s="1">
        <v>79.239593999999997</v>
      </c>
      <c r="L64" s="5">
        <f t="shared" si="0"/>
        <v>79.272239200000001</v>
      </c>
      <c r="M64" s="5"/>
      <c r="Q64" s="1">
        <v>173.72699</v>
      </c>
      <c r="R64" s="5">
        <f>F61*$J$2+F62*$J$3+F63*$J$4</f>
        <v>173.1977981</v>
      </c>
      <c r="U64" s="1">
        <v>79.239593999999997</v>
      </c>
      <c r="V64" s="5">
        <v>79.272239200000001</v>
      </c>
      <c r="W64" s="5">
        <f t="shared" si="1"/>
        <v>3.2645200000004593E-2</v>
      </c>
      <c r="Y64" s="1">
        <v>173.72699</v>
      </c>
      <c r="Z64" s="5">
        <v>173.1977981</v>
      </c>
      <c r="AA64" s="5">
        <f t="shared" si="2"/>
        <v>0.52919190000000071</v>
      </c>
    </row>
    <row r="65" spans="2:27" x14ac:dyDescent="0.35">
      <c r="B65" s="3">
        <v>43872</v>
      </c>
      <c r="C65" s="2">
        <v>64</v>
      </c>
      <c r="D65" s="1">
        <v>78.761520000000004</v>
      </c>
      <c r="E65" s="2">
        <v>94323200</v>
      </c>
      <c r="F65" s="1">
        <v>175.88691700000001</v>
      </c>
      <c r="G65" s="2">
        <v>2948500</v>
      </c>
      <c r="K65" s="1">
        <v>78.761520000000004</v>
      </c>
      <c r="L65" s="5">
        <f t="shared" si="0"/>
        <v>79.483312600000005</v>
      </c>
      <c r="M65" s="5"/>
      <c r="Q65" s="1">
        <v>175.88691700000001</v>
      </c>
      <c r="R65" s="5">
        <f>F62*$J$2+F63*$J$3+F64*$J$4</f>
        <v>172.94057609999999</v>
      </c>
      <c r="U65" s="1">
        <v>78.761520000000004</v>
      </c>
      <c r="V65" s="5">
        <v>79.483312600000005</v>
      </c>
      <c r="W65" s="5">
        <f t="shared" si="1"/>
        <v>0.72179260000000056</v>
      </c>
      <c r="Y65" s="1">
        <v>175.88691700000001</v>
      </c>
      <c r="Z65" s="5">
        <v>172.94057609999999</v>
      </c>
      <c r="AA65" s="5">
        <f t="shared" si="2"/>
        <v>2.946340900000024</v>
      </c>
    </row>
    <row r="66" spans="2:27" x14ac:dyDescent="0.35">
      <c r="B66" s="3">
        <v>43873</v>
      </c>
      <c r="C66" s="2">
        <v>65</v>
      </c>
      <c r="D66" s="1">
        <v>80.631927000000005</v>
      </c>
      <c r="E66" s="2">
        <v>113730400</v>
      </c>
      <c r="F66" s="1">
        <v>177.879929</v>
      </c>
      <c r="G66" s="2">
        <v>2950800</v>
      </c>
      <c r="K66" s="1">
        <v>80.631927000000005</v>
      </c>
      <c r="L66" s="5">
        <f t="shared" si="0"/>
        <v>78.956692699999991</v>
      </c>
      <c r="M66" s="5"/>
      <c r="Q66" s="1">
        <v>177.879929</v>
      </c>
      <c r="R66" s="5">
        <f>F63*$J$2+F64*$J$3+F65*$J$4</f>
        <v>173.33917389999999</v>
      </c>
      <c r="U66" s="1">
        <v>80.631927000000005</v>
      </c>
      <c r="V66" s="5">
        <v>78.956692699999991</v>
      </c>
      <c r="W66" s="5">
        <f t="shared" si="1"/>
        <v>1.6752343000000138</v>
      </c>
      <c r="Y66" s="1">
        <v>177.879929</v>
      </c>
      <c r="Z66" s="5">
        <v>173.33917389999999</v>
      </c>
      <c r="AA66" s="5">
        <f t="shared" si="2"/>
        <v>4.5407551000000126</v>
      </c>
    </row>
    <row r="67" spans="2:27" x14ac:dyDescent="0.35">
      <c r="B67" s="3">
        <v>43874</v>
      </c>
      <c r="C67" s="2">
        <v>66</v>
      </c>
      <c r="D67" s="1">
        <v>80.057738999999998</v>
      </c>
      <c r="E67" s="2">
        <v>94747600</v>
      </c>
      <c r="F67" s="1">
        <v>176.839249</v>
      </c>
      <c r="G67" s="2">
        <v>1985700</v>
      </c>
      <c r="K67" s="1">
        <v>80.057738999999998</v>
      </c>
      <c r="L67" s="5">
        <f t="shared" si="0"/>
        <v>79.374638399999995</v>
      </c>
      <c r="M67" s="5"/>
      <c r="Q67" s="1">
        <v>176.839249</v>
      </c>
      <c r="R67" s="5">
        <f>F64*$J$2+F65*$J$3+F66*$J$4</f>
        <v>175.20555590000001</v>
      </c>
      <c r="U67" s="1">
        <v>80.057738999999998</v>
      </c>
      <c r="V67" s="5">
        <v>79.374638399999995</v>
      </c>
      <c r="W67" s="5">
        <f t="shared" si="1"/>
        <v>0.68310060000000306</v>
      </c>
      <c r="Y67" s="1">
        <v>176.839249</v>
      </c>
      <c r="Z67" s="5">
        <v>175.20555590000001</v>
      </c>
      <c r="AA67" s="5">
        <f t="shared" si="2"/>
        <v>1.6336930999999879</v>
      </c>
    </row>
    <row r="68" spans="2:27" x14ac:dyDescent="0.35">
      <c r="B68" s="3">
        <v>43875</v>
      </c>
      <c r="C68" s="2">
        <v>67</v>
      </c>
      <c r="D68" s="1">
        <v>80.077461</v>
      </c>
      <c r="E68" s="2">
        <v>80113600</v>
      </c>
      <c r="F68" s="1">
        <v>177.516693</v>
      </c>
      <c r="G68" s="2">
        <v>2489000</v>
      </c>
      <c r="K68" s="1">
        <v>80.077461</v>
      </c>
      <c r="L68" s="5">
        <f t="shared" si="0"/>
        <v>79.581885900000003</v>
      </c>
      <c r="M68" s="5"/>
      <c r="Q68" s="1">
        <v>177.516693</v>
      </c>
      <c r="R68" s="5">
        <f>F65*$J$2+F66*$J$3+F67*$J$4</f>
        <v>176.67528700000003</v>
      </c>
      <c r="U68" s="1">
        <v>80.077461</v>
      </c>
      <c r="V68" s="5">
        <v>79.581885900000003</v>
      </c>
      <c r="W68" s="5">
        <f t="shared" si="1"/>
        <v>0.49557509999999638</v>
      </c>
      <c r="Y68" s="1">
        <v>177.516693</v>
      </c>
      <c r="Z68" s="5">
        <v>176.67528700000003</v>
      </c>
      <c r="AA68" s="5">
        <f t="shared" si="2"/>
        <v>0.84140599999997789</v>
      </c>
    </row>
    <row r="69" spans="2:27" x14ac:dyDescent="0.35">
      <c r="B69" s="3">
        <v>43879</v>
      </c>
      <c r="C69" s="2">
        <v>68</v>
      </c>
      <c r="D69" s="1">
        <v>78.611198000000002</v>
      </c>
      <c r="E69" s="2">
        <v>152531200</v>
      </c>
      <c r="F69" s="1">
        <v>176.151993</v>
      </c>
      <c r="G69" s="2">
        <v>1818600</v>
      </c>
      <c r="K69" s="1">
        <v>78.611198000000002</v>
      </c>
      <c r="L69" s="5">
        <f t="shared" si="0"/>
        <v>80.348777400000003</v>
      </c>
      <c r="M69" s="5"/>
      <c r="Q69" s="1">
        <v>176.151993</v>
      </c>
      <c r="R69" s="5">
        <f>F66*$J$2+F67*$J$3+F68*$J$4</f>
        <v>177.49507779999999</v>
      </c>
      <c r="U69" s="1">
        <v>78.611198000000002</v>
      </c>
      <c r="V69" s="5">
        <v>80.348777400000003</v>
      </c>
      <c r="W69" s="5">
        <f t="shared" si="1"/>
        <v>1.7375794000000013</v>
      </c>
      <c r="Y69" s="1">
        <v>176.151993</v>
      </c>
      <c r="Z69" s="5">
        <v>177.49507779999999</v>
      </c>
      <c r="AA69" s="5">
        <f t="shared" si="2"/>
        <v>1.3430847999999855</v>
      </c>
    </row>
    <row r="70" spans="2:27" x14ac:dyDescent="0.35">
      <c r="B70" s="3">
        <v>43880</v>
      </c>
      <c r="C70" s="2">
        <v>69</v>
      </c>
      <c r="D70" s="1">
        <v>79.749701999999999</v>
      </c>
      <c r="E70" s="2">
        <v>93984000</v>
      </c>
      <c r="F70" s="1">
        <v>177.565765</v>
      </c>
      <c r="G70" s="2">
        <v>2464500</v>
      </c>
      <c r="K70" s="1">
        <v>79.749701999999999</v>
      </c>
      <c r="L70" s="5">
        <f t="shared" ref="L70:L102" si="3">D67*$J$2+D68*$J$3+D69*$J$4</f>
        <v>79.774347400000011</v>
      </c>
      <c r="M70" s="5"/>
      <c r="Q70" s="1">
        <v>177.565765</v>
      </c>
      <c r="R70" s="5">
        <f>F67*$J$2+F68*$J$3+F69*$J$4</f>
        <v>176.90503100000001</v>
      </c>
      <c r="U70" s="1">
        <v>79.749701999999999</v>
      </c>
      <c r="V70" s="5">
        <v>79.774347400000011</v>
      </c>
      <c r="W70" s="5">
        <f t="shared" ref="W70:W133" si="4">ABS(U70-V70)</f>
        <v>2.4645400000011364E-2</v>
      </c>
      <c r="Y70" s="1">
        <v>177.565765</v>
      </c>
      <c r="Z70" s="5">
        <v>176.90503100000001</v>
      </c>
      <c r="AA70" s="5">
        <f t="shared" ref="AA70:AA133" si="5">ABS(Y70-Z70)</f>
        <v>0.66073399999999083</v>
      </c>
    </row>
    <row r="71" spans="2:27" x14ac:dyDescent="0.35">
      <c r="B71" s="3">
        <v>43881</v>
      </c>
      <c r="C71" s="2">
        <v>70</v>
      </c>
      <c r="D71" s="1">
        <v>78.931563999999995</v>
      </c>
      <c r="E71" s="2">
        <v>100566000</v>
      </c>
      <c r="F71" s="1">
        <v>177.408691</v>
      </c>
      <c r="G71" s="2">
        <v>2336800</v>
      </c>
      <c r="K71" s="1">
        <v>78.931563999999995</v>
      </c>
      <c r="L71" s="5">
        <f t="shared" si="3"/>
        <v>79.572030299999994</v>
      </c>
      <c r="M71" s="5"/>
      <c r="Q71" s="1">
        <v>177.408691</v>
      </c>
      <c r="R71" s="5">
        <f>F68*$J$2+F69*$J$3+F70*$J$4</f>
        <v>177.11709739999998</v>
      </c>
      <c r="U71" s="1">
        <v>78.931563999999995</v>
      </c>
      <c r="V71" s="5">
        <v>79.572030299999994</v>
      </c>
      <c r="W71" s="5">
        <f t="shared" si="4"/>
        <v>0.64046629999999993</v>
      </c>
      <c r="Y71" s="1">
        <v>177.408691</v>
      </c>
      <c r="Z71" s="5">
        <v>177.11709739999998</v>
      </c>
      <c r="AA71" s="5">
        <f t="shared" si="5"/>
        <v>0.29159360000002721</v>
      </c>
    </row>
    <row r="72" spans="2:27" x14ac:dyDescent="0.35">
      <c r="B72" s="3">
        <v>43882</v>
      </c>
      <c r="C72" s="2">
        <v>71</v>
      </c>
      <c r="D72" s="1">
        <v>77.144942999999998</v>
      </c>
      <c r="E72" s="2">
        <v>129554000</v>
      </c>
      <c r="F72" s="1">
        <v>176.603622</v>
      </c>
      <c r="G72" s="2">
        <v>1940400</v>
      </c>
      <c r="K72" s="1">
        <v>77.144942999999998</v>
      </c>
      <c r="L72" s="5">
        <f t="shared" si="3"/>
        <v>79.016822400000009</v>
      </c>
      <c r="M72" s="5"/>
      <c r="Q72" s="1">
        <v>176.603622</v>
      </c>
      <c r="R72" s="5">
        <f>F69*$J$2+F70*$J$3+F71*$J$4</f>
        <v>176.82746420000001</v>
      </c>
      <c r="U72" s="1">
        <v>77.144942999999998</v>
      </c>
      <c r="V72" s="5">
        <v>79.016822400000009</v>
      </c>
      <c r="W72" s="5">
        <f t="shared" si="4"/>
        <v>1.8718794000000116</v>
      </c>
      <c r="Y72" s="1">
        <v>176.603622</v>
      </c>
      <c r="Z72" s="5">
        <v>176.82746420000001</v>
      </c>
      <c r="AA72" s="5">
        <f t="shared" si="5"/>
        <v>0.2238422000000071</v>
      </c>
    </row>
    <row r="73" spans="2:27" x14ac:dyDescent="0.35">
      <c r="B73" s="3">
        <v>43885</v>
      </c>
      <c r="C73" s="2">
        <v>72</v>
      </c>
      <c r="D73" s="1">
        <v>73.480521999999993</v>
      </c>
      <c r="E73" s="2">
        <v>222195200</v>
      </c>
      <c r="F73" s="1">
        <v>172.07759100000001</v>
      </c>
      <c r="G73" s="2">
        <v>3204300</v>
      </c>
      <c r="K73" s="1">
        <v>73.480521999999993</v>
      </c>
      <c r="L73" s="5">
        <f t="shared" si="3"/>
        <v>78.983308799999989</v>
      </c>
      <c r="M73" s="5"/>
      <c r="Q73" s="1">
        <v>172.07759100000001</v>
      </c>
      <c r="R73" s="5">
        <f>F70*$J$2+F71*$J$3+F72*$J$4</f>
        <v>177.32621419999998</v>
      </c>
      <c r="U73" s="1">
        <v>73.480521999999993</v>
      </c>
      <c r="V73" s="5">
        <v>78.983308799999989</v>
      </c>
      <c r="W73" s="5">
        <f t="shared" si="4"/>
        <v>5.5027867999999955</v>
      </c>
      <c r="Y73" s="1">
        <v>172.07759100000001</v>
      </c>
      <c r="Z73" s="5">
        <v>177.32621419999998</v>
      </c>
      <c r="AA73" s="5">
        <f t="shared" si="5"/>
        <v>5.2486231999999688</v>
      </c>
    </row>
    <row r="74" spans="2:27" x14ac:dyDescent="0.35">
      <c r="B74" s="3">
        <v>43886</v>
      </c>
      <c r="C74" s="2">
        <v>73</v>
      </c>
      <c r="D74" s="1">
        <v>70.991577000000007</v>
      </c>
      <c r="E74" s="2">
        <v>230673600</v>
      </c>
      <c r="F74" s="1">
        <v>164.743652</v>
      </c>
      <c r="G74" s="2">
        <v>4092200</v>
      </c>
      <c r="K74" s="1">
        <v>70.991577000000007</v>
      </c>
      <c r="L74" s="5">
        <f t="shared" si="3"/>
        <v>77.305369299999995</v>
      </c>
      <c r="M74" s="5"/>
      <c r="Q74" s="1">
        <v>164.743652</v>
      </c>
      <c r="R74" s="5">
        <f>F71*$J$2+F72*$J$3+F73*$J$4</f>
        <v>176.10095030000002</v>
      </c>
      <c r="U74" s="1">
        <v>70.991577000000007</v>
      </c>
      <c r="V74" s="5">
        <v>77.305369299999995</v>
      </c>
      <c r="W74" s="5">
        <f t="shared" si="4"/>
        <v>6.3137922999999887</v>
      </c>
      <c r="Y74" s="1">
        <v>164.743652</v>
      </c>
      <c r="Z74" s="5">
        <v>176.10095030000002</v>
      </c>
      <c r="AA74" s="5">
        <f t="shared" si="5"/>
        <v>11.357298300000025</v>
      </c>
    </row>
    <row r="75" spans="2:27" x14ac:dyDescent="0.35">
      <c r="B75" s="3">
        <v>43887</v>
      </c>
      <c r="C75" s="2">
        <v>74</v>
      </c>
      <c r="D75" s="1">
        <v>72.117767000000001</v>
      </c>
      <c r="E75" s="2">
        <v>198054800</v>
      </c>
      <c r="F75" s="1">
        <v>164.134918</v>
      </c>
      <c r="G75" s="2">
        <v>3411700</v>
      </c>
      <c r="K75" s="1">
        <v>72.117767000000001</v>
      </c>
      <c r="L75" s="5">
        <f t="shared" si="3"/>
        <v>74.814943499999998</v>
      </c>
      <c r="M75" s="5"/>
      <c r="Q75" s="1">
        <v>164.134918</v>
      </c>
      <c r="R75" s="5">
        <f>F72*$J$2+F73*$J$3+F74*$J$4</f>
        <v>172.87381870000002</v>
      </c>
      <c r="U75" s="1">
        <v>72.117767000000001</v>
      </c>
      <c r="V75" s="5">
        <v>74.814943499999998</v>
      </c>
      <c r="W75" s="5">
        <f t="shared" si="4"/>
        <v>2.6971764999999976</v>
      </c>
      <c r="Y75" s="1">
        <v>164.134918</v>
      </c>
      <c r="Z75" s="5">
        <v>172.87381870000002</v>
      </c>
      <c r="AA75" s="5">
        <f t="shared" si="5"/>
        <v>8.7389007000000163</v>
      </c>
    </row>
    <row r="76" spans="2:27" x14ac:dyDescent="0.35">
      <c r="B76" s="3">
        <v>43888</v>
      </c>
      <c r="C76" s="2">
        <v>75</v>
      </c>
      <c r="D76" s="1">
        <v>67.403557000000006</v>
      </c>
      <c r="E76" s="2">
        <v>320605600</v>
      </c>
      <c r="F76" s="1">
        <v>157.49176</v>
      </c>
      <c r="G76" s="2">
        <v>3951300</v>
      </c>
      <c r="K76" s="1">
        <v>67.403557000000006</v>
      </c>
      <c r="L76" s="5">
        <f t="shared" si="3"/>
        <v>72.461287499999997</v>
      </c>
      <c r="M76" s="5"/>
      <c r="Q76" s="1">
        <v>157.49176</v>
      </c>
      <c r="R76" s="5">
        <f>F73*$J$2+F74*$J$3+F75*$J$4</f>
        <v>168.28887470000001</v>
      </c>
      <c r="U76" s="1">
        <v>67.403557000000006</v>
      </c>
      <c r="V76" s="5">
        <v>72.461287499999997</v>
      </c>
      <c r="W76" s="5">
        <f t="shared" si="4"/>
        <v>5.057730499999991</v>
      </c>
      <c r="Y76" s="1">
        <v>157.49176</v>
      </c>
      <c r="Z76" s="5">
        <v>168.28887470000001</v>
      </c>
      <c r="AA76" s="5">
        <f t="shared" si="5"/>
        <v>10.797114700000009</v>
      </c>
    </row>
    <row r="77" spans="2:27" x14ac:dyDescent="0.35">
      <c r="B77" s="3">
        <v>43889</v>
      </c>
      <c r="C77" s="2">
        <v>76</v>
      </c>
      <c r="D77" s="1">
        <v>67.364127999999994</v>
      </c>
      <c r="E77" s="2">
        <v>426884800</v>
      </c>
      <c r="F77" s="1">
        <v>160.077957</v>
      </c>
      <c r="G77" s="2">
        <v>9558100</v>
      </c>
      <c r="K77" s="1">
        <v>67.364127999999994</v>
      </c>
      <c r="L77" s="5">
        <f t="shared" si="3"/>
        <v>70.611830000000012</v>
      </c>
      <c r="M77" s="5"/>
      <c r="Q77" s="1">
        <v>160.077957</v>
      </c>
      <c r="R77" s="5">
        <f>F74*$J$2+F75*$J$3+F76*$J$4</f>
        <v>163.11065340000002</v>
      </c>
      <c r="U77" s="1">
        <v>67.364127999999994</v>
      </c>
      <c r="V77" s="5">
        <v>70.611830000000012</v>
      </c>
      <c r="W77" s="5">
        <f t="shared" si="4"/>
        <v>3.2477020000000181</v>
      </c>
      <c r="Y77" s="1">
        <v>160.077957</v>
      </c>
      <c r="Z77" s="5">
        <v>163.11065340000002</v>
      </c>
      <c r="AA77" s="5">
        <f t="shared" si="5"/>
        <v>3.0326964000000203</v>
      </c>
    </row>
    <row r="78" spans="2:27" x14ac:dyDescent="0.35">
      <c r="B78" s="3">
        <v>43892</v>
      </c>
      <c r="C78" s="2">
        <v>77</v>
      </c>
      <c r="D78" s="1">
        <v>73.635773</v>
      </c>
      <c r="E78" s="2">
        <v>341397200</v>
      </c>
      <c r="F78" s="1">
        <v>162.12127699999999</v>
      </c>
      <c r="G78" s="2">
        <v>6744900</v>
      </c>
      <c r="K78" s="1">
        <v>73.635773</v>
      </c>
      <c r="L78" s="5">
        <f t="shared" si="3"/>
        <v>69.7527762</v>
      </c>
      <c r="M78" s="5"/>
      <c r="Q78" s="1">
        <v>162.12127699999999</v>
      </c>
      <c r="R78" s="5">
        <f>F75*$J$2+F76*$J$3+F77*$J$4</f>
        <v>161.33057840000001</v>
      </c>
      <c r="U78" s="1">
        <v>73.635773</v>
      </c>
      <c r="V78" s="5">
        <v>69.7527762</v>
      </c>
      <c r="W78" s="5">
        <f t="shared" si="4"/>
        <v>3.8829968000000008</v>
      </c>
      <c r="Y78" s="1">
        <v>162.12127699999999</v>
      </c>
      <c r="Z78" s="5">
        <v>161.33057840000001</v>
      </c>
      <c r="AA78" s="5">
        <f t="shared" si="5"/>
        <v>0.79069859999998471</v>
      </c>
    </row>
    <row r="79" spans="2:27" x14ac:dyDescent="0.35">
      <c r="B79" s="3">
        <v>43893</v>
      </c>
      <c r="C79" s="2">
        <v>78</v>
      </c>
      <c r="D79" s="1">
        <v>71.297156999999999</v>
      </c>
      <c r="E79" s="2">
        <v>319475600</v>
      </c>
      <c r="F79" s="1">
        <v>159.80157500000001</v>
      </c>
      <c r="G79" s="2">
        <v>6108500</v>
      </c>
      <c r="K79" s="1">
        <v>71.297156999999999</v>
      </c>
      <c r="L79" s="5">
        <f t="shared" si="3"/>
        <v>68.638171499999999</v>
      </c>
      <c r="M79" s="5"/>
      <c r="Q79" s="1">
        <v>159.80157500000001</v>
      </c>
      <c r="R79" s="5">
        <f>F76*$J$2+F77*$J$3+F78*$J$4</f>
        <v>159.1935225</v>
      </c>
      <c r="U79" s="1">
        <v>71.297156999999999</v>
      </c>
      <c r="V79" s="5">
        <v>68.638171499999999</v>
      </c>
      <c r="W79" s="5">
        <f t="shared" si="4"/>
        <v>2.6589855</v>
      </c>
      <c r="Y79" s="1">
        <v>159.80157500000001</v>
      </c>
      <c r="Z79" s="5">
        <v>159.1935225</v>
      </c>
      <c r="AA79" s="5">
        <f t="shared" si="5"/>
        <v>0.60805250000001365</v>
      </c>
    </row>
    <row r="80" spans="2:27" x14ac:dyDescent="0.35">
      <c r="B80" s="3">
        <v>43894</v>
      </c>
      <c r="C80" s="2">
        <v>79</v>
      </c>
      <c r="D80" s="1">
        <v>74.604240000000004</v>
      </c>
      <c r="E80" s="2">
        <v>219178400</v>
      </c>
      <c r="F80" s="1">
        <v>168.98161300000001</v>
      </c>
      <c r="G80" s="2">
        <v>4532500</v>
      </c>
      <c r="K80" s="1">
        <v>74.604240000000004</v>
      </c>
      <c r="L80" s="5">
        <f t="shared" si="3"/>
        <v>70.032227299999988</v>
      </c>
      <c r="M80" s="5"/>
      <c r="Q80" s="1">
        <v>168.98161300000001</v>
      </c>
      <c r="R80" s="5">
        <f>F77*$J$2+F78*$J$3+F79*$J$4</f>
        <v>160.63567660000001</v>
      </c>
      <c r="U80" s="1">
        <v>74.604240000000004</v>
      </c>
      <c r="V80" s="5">
        <v>70.032227299999988</v>
      </c>
      <c r="W80" s="5">
        <f t="shared" si="4"/>
        <v>4.5720127000000161</v>
      </c>
      <c r="Y80" s="1">
        <v>168.98161300000001</v>
      </c>
      <c r="Z80" s="5">
        <v>160.63567660000001</v>
      </c>
      <c r="AA80" s="5">
        <f t="shared" si="5"/>
        <v>8.3459363999999994</v>
      </c>
    </row>
    <row r="81" spans="2:27" x14ac:dyDescent="0.35">
      <c r="B81" s="3">
        <v>43895</v>
      </c>
      <c r="C81" s="2">
        <v>80</v>
      </c>
      <c r="D81" s="1">
        <v>72.184303</v>
      </c>
      <c r="E81" s="2">
        <v>187572800</v>
      </c>
      <c r="F81" s="1">
        <v>162.79248000000001</v>
      </c>
      <c r="G81" s="2">
        <v>5394700</v>
      </c>
      <c r="K81" s="1">
        <v>72.184303</v>
      </c>
      <c r="L81" s="5">
        <f t="shared" si="3"/>
        <v>73.127881600000009</v>
      </c>
      <c r="M81" s="5"/>
      <c r="Q81" s="1">
        <v>162.79248000000001</v>
      </c>
      <c r="R81" s="5">
        <f>F78*$J$2+F79*$J$3+F80*$J$4</f>
        <v>162.79743360000001</v>
      </c>
      <c r="U81" s="1">
        <v>72.184303</v>
      </c>
      <c r="V81" s="5">
        <v>73.127881600000009</v>
      </c>
      <c r="W81" s="5">
        <f t="shared" si="4"/>
        <v>0.94357860000000926</v>
      </c>
      <c r="Y81" s="1">
        <v>162.79248000000001</v>
      </c>
      <c r="Z81" s="5">
        <v>162.79743360000001</v>
      </c>
      <c r="AA81" s="5">
        <f t="shared" si="5"/>
        <v>4.9535999999932301E-3</v>
      </c>
    </row>
    <row r="82" spans="2:27" x14ac:dyDescent="0.35">
      <c r="B82" s="3">
        <v>43896</v>
      </c>
      <c r="C82" s="2">
        <v>81</v>
      </c>
      <c r="D82" s="1">
        <v>71.225684999999999</v>
      </c>
      <c r="E82" s="2">
        <v>226176800</v>
      </c>
      <c r="F82" s="1">
        <v>161.913971</v>
      </c>
      <c r="G82" s="2">
        <v>5021600</v>
      </c>
      <c r="K82" s="1">
        <v>71.225684999999999</v>
      </c>
      <c r="L82" s="5">
        <f t="shared" si="3"/>
        <v>72.466711099999998</v>
      </c>
      <c r="M82" s="5"/>
      <c r="Q82" s="1">
        <v>161.913971</v>
      </c>
      <c r="R82" s="5">
        <f>F79*$J$2+F80*$J$3+F81*$J$4</f>
        <v>163.15376739999999</v>
      </c>
      <c r="U82" s="1">
        <v>71.225684999999999</v>
      </c>
      <c r="V82" s="5">
        <v>72.466711099999998</v>
      </c>
      <c r="W82" s="5">
        <f t="shared" si="4"/>
        <v>1.2410260999999991</v>
      </c>
      <c r="Y82" s="1">
        <v>161.913971</v>
      </c>
      <c r="Z82" s="5">
        <v>163.15376739999999</v>
      </c>
      <c r="AA82" s="5">
        <f t="shared" si="5"/>
        <v>1.2397963999999888</v>
      </c>
    </row>
    <row r="83" spans="2:27" x14ac:dyDescent="0.35">
      <c r="B83" s="3">
        <v>43899</v>
      </c>
      <c r="C83" s="2">
        <v>82</v>
      </c>
      <c r="D83" s="1">
        <v>65.592308000000003</v>
      </c>
      <c r="E83" s="2">
        <v>286744800</v>
      </c>
      <c r="F83" s="1">
        <v>150.88806199999999</v>
      </c>
      <c r="G83" s="2">
        <v>5849000</v>
      </c>
      <c r="K83" s="1">
        <v>65.592308000000003</v>
      </c>
      <c r="L83" s="5">
        <f t="shared" si="3"/>
        <v>73.202547899999999</v>
      </c>
      <c r="M83" s="5"/>
      <c r="Q83" s="1">
        <v>150.88806199999999</v>
      </c>
      <c r="R83" s="5">
        <f>F80*$J$2+F81*$J$3+F82*$J$4</f>
        <v>165.71134470000001</v>
      </c>
      <c r="U83" s="1">
        <v>65.592308000000003</v>
      </c>
      <c r="V83" s="5">
        <v>73.202547899999999</v>
      </c>
      <c r="W83" s="5">
        <f t="shared" si="4"/>
        <v>7.6102398999999963</v>
      </c>
      <c r="Y83" s="1">
        <v>150.88806199999999</v>
      </c>
      <c r="Z83" s="5">
        <v>165.71134470000001</v>
      </c>
      <c r="AA83" s="5">
        <f t="shared" si="5"/>
        <v>14.823282700000021</v>
      </c>
    </row>
    <row r="84" spans="2:27" x14ac:dyDescent="0.35">
      <c r="B84" s="3">
        <v>43900</v>
      </c>
      <c r="C84" s="2">
        <v>83</v>
      </c>
      <c r="D84" s="1">
        <v>70.316367999999997</v>
      </c>
      <c r="E84" s="2">
        <v>285290000</v>
      </c>
      <c r="F84" s="1">
        <v>159.60415599999999</v>
      </c>
      <c r="G84" s="2">
        <v>5477600</v>
      </c>
      <c r="K84" s="1">
        <v>70.316367999999997</v>
      </c>
      <c r="L84" s="5">
        <f t="shared" si="3"/>
        <v>70.578318600000003</v>
      </c>
      <c r="M84" s="5"/>
      <c r="Q84" s="1">
        <v>159.60415599999999</v>
      </c>
      <c r="R84" s="5">
        <f>F81*$J$2+F82*$J$3+F83*$J$4</f>
        <v>160.14804370000002</v>
      </c>
      <c r="U84" s="1">
        <v>70.316367999999997</v>
      </c>
      <c r="V84" s="5">
        <v>70.578318600000003</v>
      </c>
      <c r="W84" s="5">
        <f t="shared" si="4"/>
        <v>0.26195060000000581</v>
      </c>
      <c r="Y84" s="1">
        <v>159.60415599999999</v>
      </c>
      <c r="Z84" s="5">
        <v>160.14804370000002</v>
      </c>
      <c r="AA84" s="5">
        <f t="shared" si="5"/>
        <v>0.54388770000002751</v>
      </c>
    </row>
    <row r="85" spans="2:27" x14ac:dyDescent="0.35">
      <c r="B85" s="3">
        <v>43901</v>
      </c>
      <c r="C85" s="2">
        <v>84</v>
      </c>
      <c r="D85" s="1">
        <v>67.874245000000002</v>
      </c>
      <c r="E85" s="2">
        <v>255598800</v>
      </c>
      <c r="F85" s="1">
        <v>151.411224</v>
      </c>
      <c r="G85" s="2">
        <v>4826900</v>
      </c>
      <c r="K85" s="1">
        <v>67.874245000000002</v>
      </c>
      <c r="L85" s="5">
        <f t="shared" si="3"/>
        <v>69.3538085</v>
      </c>
      <c r="M85" s="5"/>
      <c r="Q85" s="1">
        <v>151.411224</v>
      </c>
      <c r="R85" s="5">
        <f>F82*$J$2+F83*$J$3+F84*$J$4</f>
        <v>158.14423529999999</v>
      </c>
      <c r="U85" s="1">
        <v>67.874245000000002</v>
      </c>
      <c r="V85" s="5">
        <v>69.3538085</v>
      </c>
      <c r="W85" s="5">
        <f t="shared" si="4"/>
        <v>1.4795634999999976</v>
      </c>
      <c r="Y85" s="1">
        <v>151.411224</v>
      </c>
      <c r="Z85" s="5">
        <v>158.14423529999999</v>
      </c>
      <c r="AA85" s="5">
        <f t="shared" si="5"/>
        <v>6.7330112999999869</v>
      </c>
    </row>
    <row r="86" spans="2:27" x14ac:dyDescent="0.35">
      <c r="B86" s="3">
        <v>43902</v>
      </c>
      <c r="C86" s="2">
        <v>85</v>
      </c>
      <c r="D86" s="1">
        <v>61.171340999999998</v>
      </c>
      <c r="E86" s="2">
        <v>418474000</v>
      </c>
      <c r="F86" s="1">
        <v>133.11039700000001</v>
      </c>
      <c r="G86" s="2">
        <v>7170500</v>
      </c>
      <c r="K86" s="1">
        <v>61.171340999999998</v>
      </c>
      <c r="L86" s="5">
        <f t="shared" si="3"/>
        <v>67.465913400000005</v>
      </c>
      <c r="M86" s="5"/>
      <c r="Q86" s="1">
        <v>133.11039700000001</v>
      </c>
      <c r="R86" s="5">
        <f>F83*$J$2+F84*$J$3+F85*$J$4</f>
        <v>153.60752259999998</v>
      </c>
      <c r="U86" s="1">
        <v>61.171340999999998</v>
      </c>
      <c r="V86" s="5">
        <v>67.465913400000005</v>
      </c>
      <c r="W86" s="5">
        <f t="shared" si="4"/>
        <v>6.294572400000007</v>
      </c>
      <c r="Y86" s="1">
        <v>133.11039700000001</v>
      </c>
      <c r="Z86" s="5">
        <v>153.60752259999998</v>
      </c>
      <c r="AA86" s="5">
        <f t="shared" si="5"/>
        <v>20.497125599999976</v>
      </c>
    </row>
    <row r="87" spans="2:27" x14ac:dyDescent="0.35">
      <c r="B87" s="3">
        <v>43903</v>
      </c>
      <c r="C87" s="2">
        <v>86</v>
      </c>
      <c r="D87" s="1">
        <v>68.500174999999999</v>
      </c>
      <c r="E87" s="2">
        <v>370732000</v>
      </c>
      <c r="F87" s="1">
        <v>147.482574</v>
      </c>
      <c r="G87" s="2">
        <v>6324800</v>
      </c>
      <c r="K87" s="1">
        <v>68.500174999999999</v>
      </c>
      <c r="L87" s="5">
        <f t="shared" si="3"/>
        <v>67.754725699999995</v>
      </c>
      <c r="M87" s="5"/>
      <c r="Q87" s="1">
        <v>147.482574</v>
      </c>
      <c r="R87" s="5">
        <f>F84*$J$2+F85*$J$3+F86*$J$4</f>
        <v>151.84752459999999</v>
      </c>
      <c r="U87" s="1">
        <v>68.500174999999999</v>
      </c>
      <c r="V87" s="5">
        <v>67.754725699999995</v>
      </c>
      <c r="W87" s="5">
        <f t="shared" si="4"/>
        <v>0.7454493000000042</v>
      </c>
      <c r="Y87" s="1">
        <v>147.482574</v>
      </c>
      <c r="Z87" s="5">
        <v>151.84752459999999</v>
      </c>
      <c r="AA87" s="5">
        <f t="shared" si="5"/>
        <v>4.364950599999986</v>
      </c>
    </row>
    <row r="88" spans="2:27" x14ac:dyDescent="0.35">
      <c r="B88" s="3">
        <v>43906</v>
      </c>
      <c r="C88" s="2">
        <v>87</v>
      </c>
      <c r="D88" s="1">
        <v>59.687832</v>
      </c>
      <c r="E88" s="2">
        <v>322423600</v>
      </c>
      <c r="F88" s="1">
        <v>133.524979</v>
      </c>
      <c r="G88" s="2">
        <v>5891000</v>
      </c>
      <c r="K88" s="1">
        <v>59.687832</v>
      </c>
      <c r="L88" s="5">
        <f t="shared" si="3"/>
        <v>65.988559800000004</v>
      </c>
      <c r="M88" s="5"/>
      <c r="Q88" s="1">
        <v>133.524979</v>
      </c>
      <c r="R88" s="5">
        <f>F85*$J$2+F86*$J$3+F87*$J$4</f>
        <v>145.1352459</v>
      </c>
      <c r="U88" s="1">
        <v>59.687832</v>
      </c>
      <c r="V88" s="5">
        <v>65.988559800000004</v>
      </c>
      <c r="W88" s="5">
        <f t="shared" si="4"/>
        <v>6.3007278000000042</v>
      </c>
      <c r="Y88" s="1">
        <v>133.524979</v>
      </c>
      <c r="Z88" s="5">
        <v>145.1352459</v>
      </c>
      <c r="AA88" s="5">
        <f t="shared" si="5"/>
        <v>11.610266899999999</v>
      </c>
    </row>
    <row r="89" spans="2:27" x14ac:dyDescent="0.35">
      <c r="B89" s="3">
        <v>43907</v>
      </c>
      <c r="C89" s="2">
        <v>88</v>
      </c>
      <c r="D89" s="1">
        <v>62.312308999999999</v>
      </c>
      <c r="E89" s="2">
        <v>324056000</v>
      </c>
      <c r="F89" s="1">
        <v>130.09974700000001</v>
      </c>
      <c r="G89" s="2">
        <v>8524800</v>
      </c>
      <c r="K89" s="1">
        <v>62.312308999999999</v>
      </c>
      <c r="L89" s="5">
        <f t="shared" si="3"/>
        <v>63.0732894</v>
      </c>
      <c r="M89" s="5"/>
      <c r="Q89" s="1">
        <v>130.09974700000001</v>
      </c>
      <c r="R89" s="5">
        <f>F86*$J$2+F87*$J$3+F88*$J$4</f>
        <v>137.50496649999999</v>
      </c>
      <c r="U89" s="1">
        <v>62.312308999999999</v>
      </c>
      <c r="V89" s="5">
        <v>63.0732894</v>
      </c>
      <c r="W89" s="5">
        <f t="shared" si="4"/>
        <v>0.76098040000000111</v>
      </c>
      <c r="Y89" s="1">
        <v>130.09974700000001</v>
      </c>
      <c r="Z89" s="5">
        <v>137.50496649999999</v>
      </c>
      <c r="AA89" s="5">
        <f t="shared" si="5"/>
        <v>7.405219499999987</v>
      </c>
    </row>
    <row r="90" spans="2:27" x14ac:dyDescent="0.35">
      <c r="B90" s="3">
        <v>43908</v>
      </c>
      <c r="C90" s="2">
        <v>89</v>
      </c>
      <c r="D90" s="1">
        <v>60.786911000000003</v>
      </c>
      <c r="E90" s="2">
        <v>300233600</v>
      </c>
      <c r="F90" s="1">
        <v>118.067001</v>
      </c>
      <c r="G90" s="2">
        <v>7633900</v>
      </c>
      <c r="K90" s="1">
        <v>60.786911000000003</v>
      </c>
      <c r="L90" s="5">
        <f t="shared" si="3"/>
        <v>64.618898900000005</v>
      </c>
      <c r="M90" s="5"/>
      <c r="Q90" s="1">
        <v>118.067001</v>
      </c>
      <c r="R90" s="5">
        <f>F87*$J$2+F88*$J$3+F89*$J$4</f>
        <v>139.81873010000001</v>
      </c>
      <c r="U90" s="1">
        <v>60.786911000000003</v>
      </c>
      <c r="V90" s="5">
        <v>64.618898900000005</v>
      </c>
      <c r="W90" s="5">
        <f t="shared" si="4"/>
        <v>3.8319879000000014</v>
      </c>
      <c r="Y90" s="1">
        <v>118.067001</v>
      </c>
      <c r="Z90" s="5">
        <v>139.81873010000001</v>
      </c>
      <c r="AA90" s="5">
        <f t="shared" si="5"/>
        <v>21.751729100000006</v>
      </c>
    </row>
    <row r="91" spans="2:27" x14ac:dyDescent="0.35">
      <c r="B91" s="3">
        <v>43909</v>
      </c>
      <c r="C91" s="2">
        <v>90</v>
      </c>
      <c r="D91" s="1">
        <v>60.321156000000002</v>
      </c>
      <c r="E91" s="2">
        <v>271857200</v>
      </c>
      <c r="F91" s="1">
        <v>117.42538500000001</v>
      </c>
      <c r="G91" s="2">
        <v>6814100</v>
      </c>
      <c r="K91" s="1">
        <v>60.321156000000002</v>
      </c>
      <c r="L91" s="5">
        <f t="shared" si="3"/>
        <v>60.694990900000001</v>
      </c>
      <c r="M91" s="5"/>
      <c r="Q91" s="1">
        <v>117.42538500000001</v>
      </c>
      <c r="R91" s="5">
        <f>F88*$J$2+F89*$J$3+F90*$J$4</f>
        <v>129.4058138</v>
      </c>
      <c r="U91" s="1">
        <v>60.321156000000002</v>
      </c>
      <c r="V91" s="5">
        <v>60.694990900000001</v>
      </c>
      <c r="W91" s="5">
        <f t="shared" si="4"/>
        <v>0.37383489999999853</v>
      </c>
      <c r="Y91" s="1">
        <v>117.42538500000001</v>
      </c>
      <c r="Z91" s="5">
        <v>129.4058138</v>
      </c>
      <c r="AA91" s="5">
        <f t="shared" si="5"/>
        <v>11.980428799999999</v>
      </c>
    </row>
    <row r="92" spans="2:27" x14ac:dyDescent="0.35">
      <c r="B92" s="3">
        <v>43910</v>
      </c>
      <c r="C92" s="2">
        <v>91</v>
      </c>
      <c r="D92" s="1">
        <v>56.491633999999998</v>
      </c>
      <c r="E92" s="2">
        <v>401693200</v>
      </c>
      <c r="F92" s="1">
        <v>111.048721</v>
      </c>
      <c r="G92" s="2">
        <v>6801200</v>
      </c>
      <c r="K92" s="1">
        <v>56.491633999999998</v>
      </c>
      <c r="L92" s="5">
        <f t="shared" si="3"/>
        <v>61.456459000000002</v>
      </c>
      <c r="M92" s="5"/>
      <c r="Q92" s="1">
        <v>111.048721</v>
      </c>
      <c r="R92" s="5">
        <f>F89*$J$2+F90*$J$3+F91*$J$4</f>
        <v>123.95505080000001</v>
      </c>
      <c r="U92" s="1">
        <v>56.491633999999998</v>
      </c>
      <c r="V92" s="5">
        <v>61.456459000000002</v>
      </c>
      <c r="W92" s="5">
        <f t="shared" si="4"/>
        <v>4.9648250000000047</v>
      </c>
      <c r="Y92" s="1">
        <v>111.048721</v>
      </c>
      <c r="Z92" s="5">
        <v>123.95505080000001</v>
      </c>
      <c r="AA92" s="5">
        <f t="shared" si="5"/>
        <v>12.906329800000009</v>
      </c>
    </row>
    <row r="93" spans="2:27" x14ac:dyDescent="0.35">
      <c r="B93" s="3">
        <v>43913</v>
      </c>
      <c r="C93" s="2">
        <v>92</v>
      </c>
      <c r="D93" s="1">
        <v>55.291519000000001</v>
      </c>
      <c r="E93" s="2">
        <v>336752800</v>
      </c>
      <c r="F93" s="1">
        <v>102.520172</v>
      </c>
      <c r="G93" s="2">
        <v>8200400</v>
      </c>
      <c r="K93" s="1">
        <v>55.291519000000001</v>
      </c>
      <c r="L93" s="5">
        <f t="shared" si="3"/>
        <v>59.788129099999999</v>
      </c>
      <c r="M93" s="5"/>
      <c r="Q93" s="1">
        <v>102.520172</v>
      </c>
      <c r="R93" s="5">
        <f>F90*$J$2+F91*$J$3+F92*$J$4</f>
        <v>116.4708602</v>
      </c>
      <c r="U93" s="1">
        <v>55.291519000000001</v>
      </c>
      <c r="V93" s="5">
        <v>59.788129099999999</v>
      </c>
      <c r="W93" s="5">
        <f t="shared" si="4"/>
        <v>4.4966100999999981</v>
      </c>
      <c r="Y93" s="1">
        <v>102.520172</v>
      </c>
      <c r="Z93" s="5">
        <v>116.4708602</v>
      </c>
      <c r="AA93" s="5">
        <f t="shared" si="5"/>
        <v>13.950688200000002</v>
      </c>
    </row>
    <row r="94" spans="2:27" x14ac:dyDescent="0.35">
      <c r="B94" s="3">
        <v>43914</v>
      </c>
      <c r="C94" s="2">
        <v>93</v>
      </c>
      <c r="D94" s="1">
        <v>60.838661000000002</v>
      </c>
      <c r="E94" s="2">
        <v>287531200</v>
      </c>
      <c r="F94" s="1">
        <v>117.96828499999999</v>
      </c>
      <c r="G94" s="2">
        <v>5799100</v>
      </c>
      <c r="K94" s="1">
        <v>60.838661000000002</v>
      </c>
      <c r="L94" s="5">
        <f t="shared" si="3"/>
        <v>58.166371999999996</v>
      </c>
      <c r="M94" s="5"/>
      <c r="Q94" s="1">
        <v>117.96828499999999</v>
      </c>
      <c r="R94" s="5">
        <f>F91*$J$2+F92*$J$3+F93*$J$4</f>
        <v>112.53134320000001</v>
      </c>
      <c r="U94" s="1">
        <v>60.838661000000002</v>
      </c>
      <c r="V94" s="5">
        <v>58.166371999999996</v>
      </c>
      <c r="W94" s="5">
        <f t="shared" si="4"/>
        <v>2.6722890000000064</v>
      </c>
      <c r="Y94" s="1">
        <v>117.96828499999999</v>
      </c>
      <c r="Z94" s="5">
        <v>112.53134320000001</v>
      </c>
      <c r="AA94" s="5">
        <f t="shared" si="5"/>
        <v>5.4369417999999854</v>
      </c>
    </row>
    <row r="95" spans="2:27" x14ac:dyDescent="0.35">
      <c r="B95" s="3">
        <v>43915</v>
      </c>
      <c r="C95" s="2">
        <v>94</v>
      </c>
      <c r="D95" s="1">
        <v>60.503517000000002</v>
      </c>
      <c r="E95" s="2">
        <v>303602000</v>
      </c>
      <c r="F95" s="1">
        <v>127.977478</v>
      </c>
      <c r="G95" s="2">
        <v>7159100</v>
      </c>
      <c r="K95" s="1">
        <v>60.503517000000002</v>
      </c>
      <c r="L95" s="5">
        <f t="shared" si="3"/>
        <v>57.001004899999998</v>
      </c>
      <c r="M95" s="5"/>
      <c r="Q95" s="1">
        <v>127.977478</v>
      </c>
      <c r="R95" s="5">
        <f>F92*$J$2+F93*$J$3+F94*$J$4</f>
        <v>109.87406910000001</v>
      </c>
      <c r="U95" s="1">
        <v>60.503517000000002</v>
      </c>
      <c r="V95" s="5">
        <v>57.001004899999998</v>
      </c>
      <c r="W95" s="5">
        <f t="shared" si="4"/>
        <v>3.5025121000000041</v>
      </c>
      <c r="Y95" s="1">
        <v>127.977478</v>
      </c>
      <c r="Z95" s="5">
        <v>109.87406910000001</v>
      </c>
      <c r="AA95" s="5">
        <f t="shared" si="5"/>
        <v>18.103408899999991</v>
      </c>
    </row>
    <row r="96" spans="2:27" x14ac:dyDescent="0.35">
      <c r="B96" s="3">
        <v>43916</v>
      </c>
      <c r="C96" s="2">
        <v>95</v>
      </c>
      <c r="D96" s="1">
        <v>63.687393</v>
      </c>
      <c r="E96" s="2">
        <v>252087200</v>
      </c>
      <c r="F96" s="1">
        <v>135.627487</v>
      </c>
      <c r="G96" s="2">
        <v>5594400</v>
      </c>
      <c r="K96" s="1">
        <v>63.687393</v>
      </c>
      <c r="L96" s="5">
        <f t="shared" si="3"/>
        <v>57.998061200000002</v>
      </c>
      <c r="M96" s="5"/>
      <c r="Q96" s="1">
        <v>135.627487</v>
      </c>
      <c r="R96" s="5">
        <f>F93*$J$2+F94*$J$3+F95*$J$4</f>
        <v>112.2460671</v>
      </c>
      <c r="U96" s="1">
        <v>63.687393</v>
      </c>
      <c r="V96" s="5">
        <v>57.998061200000002</v>
      </c>
      <c r="W96" s="5">
        <f t="shared" si="4"/>
        <v>5.6893317999999979</v>
      </c>
      <c r="Y96" s="1">
        <v>135.627487</v>
      </c>
      <c r="Z96" s="5">
        <v>112.2460671</v>
      </c>
      <c r="AA96" s="5">
        <f t="shared" si="5"/>
        <v>23.381419899999997</v>
      </c>
    </row>
    <row r="97" spans="2:27" x14ac:dyDescent="0.35">
      <c r="B97" s="3">
        <v>43917</v>
      </c>
      <c r="C97" s="2">
        <v>96</v>
      </c>
      <c r="D97" s="1">
        <v>61.050593999999997</v>
      </c>
      <c r="E97" s="2">
        <v>204216800</v>
      </c>
      <c r="F97" s="1">
        <v>129.57659899999999</v>
      </c>
      <c r="G97" s="2">
        <v>3924900</v>
      </c>
      <c r="K97" s="1">
        <v>61.050593999999997</v>
      </c>
      <c r="L97" s="5">
        <f t="shared" si="3"/>
        <v>61.307864200000004</v>
      </c>
      <c r="M97" s="5"/>
      <c r="Q97" s="1">
        <v>129.57659899999999</v>
      </c>
      <c r="R97" s="5">
        <f>F94*$J$2+F95*$J$3+F96*$J$4</f>
        <v>124.50288330000001</v>
      </c>
      <c r="U97" s="1">
        <v>61.050593999999997</v>
      </c>
      <c r="V97" s="5">
        <v>61.307864200000004</v>
      </c>
      <c r="W97" s="5">
        <f t="shared" si="4"/>
        <v>0.25727020000000778</v>
      </c>
      <c r="Y97" s="1">
        <v>129.57659899999999</v>
      </c>
      <c r="Z97" s="5">
        <v>124.50288330000001</v>
      </c>
      <c r="AA97" s="5">
        <f t="shared" si="5"/>
        <v>5.0737156999999797</v>
      </c>
    </row>
    <row r="98" spans="2:27" x14ac:dyDescent="0.35">
      <c r="B98" s="3">
        <v>43920</v>
      </c>
      <c r="C98" s="2">
        <v>97</v>
      </c>
      <c r="D98" s="1">
        <v>62.792850000000001</v>
      </c>
      <c r="E98" s="2">
        <v>167976400</v>
      </c>
      <c r="F98" s="1">
        <v>130.05038500000001</v>
      </c>
      <c r="G98" s="2">
        <v>5035700</v>
      </c>
      <c r="K98" s="1">
        <v>62.792850000000001</v>
      </c>
      <c r="L98" s="5">
        <f t="shared" si="3"/>
        <v>61.568095200000002</v>
      </c>
      <c r="M98" s="5"/>
      <c r="Q98" s="1">
        <v>130.05038500000001</v>
      </c>
      <c r="R98" s="5">
        <f>F95*$J$2+F96*$J$3+F97*$J$4</f>
        <v>130.59230489999999</v>
      </c>
      <c r="U98" s="1">
        <v>62.792850000000001</v>
      </c>
      <c r="V98" s="5">
        <v>61.568095200000002</v>
      </c>
      <c r="W98" s="5">
        <f t="shared" si="4"/>
        <v>1.2247547999999995</v>
      </c>
      <c r="Y98" s="1">
        <v>130.05038500000001</v>
      </c>
      <c r="Z98" s="5">
        <v>130.59230489999999</v>
      </c>
      <c r="AA98" s="5">
        <f t="shared" si="5"/>
        <v>0.54191989999998214</v>
      </c>
    </row>
    <row r="99" spans="2:27" x14ac:dyDescent="0.35">
      <c r="B99" s="3">
        <v>43921</v>
      </c>
      <c r="C99" s="2">
        <v>98</v>
      </c>
      <c r="D99" s="1">
        <v>62.664707</v>
      </c>
      <c r="E99" s="2">
        <v>197002000</v>
      </c>
      <c r="F99" s="1">
        <v>132.06407200000001</v>
      </c>
      <c r="G99" s="2">
        <v>5296000</v>
      </c>
      <c r="K99" s="1">
        <v>62.664707</v>
      </c>
      <c r="L99" s="5">
        <f t="shared" si="3"/>
        <v>62.717444700000001</v>
      </c>
      <c r="M99" s="5"/>
      <c r="Q99" s="1">
        <v>132.06407200000001</v>
      </c>
      <c r="R99" s="5">
        <f>F96*$J$2+F97*$J$3+F98*$J$4</f>
        <v>132.69680019999998</v>
      </c>
      <c r="U99" s="1">
        <v>62.664707</v>
      </c>
      <c r="V99" s="5">
        <v>62.717444700000001</v>
      </c>
      <c r="W99" s="5">
        <f t="shared" si="4"/>
        <v>5.2737700000001553E-2</v>
      </c>
      <c r="Y99" s="1">
        <v>132.06407200000001</v>
      </c>
      <c r="Z99" s="5">
        <v>132.69680019999998</v>
      </c>
      <c r="AA99" s="5">
        <f t="shared" si="5"/>
        <v>0.63272819999997409</v>
      </c>
    </row>
    <row r="100" spans="2:27" x14ac:dyDescent="0.35">
      <c r="B100" s="3">
        <v>43922</v>
      </c>
      <c r="C100" s="2">
        <v>99</v>
      </c>
      <c r="D100" s="1">
        <v>59.367474000000001</v>
      </c>
      <c r="E100" s="2">
        <v>176218400</v>
      </c>
      <c r="F100" s="1">
        <v>128.03671299999999</v>
      </c>
      <c r="G100" s="2">
        <v>4246100</v>
      </c>
      <c r="K100" s="1">
        <v>59.367474000000001</v>
      </c>
      <c r="L100" s="5">
        <f t="shared" si="3"/>
        <v>61.896093399999998</v>
      </c>
      <c r="M100" s="5"/>
      <c r="Q100" s="1">
        <v>128.03671299999999</v>
      </c>
      <c r="R100" s="5">
        <f>F97*$J$2+F98*$J$3+F99*$J$4</f>
        <v>130.2162294</v>
      </c>
      <c r="U100" s="1">
        <v>59.367474000000001</v>
      </c>
      <c r="V100" s="5">
        <v>61.896093399999998</v>
      </c>
      <c r="W100" s="5">
        <f t="shared" si="4"/>
        <v>2.5286193999999966</v>
      </c>
      <c r="Y100" s="1">
        <v>128.03671299999999</v>
      </c>
      <c r="Z100" s="5">
        <v>130.2162294</v>
      </c>
      <c r="AA100" s="5">
        <f t="shared" si="5"/>
        <v>2.1795164000000113</v>
      </c>
    </row>
    <row r="101" spans="2:27" x14ac:dyDescent="0.35">
      <c r="B101" s="3">
        <v>43923</v>
      </c>
      <c r="C101" s="2">
        <v>100</v>
      </c>
      <c r="D101" s="1">
        <v>60.35812</v>
      </c>
      <c r="E101" s="2">
        <v>165934000</v>
      </c>
      <c r="F101" s="1">
        <v>131.09671</v>
      </c>
      <c r="G101" s="2">
        <v>3504200</v>
      </c>
      <c r="K101" s="1">
        <v>60.35812</v>
      </c>
      <c r="L101">
        <v>62.07</v>
      </c>
      <c r="M101" s="5"/>
      <c r="Q101" s="1">
        <v>131.09671</v>
      </c>
      <c r="R101" s="5">
        <f>F98*$J$2+F99*$J$3+F100*$J$4</f>
        <v>130.25175670000002</v>
      </c>
      <c r="U101" s="1">
        <v>60.35812</v>
      </c>
      <c r="V101">
        <v>62.07</v>
      </c>
      <c r="W101" s="5">
        <f t="shared" si="4"/>
        <v>1.7118800000000007</v>
      </c>
      <c r="Y101" s="1">
        <v>131.09671</v>
      </c>
      <c r="Z101" s="5">
        <v>130.25175670000002</v>
      </c>
      <c r="AA101" s="5">
        <f t="shared" si="5"/>
        <v>0.84495329999998603</v>
      </c>
    </row>
    <row r="102" spans="2:27" x14ac:dyDescent="0.35">
      <c r="B102" s="3">
        <v>43924</v>
      </c>
      <c r="C102" s="2">
        <v>101</v>
      </c>
      <c r="D102" s="1">
        <v>59.490692000000003</v>
      </c>
      <c r="E102" s="2">
        <v>129880000</v>
      </c>
      <c r="F102" s="1">
        <v>125.805862</v>
      </c>
      <c r="G102" s="2">
        <v>4031500</v>
      </c>
      <c r="K102" s="1">
        <v>59.490692000000003</v>
      </c>
      <c r="L102" s="5">
        <f>0.0137*C101+69.716</f>
        <v>71.085999999999999</v>
      </c>
      <c r="M102" s="11" t="s">
        <v>40</v>
      </c>
      <c r="Q102" s="1">
        <v>125.805862</v>
      </c>
      <c r="R102" s="5">
        <f>-0.4274*C101+186.82</f>
        <v>144.07999999999998</v>
      </c>
      <c r="S102" s="10" t="s">
        <v>40</v>
      </c>
      <c r="U102" s="1">
        <v>59.490692000000003</v>
      </c>
      <c r="V102" s="5">
        <v>71.085999999999999</v>
      </c>
      <c r="W102" s="5">
        <f t="shared" si="4"/>
        <v>11.595307999999996</v>
      </c>
      <c r="Y102" s="1">
        <v>125.805862</v>
      </c>
      <c r="Z102" s="5">
        <v>144.07999999999998</v>
      </c>
      <c r="AA102" s="5">
        <f t="shared" si="5"/>
        <v>18.274137999999979</v>
      </c>
    </row>
    <row r="103" spans="2:27" x14ac:dyDescent="0.35">
      <c r="B103" s="3">
        <v>43927</v>
      </c>
      <c r="C103" s="2">
        <v>102</v>
      </c>
      <c r="D103" s="1">
        <v>64.680503999999999</v>
      </c>
      <c r="E103" s="2">
        <v>201820400</v>
      </c>
      <c r="F103" s="1">
        <v>132.27136200000001</v>
      </c>
      <c r="G103" s="2">
        <v>4874300</v>
      </c>
      <c r="K103" s="1">
        <v>64.680503999999999</v>
      </c>
      <c r="L103" s="5">
        <f>0.0137*C103+69.716</f>
        <v>71.113399999999999</v>
      </c>
      <c r="Q103" s="1">
        <v>132.27136200000001</v>
      </c>
      <c r="R103" s="5">
        <f t="shared" ref="R103:R166" si="6">-0.4274*C102+186.82</f>
        <v>143.65260000000001</v>
      </c>
      <c r="U103" s="1">
        <v>64.680503999999999</v>
      </c>
      <c r="V103" s="5">
        <v>71.113399999999999</v>
      </c>
      <c r="W103" s="5">
        <f t="shared" si="4"/>
        <v>6.4328959999999995</v>
      </c>
      <c r="Y103" s="1">
        <v>132.27136200000001</v>
      </c>
      <c r="Z103" s="5">
        <v>143.65260000000001</v>
      </c>
      <c r="AA103" s="5">
        <f t="shared" si="5"/>
        <v>11.381237999999996</v>
      </c>
    </row>
    <row r="104" spans="2:27" x14ac:dyDescent="0.35">
      <c r="B104" s="3">
        <v>43928</v>
      </c>
      <c r="C104" s="2">
        <v>103</v>
      </c>
      <c r="D104" s="1">
        <v>63.931355000000003</v>
      </c>
      <c r="E104" s="2">
        <v>202887200</v>
      </c>
      <c r="F104" s="1">
        <v>133.495361</v>
      </c>
      <c r="G104" s="2">
        <v>4051700</v>
      </c>
      <c r="K104" s="1">
        <v>63.931355000000003</v>
      </c>
      <c r="L104" s="5">
        <f t="shared" ref="L104:L167" si="7">0.0137*C104+69.716</f>
        <v>71.127099999999999</v>
      </c>
      <c r="Q104" s="1">
        <v>133.495361</v>
      </c>
      <c r="R104" s="5">
        <f t="shared" si="6"/>
        <v>143.2252</v>
      </c>
      <c r="U104" s="1">
        <v>63.931355000000003</v>
      </c>
      <c r="V104" s="5">
        <v>71.127099999999999</v>
      </c>
      <c r="W104" s="5">
        <f t="shared" si="4"/>
        <v>7.1957449999999952</v>
      </c>
      <c r="Y104" s="1">
        <v>133.495361</v>
      </c>
      <c r="Z104" s="5">
        <v>143.2252</v>
      </c>
      <c r="AA104" s="5">
        <f t="shared" si="5"/>
        <v>9.7298389999999984</v>
      </c>
    </row>
    <row r="105" spans="2:27" x14ac:dyDescent="0.35">
      <c r="B105" s="3">
        <v>43929</v>
      </c>
      <c r="C105" s="2">
        <v>104</v>
      </c>
      <c r="D105" s="1">
        <v>65.567656999999997</v>
      </c>
      <c r="E105" s="2">
        <v>168895200</v>
      </c>
      <c r="F105" s="1">
        <v>137.453644</v>
      </c>
      <c r="G105" s="2">
        <v>3890600</v>
      </c>
      <c r="K105" s="1">
        <v>65.567656999999997</v>
      </c>
      <c r="L105" s="5">
        <f t="shared" si="7"/>
        <v>71.140799999999999</v>
      </c>
      <c r="Q105" s="1">
        <v>137.453644</v>
      </c>
      <c r="R105" s="5">
        <f t="shared" si="6"/>
        <v>142.7978</v>
      </c>
      <c r="U105" s="1">
        <v>65.567656999999997</v>
      </c>
      <c r="V105" s="5">
        <v>71.140799999999999</v>
      </c>
      <c r="W105" s="5">
        <f t="shared" si="4"/>
        <v>5.5731430000000017</v>
      </c>
      <c r="Y105" s="1">
        <v>137.453644</v>
      </c>
      <c r="Z105" s="5">
        <v>142.7978</v>
      </c>
      <c r="AA105" s="5">
        <f t="shared" si="5"/>
        <v>5.3441559999999981</v>
      </c>
    </row>
    <row r="106" spans="2:27" x14ac:dyDescent="0.35">
      <c r="B106" s="3">
        <v>43930</v>
      </c>
      <c r="C106" s="2">
        <v>105</v>
      </c>
      <c r="D106" s="1">
        <v>66.040801999999999</v>
      </c>
      <c r="E106" s="2">
        <v>162116400</v>
      </c>
      <c r="F106" s="1">
        <v>141.579712</v>
      </c>
      <c r="G106" s="2">
        <v>4365000</v>
      </c>
      <c r="K106" s="1">
        <v>66.040801999999999</v>
      </c>
      <c r="L106" s="5">
        <f t="shared" si="7"/>
        <v>71.154499999999999</v>
      </c>
      <c r="Q106" s="1">
        <v>141.579712</v>
      </c>
      <c r="R106" s="5">
        <f t="shared" si="6"/>
        <v>142.37039999999999</v>
      </c>
      <c r="U106" s="1">
        <v>66.040801999999999</v>
      </c>
      <c r="V106" s="5">
        <v>71.154499999999999</v>
      </c>
      <c r="W106" s="5">
        <f t="shared" si="4"/>
        <v>5.1136979999999994</v>
      </c>
      <c r="Y106" s="1">
        <v>141.579712</v>
      </c>
      <c r="Z106" s="5">
        <v>142.37039999999999</v>
      </c>
      <c r="AA106" s="5">
        <f t="shared" si="5"/>
        <v>0.79068799999998873</v>
      </c>
    </row>
    <row r="107" spans="2:27" x14ac:dyDescent="0.35">
      <c r="B107" s="3">
        <v>43934</v>
      </c>
      <c r="C107" s="2">
        <v>106</v>
      </c>
      <c r="D107" s="1">
        <v>67.337029000000001</v>
      </c>
      <c r="E107" s="2">
        <v>131022800</v>
      </c>
      <c r="F107" s="1">
        <v>136.160538</v>
      </c>
      <c r="G107" s="2">
        <v>3016300</v>
      </c>
      <c r="K107" s="1">
        <v>67.337029000000001</v>
      </c>
      <c r="L107" s="5">
        <f t="shared" si="7"/>
        <v>71.168199999999999</v>
      </c>
      <c r="Q107" s="1">
        <v>136.160538</v>
      </c>
      <c r="R107" s="5">
        <f t="shared" si="6"/>
        <v>141.94299999999998</v>
      </c>
      <c r="U107" s="1">
        <v>67.337029000000001</v>
      </c>
      <c r="V107" s="5">
        <v>71.168199999999999</v>
      </c>
      <c r="W107" s="5">
        <f t="shared" si="4"/>
        <v>3.8311709999999977</v>
      </c>
      <c r="Y107" s="1">
        <v>136.160538</v>
      </c>
      <c r="Z107" s="5">
        <v>141.94299999999998</v>
      </c>
      <c r="AA107" s="5">
        <f t="shared" si="5"/>
        <v>5.7824619999999811</v>
      </c>
    </row>
    <row r="108" spans="2:27" x14ac:dyDescent="0.35">
      <c r="B108" s="3">
        <v>43935</v>
      </c>
      <c r="C108" s="2">
        <v>107</v>
      </c>
      <c r="D108" s="1">
        <v>70.737755000000007</v>
      </c>
      <c r="E108" s="2">
        <v>194994800</v>
      </c>
      <c r="F108" s="1">
        <v>138.77633700000001</v>
      </c>
      <c r="G108" s="2">
        <v>3486600</v>
      </c>
      <c r="K108" s="1">
        <v>70.737755000000007</v>
      </c>
      <c r="L108" s="5">
        <f t="shared" si="7"/>
        <v>71.181899999999999</v>
      </c>
      <c r="Q108" s="1">
        <v>138.77633700000001</v>
      </c>
      <c r="R108" s="5">
        <f t="shared" si="6"/>
        <v>141.51560000000001</v>
      </c>
      <c r="U108" s="1">
        <v>70.737755000000007</v>
      </c>
      <c r="V108" s="5">
        <v>71.181899999999999</v>
      </c>
      <c r="W108" s="5">
        <f t="shared" si="4"/>
        <v>0.4441449999999918</v>
      </c>
      <c r="Y108" s="1">
        <v>138.77633700000001</v>
      </c>
      <c r="Z108" s="5">
        <v>141.51560000000001</v>
      </c>
      <c r="AA108" s="5">
        <f t="shared" si="5"/>
        <v>2.739262999999994</v>
      </c>
    </row>
    <row r="109" spans="2:27" x14ac:dyDescent="0.35">
      <c r="B109" s="3">
        <v>43936</v>
      </c>
      <c r="C109" s="2">
        <v>108</v>
      </c>
      <c r="D109" s="1">
        <v>70.092110000000005</v>
      </c>
      <c r="E109" s="2">
        <v>131154400</v>
      </c>
      <c r="F109" s="1">
        <v>133.100525</v>
      </c>
      <c r="G109" s="2">
        <v>3252800</v>
      </c>
      <c r="K109" s="1">
        <v>70.092110000000005</v>
      </c>
      <c r="L109" s="5">
        <f t="shared" si="7"/>
        <v>71.195599999999999</v>
      </c>
      <c r="Q109" s="1">
        <v>133.100525</v>
      </c>
      <c r="R109" s="5">
        <f t="shared" si="6"/>
        <v>141.0882</v>
      </c>
      <c r="U109" s="1">
        <v>70.092110000000005</v>
      </c>
      <c r="V109" s="5">
        <v>71.195599999999999</v>
      </c>
      <c r="W109" s="5">
        <f t="shared" si="4"/>
        <v>1.1034899999999936</v>
      </c>
      <c r="Y109" s="1">
        <v>133.100525</v>
      </c>
      <c r="Z109" s="5">
        <v>141.0882</v>
      </c>
      <c r="AA109" s="5">
        <f t="shared" si="5"/>
        <v>7.9876749999999959</v>
      </c>
    </row>
    <row r="110" spans="2:27" x14ac:dyDescent="0.35">
      <c r="B110" s="3">
        <v>43937</v>
      </c>
      <c r="C110" s="2">
        <v>109</v>
      </c>
      <c r="D110" s="1">
        <v>70.649039999999999</v>
      </c>
      <c r="E110" s="2">
        <v>157125200</v>
      </c>
      <c r="F110" s="1">
        <v>130.62290999999999</v>
      </c>
      <c r="G110" s="2">
        <v>4016700</v>
      </c>
      <c r="K110" s="1">
        <v>70.649039999999999</v>
      </c>
      <c r="L110" s="5">
        <f t="shared" si="7"/>
        <v>71.209299999999999</v>
      </c>
      <c r="Q110" s="1">
        <v>130.62290999999999</v>
      </c>
      <c r="R110" s="5">
        <f t="shared" si="6"/>
        <v>140.66079999999999</v>
      </c>
      <c r="U110" s="1">
        <v>70.649039999999999</v>
      </c>
      <c r="V110" s="5">
        <v>71.209299999999999</v>
      </c>
      <c r="W110" s="5">
        <f t="shared" si="4"/>
        <v>0.56025999999999954</v>
      </c>
      <c r="Y110" s="1">
        <v>130.62290999999999</v>
      </c>
      <c r="Z110" s="5">
        <v>140.66079999999999</v>
      </c>
      <c r="AA110" s="5">
        <f t="shared" si="5"/>
        <v>10.037890000000004</v>
      </c>
    </row>
    <row r="111" spans="2:27" x14ac:dyDescent="0.35">
      <c r="B111" s="3">
        <v>43938</v>
      </c>
      <c r="C111" s="2">
        <v>110</v>
      </c>
      <c r="D111" s="1">
        <v>69.690421999999998</v>
      </c>
      <c r="E111" s="2">
        <v>215250000</v>
      </c>
      <c r="F111" s="1">
        <v>136.53564499999999</v>
      </c>
      <c r="G111" s="2">
        <v>4750700</v>
      </c>
      <c r="K111" s="1">
        <v>69.690421999999998</v>
      </c>
      <c r="L111" s="5">
        <f t="shared" si="7"/>
        <v>71.222999999999999</v>
      </c>
      <c r="Q111" s="1">
        <v>136.53564499999999</v>
      </c>
      <c r="R111" s="5">
        <f t="shared" si="6"/>
        <v>140.23339999999999</v>
      </c>
      <c r="U111" s="1">
        <v>69.690421999999998</v>
      </c>
      <c r="V111" s="5">
        <v>71.222999999999999</v>
      </c>
      <c r="W111" s="5">
        <f t="shared" si="4"/>
        <v>1.5325780000000009</v>
      </c>
      <c r="Y111" s="1">
        <v>136.53564499999999</v>
      </c>
      <c r="Z111" s="5">
        <v>140.23339999999999</v>
      </c>
      <c r="AA111" s="5">
        <f t="shared" si="5"/>
        <v>3.6977550000000008</v>
      </c>
    </row>
    <row r="112" spans="2:27" x14ac:dyDescent="0.35">
      <c r="B112" s="3">
        <v>43941</v>
      </c>
      <c r="C112" s="2">
        <v>111</v>
      </c>
      <c r="D112" s="1">
        <v>68.243881000000002</v>
      </c>
      <c r="E112" s="2">
        <v>130015200</v>
      </c>
      <c r="F112" s="1">
        <v>133.949432</v>
      </c>
      <c r="G112" s="2">
        <v>2529000</v>
      </c>
      <c r="K112" s="1">
        <v>68.243881000000002</v>
      </c>
      <c r="L112" s="5">
        <f t="shared" si="7"/>
        <v>71.236699999999999</v>
      </c>
      <c r="Q112" s="1">
        <v>133.949432</v>
      </c>
      <c r="R112" s="5">
        <f t="shared" si="6"/>
        <v>139.80599999999998</v>
      </c>
      <c r="U112" s="1">
        <v>68.243881000000002</v>
      </c>
      <c r="V112" s="5">
        <v>71.236699999999999</v>
      </c>
      <c r="W112" s="5">
        <f t="shared" si="4"/>
        <v>2.9928189999999972</v>
      </c>
      <c r="Y112" s="1">
        <v>133.949432</v>
      </c>
      <c r="Z112" s="5">
        <v>139.80599999999998</v>
      </c>
      <c r="AA112" s="5">
        <f t="shared" si="5"/>
        <v>5.8565679999999816</v>
      </c>
    </row>
    <row r="113" spans="2:27" x14ac:dyDescent="0.35">
      <c r="B113" s="3">
        <v>43942</v>
      </c>
      <c r="C113" s="2">
        <v>112</v>
      </c>
      <c r="D113" s="1">
        <v>66.134438000000003</v>
      </c>
      <c r="E113" s="2">
        <v>180991600</v>
      </c>
      <c r="F113" s="1">
        <v>130.29716500000001</v>
      </c>
      <c r="G113" s="2">
        <v>2418100</v>
      </c>
      <c r="K113" s="1">
        <v>66.134438000000003</v>
      </c>
      <c r="L113" s="5">
        <f t="shared" si="7"/>
        <v>71.250399999999999</v>
      </c>
      <c r="Q113" s="1">
        <v>130.29716500000001</v>
      </c>
      <c r="R113" s="5">
        <f t="shared" si="6"/>
        <v>139.37860000000001</v>
      </c>
      <c r="U113" s="1">
        <v>66.134438000000003</v>
      </c>
      <c r="V113" s="5">
        <v>71.250399999999999</v>
      </c>
      <c r="W113" s="5">
        <f t="shared" si="4"/>
        <v>5.1159619999999961</v>
      </c>
      <c r="Y113" s="1">
        <v>130.29716500000001</v>
      </c>
      <c r="Z113" s="5">
        <v>139.37860000000001</v>
      </c>
      <c r="AA113" s="5">
        <f t="shared" si="5"/>
        <v>9.081434999999999</v>
      </c>
    </row>
    <row r="114" spans="2:27" x14ac:dyDescent="0.35">
      <c r="B114" s="3">
        <v>43943</v>
      </c>
      <c r="C114" s="2">
        <v>113</v>
      </c>
      <c r="D114" s="1">
        <v>68.039351999999994</v>
      </c>
      <c r="E114" s="2">
        <v>117057200</v>
      </c>
      <c r="F114" s="1">
        <v>131.313873</v>
      </c>
      <c r="G114" s="2">
        <v>2629700</v>
      </c>
      <c r="K114" s="1">
        <v>68.039351999999994</v>
      </c>
      <c r="L114" s="5">
        <f t="shared" si="7"/>
        <v>71.264099999999999</v>
      </c>
      <c r="Q114" s="1">
        <v>131.313873</v>
      </c>
      <c r="R114" s="5">
        <f t="shared" si="6"/>
        <v>138.9512</v>
      </c>
      <c r="U114" s="1">
        <v>68.039351999999994</v>
      </c>
      <c r="V114" s="5">
        <v>71.264099999999999</v>
      </c>
      <c r="W114" s="5">
        <f t="shared" si="4"/>
        <v>3.2247480000000053</v>
      </c>
      <c r="Y114" s="1">
        <v>131.313873</v>
      </c>
      <c r="Z114" s="5">
        <v>138.9512</v>
      </c>
      <c r="AA114" s="5">
        <f t="shared" si="5"/>
        <v>7.6373269999999991</v>
      </c>
    </row>
    <row r="115" spans="2:27" x14ac:dyDescent="0.35">
      <c r="B115" s="3">
        <v>43944</v>
      </c>
      <c r="C115" s="2">
        <v>114</v>
      </c>
      <c r="D115" s="1">
        <v>67.775672999999998</v>
      </c>
      <c r="E115" s="2">
        <v>124814400</v>
      </c>
      <c r="F115" s="1">
        <v>132.94258099999999</v>
      </c>
      <c r="G115" s="2">
        <v>2786400</v>
      </c>
      <c r="K115" s="1">
        <v>67.775672999999998</v>
      </c>
      <c r="L115" s="5">
        <f t="shared" si="7"/>
        <v>71.277799999999999</v>
      </c>
      <c r="Q115" s="1">
        <v>132.94258099999999</v>
      </c>
      <c r="R115" s="5">
        <f t="shared" si="6"/>
        <v>138.52379999999999</v>
      </c>
      <c r="U115" s="1">
        <v>67.775672999999998</v>
      </c>
      <c r="V115" s="5">
        <v>71.277799999999999</v>
      </c>
      <c r="W115" s="5">
        <f t="shared" si="4"/>
        <v>3.5021270000000015</v>
      </c>
      <c r="Y115" s="1">
        <v>132.94258099999999</v>
      </c>
      <c r="Z115" s="5">
        <v>138.52379999999999</v>
      </c>
      <c r="AA115" s="5">
        <f t="shared" si="5"/>
        <v>5.5812190000000044</v>
      </c>
    </row>
    <row r="116" spans="2:27" x14ac:dyDescent="0.35">
      <c r="B116" s="3">
        <v>43945</v>
      </c>
      <c r="C116" s="2">
        <v>115</v>
      </c>
      <c r="D116" s="1">
        <v>69.732322999999994</v>
      </c>
      <c r="E116" s="2">
        <v>126508800</v>
      </c>
      <c r="F116" s="1">
        <v>133.771759</v>
      </c>
      <c r="G116" s="2">
        <v>2837900</v>
      </c>
      <c r="K116" s="1">
        <v>69.732322999999994</v>
      </c>
      <c r="L116" s="5">
        <f t="shared" si="7"/>
        <v>71.291499999999999</v>
      </c>
      <c r="Q116" s="1">
        <v>133.771759</v>
      </c>
      <c r="R116" s="5">
        <f t="shared" si="6"/>
        <v>138.09639999999999</v>
      </c>
      <c r="U116" s="1">
        <v>69.732322999999994</v>
      </c>
      <c r="V116" s="5">
        <v>71.291499999999999</v>
      </c>
      <c r="W116" s="5">
        <f t="shared" si="4"/>
        <v>1.5591770000000054</v>
      </c>
      <c r="Y116" s="1">
        <v>133.771759</v>
      </c>
      <c r="Z116" s="5">
        <v>138.09639999999999</v>
      </c>
      <c r="AA116" s="5">
        <f t="shared" si="5"/>
        <v>4.3246409999999855</v>
      </c>
    </row>
    <row r="117" spans="2:27" x14ac:dyDescent="0.35">
      <c r="B117" s="3">
        <v>43948</v>
      </c>
      <c r="C117" s="2">
        <v>116</v>
      </c>
      <c r="D117" s="1">
        <v>69.781609000000003</v>
      </c>
      <c r="E117" s="2">
        <v>117087600</v>
      </c>
      <c r="F117" s="1">
        <v>138.07551599999999</v>
      </c>
      <c r="G117" s="2">
        <v>3137700</v>
      </c>
      <c r="K117" s="1">
        <v>69.781609000000003</v>
      </c>
      <c r="L117" s="5">
        <f t="shared" si="7"/>
        <v>71.305199999999999</v>
      </c>
      <c r="Q117" s="1">
        <v>138.07551599999999</v>
      </c>
      <c r="R117" s="5">
        <f t="shared" si="6"/>
        <v>137.66899999999998</v>
      </c>
      <c r="U117" s="1">
        <v>69.781609000000003</v>
      </c>
      <c r="V117" s="5">
        <v>71.305199999999999</v>
      </c>
      <c r="W117" s="5">
        <f t="shared" si="4"/>
        <v>1.5235909999999961</v>
      </c>
      <c r="Y117" s="1">
        <v>138.07551599999999</v>
      </c>
      <c r="Z117" s="5">
        <v>137.66899999999998</v>
      </c>
      <c r="AA117" s="5">
        <f t="shared" si="5"/>
        <v>0.40651600000001054</v>
      </c>
    </row>
    <row r="118" spans="2:27" x14ac:dyDescent="0.35">
      <c r="B118" s="3">
        <v>43949</v>
      </c>
      <c r="C118" s="2">
        <v>117</v>
      </c>
      <c r="D118" s="1">
        <v>68.650490000000005</v>
      </c>
      <c r="E118" s="2">
        <v>112004800</v>
      </c>
      <c r="F118" s="1">
        <v>140.91835</v>
      </c>
      <c r="G118" s="2">
        <v>3377900</v>
      </c>
      <c r="K118" s="1">
        <v>68.650490000000005</v>
      </c>
      <c r="L118" s="5">
        <f t="shared" si="7"/>
        <v>71.318899999999999</v>
      </c>
      <c r="Q118" s="1">
        <v>140.91835</v>
      </c>
      <c r="R118" s="5">
        <f t="shared" si="6"/>
        <v>137.24160000000001</v>
      </c>
      <c r="U118" s="1">
        <v>68.650490000000005</v>
      </c>
      <c r="V118" s="5">
        <v>71.318899999999999</v>
      </c>
      <c r="W118" s="5">
        <f t="shared" si="4"/>
        <v>2.6684099999999944</v>
      </c>
      <c r="Y118" s="1">
        <v>140.91835</v>
      </c>
      <c r="Z118" s="5">
        <v>137.24160000000001</v>
      </c>
      <c r="AA118" s="5">
        <f t="shared" si="5"/>
        <v>3.6767499999999984</v>
      </c>
    </row>
    <row r="119" spans="2:27" x14ac:dyDescent="0.35">
      <c r="B119" s="3">
        <v>43950</v>
      </c>
      <c r="C119" s="2">
        <v>118</v>
      </c>
      <c r="D119" s="1">
        <v>70.905333999999996</v>
      </c>
      <c r="E119" s="2">
        <v>137280800</v>
      </c>
      <c r="F119" s="1">
        <v>144.274506</v>
      </c>
      <c r="G119" s="2">
        <v>2651200</v>
      </c>
      <c r="K119" s="1">
        <v>70.905333999999996</v>
      </c>
      <c r="L119" s="5">
        <f t="shared" si="7"/>
        <v>71.332599999999999</v>
      </c>
      <c r="Q119" s="1">
        <v>144.274506</v>
      </c>
      <c r="R119" s="5">
        <f t="shared" si="6"/>
        <v>136.8142</v>
      </c>
      <c r="U119" s="1">
        <v>70.905333999999996</v>
      </c>
      <c r="V119" s="5">
        <v>71.332599999999999</v>
      </c>
      <c r="W119" s="5">
        <f t="shared" si="4"/>
        <v>0.42726600000000303</v>
      </c>
      <c r="Y119" s="1">
        <v>144.274506</v>
      </c>
      <c r="Z119" s="5">
        <v>136.8142</v>
      </c>
      <c r="AA119" s="5">
        <f t="shared" si="5"/>
        <v>7.4603060000000028</v>
      </c>
    </row>
    <row r="120" spans="2:27" x14ac:dyDescent="0.35">
      <c r="B120" s="3">
        <v>43951</v>
      </c>
      <c r="C120" s="2">
        <v>119</v>
      </c>
      <c r="D120" s="1">
        <v>72.401154000000005</v>
      </c>
      <c r="E120" s="2">
        <v>183064000</v>
      </c>
      <c r="F120" s="1">
        <v>140.06944300000001</v>
      </c>
      <c r="G120" s="2">
        <v>4492600</v>
      </c>
      <c r="K120" s="1">
        <v>72.401154000000005</v>
      </c>
      <c r="L120" s="5">
        <f t="shared" si="7"/>
        <v>71.346299999999999</v>
      </c>
      <c r="Q120" s="1">
        <v>140.06944300000001</v>
      </c>
      <c r="R120" s="5">
        <f t="shared" si="6"/>
        <v>136.38679999999999</v>
      </c>
      <c r="U120" s="1">
        <v>72.401154000000005</v>
      </c>
      <c r="V120" s="5">
        <v>71.346299999999999</v>
      </c>
      <c r="W120" s="5">
        <f t="shared" si="4"/>
        <v>1.054854000000006</v>
      </c>
      <c r="Y120" s="1">
        <v>140.06944300000001</v>
      </c>
      <c r="Z120" s="5">
        <v>136.38679999999999</v>
      </c>
      <c r="AA120" s="5">
        <f t="shared" si="5"/>
        <v>3.682643000000013</v>
      </c>
    </row>
    <row r="121" spans="2:27" x14ac:dyDescent="0.35">
      <c r="B121" s="3">
        <v>43952</v>
      </c>
      <c r="C121" s="2">
        <v>120</v>
      </c>
      <c r="D121" s="1">
        <v>71.235541999999995</v>
      </c>
      <c r="E121" s="2">
        <v>60154200</v>
      </c>
      <c r="F121" s="1">
        <v>135.47943100000001</v>
      </c>
      <c r="G121" s="2">
        <v>3681100</v>
      </c>
      <c r="K121" s="1">
        <v>71.235541999999995</v>
      </c>
      <c r="L121" s="5">
        <f t="shared" si="7"/>
        <v>71.36</v>
      </c>
      <c r="Q121" s="1">
        <v>135.47943100000001</v>
      </c>
      <c r="R121" s="5">
        <f t="shared" si="6"/>
        <v>135.95939999999999</v>
      </c>
      <c r="U121" s="1">
        <v>71.235541999999995</v>
      </c>
      <c r="V121" s="5">
        <v>71.36</v>
      </c>
      <c r="W121" s="5">
        <f t="shared" si="4"/>
        <v>0.12445800000000418</v>
      </c>
      <c r="Y121" s="1">
        <v>135.47943100000001</v>
      </c>
      <c r="Z121" s="5">
        <v>135.95939999999999</v>
      </c>
      <c r="AA121" s="5">
        <f t="shared" si="5"/>
        <v>0.47996899999998277</v>
      </c>
    </row>
    <row r="122" spans="2:27" x14ac:dyDescent="0.35">
      <c r="B122" s="3">
        <v>43955</v>
      </c>
      <c r="C122" s="2">
        <v>121</v>
      </c>
      <c r="D122" s="1">
        <v>72.243446000000006</v>
      </c>
      <c r="E122" s="2">
        <v>33392000</v>
      </c>
      <c r="F122" s="1">
        <v>133.45588699999999</v>
      </c>
      <c r="G122" s="2">
        <v>4123000</v>
      </c>
      <c r="K122" s="1">
        <v>72.243446000000006</v>
      </c>
      <c r="L122" s="5">
        <f t="shared" si="7"/>
        <v>71.373699999999999</v>
      </c>
      <c r="Q122" s="1">
        <v>133.45588699999999</v>
      </c>
      <c r="R122" s="5">
        <f t="shared" si="6"/>
        <v>135.53199999999998</v>
      </c>
      <c r="U122" s="1">
        <v>72.243446000000006</v>
      </c>
      <c r="V122" s="5">
        <v>71.373699999999999</v>
      </c>
      <c r="W122" s="5">
        <f t="shared" si="4"/>
        <v>0.86974600000000635</v>
      </c>
      <c r="Y122" s="1">
        <v>133.45588699999999</v>
      </c>
      <c r="Z122" s="5">
        <v>135.53199999999998</v>
      </c>
      <c r="AA122" s="5">
        <f t="shared" si="5"/>
        <v>2.0761129999999923</v>
      </c>
    </row>
    <row r="123" spans="2:27" x14ac:dyDescent="0.35">
      <c r="B123" s="3">
        <v>43956</v>
      </c>
      <c r="C123" s="2">
        <v>122</v>
      </c>
      <c r="D123" s="1">
        <v>73.327736000000002</v>
      </c>
      <c r="E123" s="2">
        <v>36937800</v>
      </c>
      <c r="F123" s="1">
        <v>133.13014200000001</v>
      </c>
      <c r="G123" s="2">
        <v>3122300</v>
      </c>
      <c r="K123" s="1">
        <v>73.327736000000002</v>
      </c>
      <c r="L123" s="5">
        <f t="shared" si="7"/>
        <v>71.3874</v>
      </c>
      <c r="Q123" s="1">
        <v>133.13014200000001</v>
      </c>
      <c r="R123" s="5">
        <f t="shared" si="6"/>
        <v>135.1046</v>
      </c>
      <c r="U123" s="1">
        <v>73.327736000000002</v>
      </c>
      <c r="V123" s="5">
        <v>71.3874</v>
      </c>
      <c r="W123" s="5">
        <f t="shared" si="4"/>
        <v>1.9403360000000021</v>
      </c>
      <c r="Y123" s="1">
        <v>133.13014200000001</v>
      </c>
      <c r="Z123" s="5">
        <v>135.1046</v>
      </c>
      <c r="AA123" s="5">
        <f t="shared" si="5"/>
        <v>1.9744579999999985</v>
      </c>
    </row>
    <row r="124" spans="2:27" x14ac:dyDescent="0.35">
      <c r="B124" s="3">
        <v>43957</v>
      </c>
      <c r="C124" s="2">
        <v>123</v>
      </c>
      <c r="D124" s="1">
        <v>74.084282000000002</v>
      </c>
      <c r="E124" s="2">
        <v>35583400</v>
      </c>
      <c r="F124" s="1">
        <v>131.323746</v>
      </c>
      <c r="G124" s="2">
        <v>2349500</v>
      </c>
      <c r="K124" s="1">
        <v>74.084282000000002</v>
      </c>
      <c r="L124" s="5">
        <f t="shared" si="7"/>
        <v>71.4011</v>
      </c>
      <c r="Q124" s="1">
        <v>131.323746</v>
      </c>
      <c r="R124" s="5">
        <f t="shared" si="6"/>
        <v>134.6772</v>
      </c>
      <c r="U124" s="1">
        <v>74.084282000000002</v>
      </c>
      <c r="V124" s="5">
        <v>71.4011</v>
      </c>
      <c r="W124" s="5">
        <f t="shared" si="4"/>
        <v>2.6831820000000022</v>
      </c>
      <c r="Y124" s="1">
        <v>131.323746</v>
      </c>
      <c r="Z124" s="5">
        <v>134.6772</v>
      </c>
      <c r="AA124" s="5">
        <f t="shared" si="5"/>
        <v>3.3534539999999993</v>
      </c>
    </row>
    <row r="125" spans="2:27" x14ac:dyDescent="0.35">
      <c r="B125" s="3">
        <v>43958</v>
      </c>
      <c r="C125" s="2">
        <v>124</v>
      </c>
      <c r="D125" s="1">
        <v>74.850669999999994</v>
      </c>
      <c r="E125" s="2">
        <v>28803800</v>
      </c>
      <c r="F125" s="1">
        <v>131.076965</v>
      </c>
      <c r="G125" s="2">
        <v>3096500</v>
      </c>
      <c r="K125" s="1">
        <v>74.850669999999994</v>
      </c>
      <c r="L125" s="5">
        <f t="shared" si="7"/>
        <v>71.4148</v>
      </c>
      <c r="Q125" s="1">
        <v>131.076965</v>
      </c>
      <c r="R125" s="5">
        <f t="shared" si="6"/>
        <v>134.24979999999999</v>
      </c>
      <c r="U125" s="1">
        <v>74.850669999999994</v>
      </c>
      <c r="V125" s="5">
        <v>71.4148</v>
      </c>
      <c r="W125" s="5">
        <f t="shared" si="4"/>
        <v>3.4358699999999942</v>
      </c>
      <c r="Y125" s="1">
        <v>131.076965</v>
      </c>
      <c r="Z125" s="5">
        <v>134.24979999999999</v>
      </c>
      <c r="AA125" s="5">
        <f t="shared" si="5"/>
        <v>3.1728349999999921</v>
      </c>
    </row>
    <row r="126" spans="2:27" x14ac:dyDescent="0.35">
      <c r="B126" s="3">
        <v>43959</v>
      </c>
      <c r="C126" s="2">
        <v>125</v>
      </c>
      <c r="D126" s="1">
        <v>77.259674000000004</v>
      </c>
      <c r="E126" s="2">
        <v>33459600</v>
      </c>
      <c r="F126" s="1">
        <v>135.14382900000001</v>
      </c>
      <c r="G126" s="2">
        <v>2740400</v>
      </c>
      <c r="K126" s="1">
        <v>77.259674000000004</v>
      </c>
      <c r="L126" s="5">
        <f t="shared" si="7"/>
        <v>71.4285</v>
      </c>
      <c r="Q126" s="1">
        <v>135.14382900000001</v>
      </c>
      <c r="R126" s="5">
        <f t="shared" si="6"/>
        <v>133.82239999999999</v>
      </c>
      <c r="U126" s="1">
        <v>77.259674000000004</v>
      </c>
      <c r="V126" s="5">
        <v>71.4285</v>
      </c>
      <c r="W126" s="5">
        <f t="shared" si="4"/>
        <v>5.8311740000000043</v>
      </c>
      <c r="Y126" s="1">
        <v>135.14382900000001</v>
      </c>
      <c r="Z126" s="5">
        <v>133.82239999999999</v>
      </c>
      <c r="AA126" s="5">
        <f t="shared" si="5"/>
        <v>1.3214290000000233</v>
      </c>
    </row>
    <row r="127" spans="2:27" x14ac:dyDescent="0.35">
      <c r="B127" s="3">
        <v>43962</v>
      </c>
      <c r="C127" s="2">
        <v>126</v>
      </c>
      <c r="D127" s="1">
        <v>78.475371999999993</v>
      </c>
      <c r="E127" s="2">
        <v>145946400</v>
      </c>
      <c r="F127" s="1">
        <v>132.54776000000001</v>
      </c>
      <c r="G127" s="2">
        <v>2356400</v>
      </c>
      <c r="K127" s="1">
        <v>78.475371999999993</v>
      </c>
      <c r="L127" s="5">
        <f t="shared" si="7"/>
        <v>71.4422</v>
      </c>
      <c r="Q127" s="1">
        <v>132.54776000000001</v>
      </c>
      <c r="R127" s="5">
        <f t="shared" si="6"/>
        <v>133.39499999999998</v>
      </c>
      <c r="U127" s="1">
        <v>78.475371999999993</v>
      </c>
      <c r="V127" s="5">
        <v>71.4422</v>
      </c>
      <c r="W127" s="5">
        <f t="shared" si="4"/>
        <v>7.0331719999999933</v>
      </c>
      <c r="Y127" s="1">
        <v>132.54776000000001</v>
      </c>
      <c r="Z127" s="5">
        <v>133.39499999999998</v>
      </c>
      <c r="AA127" s="5">
        <f t="shared" si="5"/>
        <v>0.84723999999997091</v>
      </c>
    </row>
    <row r="128" spans="2:27" x14ac:dyDescent="0.35">
      <c r="B128" s="3">
        <v>43963</v>
      </c>
      <c r="C128" s="2">
        <v>127</v>
      </c>
      <c r="D128" s="1">
        <v>77.578536999999997</v>
      </c>
      <c r="E128" s="2">
        <v>162301200</v>
      </c>
      <c r="F128" s="1">
        <v>125.944046</v>
      </c>
      <c r="G128" s="2">
        <v>4870400</v>
      </c>
      <c r="K128" s="1">
        <v>77.578536999999997</v>
      </c>
      <c r="L128" s="5">
        <f t="shared" si="7"/>
        <v>71.4559</v>
      </c>
      <c r="Q128" s="1">
        <v>125.944046</v>
      </c>
      <c r="R128" s="5">
        <f t="shared" si="6"/>
        <v>132.9676</v>
      </c>
      <c r="U128" s="1">
        <v>77.578536999999997</v>
      </c>
      <c r="V128" s="5">
        <v>71.4559</v>
      </c>
      <c r="W128" s="5">
        <f t="shared" si="4"/>
        <v>6.1226369999999974</v>
      </c>
      <c r="Y128" s="1">
        <v>125.944046</v>
      </c>
      <c r="Z128" s="5">
        <v>132.9676</v>
      </c>
      <c r="AA128" s="5">
        <f t="shared" si="5"/>
        <v>7.0235540000000043</v>
      </c>
    </row>
    <row r="129" spans="2:27" x14ac:dyDescent="0.35">
      <c r="B129" s="3">
        <v>43964</v>
      </c>
      <c r="C129" s="2">
        <v>128</v>
      </c>
      <c r="D129" s="1">
        <v>76.641852999999998</v>
      </c>
      <c r="E129" s="2">
        <v>200622400</v>
      </c>
      <c r="F129" s="1">
        <v>121.383652</v>
      </c>
      <c r="G129" s="2">
        <v>5786200</v>
      </c>
      <c r="K129" s="1">
        <v>76.641852999999998</v>
      </c>
      <c r="L129" s="5">
        <f t="shared" si="7"/>
        <v>71.4696</v>
      </c>
      <c r="Q129" s="1">
        <v>121.383652</v>
      </c>
      <c r="R129" s="5">
        <f t="shared" si="6"/>
        <v>132.5402</v>
      </c>
      <c r="U129" s="1">
        <v>76.641852999999998</v>
      </c>
      <c r="V129" s="5">
        <v>71.4696</v>
      </c>
      <c r="W129" s="5">
        <f t="shared" si="4"/>
        <v>5.1722529999999978</v>
      </c>
      <c r="Y129" s="1">
        <v>121.383652</v>
      </c>
      <c r="Z129" s="5">
        <v>132.5402</v>
      </c>
      <c r="AA129" s="5">
        <f t="shared" si="5"/>
        <v>11.156548000000001</v>
      </c>
    </row>
    <row r="130" spans="2:27" x14ac:dyDescent="0.35">
      <c r="B130" s="3">
        <v>43965</v>
      </c>
      <c r="C130" s="2">
        <v>129</v>
      </c>
      <c r="D130" s="1">
        <v>77.112685999999997</v>
      </c>
      <c r="E130" s="2">
        <v>158929200</v>
      </c>
      <c r="F130" s="1">
        <v>126.335655</v>
      </c>
      <c r="G130" s="2">
        <v>5226200</v>
      </c>
      <c r="K130" s="1">
        <v>77.112685999999997</v>
      </c>
      <c r="L130" s="5">
        <f t="shared" si="7"/>
        <v>71.4833</v>
      </c>
      <c r="Q130" s="1">
        <v>126.335655</v>
      </c>
      <c r="R130" s="5">
        <f t="shared" si="6"/>
        <v>132.11279999999999</v>
      </c>
      <c r="U130" s="1">
        <v>77.112685999999997</v>
      </c>
      <c r="V130" s="5">
        <v>71.4833</v>
      </c>
      <c r="W130" s="5">
        <f t="shared" si="4"/>
        <v>5.6293859999999967</v>
      </c>
      <c r="Y130" s="1">
        <v>126.335655</v>
      </c>
      <c r="Z130" s="5">
        <v>132.11279999999999</v>
      </c>
      <c r="AA130" s="5">
        <f t="shared" si="5"/>
        <v>5.7771449999999902</v>
      </c>
    </row>
    <row r="131" spans="2:27" x14ac:dyDescent="0.35">
      <c r="B131" s="3">
        <v>43966</v>
      </c>
      <c r="C131" s="2">
        <v>130</v>
      </c>
      <c r="D131" s="1">
        <v>76.656791999999996</v>
      </c>
      <c r="E131" s="2">
        <v>166348400</v>
      </c>
      <c r="F131" s="1">
        <v>124.70488</v>
      </c>
      <c r="G131" s="2">
        <v>4660300</v>
      </c>
      <c r="K131" s="1">
        <v>76.656791999999996</v>
      </c>
      <c r="L131" s="5">
        <f t="shared" si="7"/>
        <v>71.497</v>
      </c>
      <c r="Q131" s="1">
        <v>124.70488</v>
      </c>
      <c r="R131" s="5">
        <f t="shared" si="6"/>
        <v>131.68539999999999</v>
      </c>
      <c r="U131" s="1">
        <v>76.656791999999996</v>
      </c>
      <c r="V131" s="5">
        <v>71.497</v>
      </c>
      <c r="W131" s="5">
        <f t="shared" si="4"/>
        <v>5.1597919999999959</v>
      </c>
      <c r="Y131" s="1">
        <v>124.70488</v>
      </c>
      <c r="Z131" s="5">
        <v>131.68539999999999</v>
      </c>
      <c r="AA131" s="5">
        <f t="shared" si="5"/>
        <v>6.9805199999999843</v>
      </c>
    </row>
    <row r="132" spans="2:27" x14ac:dyDescent="0.35">
      <c r="B132" s="3">
        <v>43969</v>
      </c>
      <c r="C132" s="2">
        <v>131</v>
      </c>
      <c r="D132" s="1">
        <v>78.462913999999998</v>
      </c>
      <c r="E132" s="2">
        <v>135372400</v>
      </c>
      <c r="F132" s="1">
        <v>135.27510100000001</v>
      </c>
      <c r="G132" s="2">
        <v>6405800</v>
      </c>
      <c r="K132" s="1">
        <v>78.462913999999998</v>
      </c>
      <c r="L132" s="5">
        <f t="shared" si="7"/>
        <v>71.5107</v>
      </c>
      <c r="Q132" s="1">
        <v>135.27510100000001</v>
      </c>
      <c r="R132" s="5">
        <f t="shared" si="6"/>
        <v>131.25799999999998</v>
      </c>
      <c r="U132" s="1">
        <v>78.462913999999998</v>
      </c>
      <c r="V132" s="5">
        <v>71.5107</v>
      </c>
      <c r="W132" s="5">
        <f t="shared" si="4"/>
        <v>6.9522139999999979</v>
      </c>
      <c r="Y132" s="1">
        <v>135.27510100000001</v>
      </c>
      <c r="Z132" s="5">
        <v>131.25799999999998</v>
      </c>
      <c r="AA132" s="5">
        <f t="shared" si="5"/>
        <v>4.0171010000000251</v>
      </c>
    </row>
    <row r="133" spans="2:27" x14ac:dyDescent="0.35">
      <c r="B133" s="3">
        <v>43970</v>
      </c>
      <c r="C133" s="2">
        <v>132</v>
      </c>
      <c r="D133" s="1">
        <v>78.009521000000007</v>
      </c>
      <c r="E133" s="2">
        <v>101729600</v>
      </c>
      <c r="F133" s="1">
        <v>131.208099</v>
      </c>
      <c r="G133" s="2">
        <v>4427800</v>
      </c>
      <c r="K133" s="1">
        <v>78.009521000000007</v>
      </c>
      <c r="L133" s="5">
        <f t="shared" si="7"/>
        <v>71.5244</v>
      </c>
      <c r="Q133" s="1">
        <v>131.208099</v>
      </c>
      <c r="R133" s="5">
        <f t="shared" si="6"/>
        <v>130.8306</v>
      </c>
      <c r="U133" s="1">
        <v>78.009521000000007</v>
      </c>
      <c r="V133" s="5">
        <v>71.5244</v>
      </c>
      <c r="W133" s="5">
        <f t="shared" si="4"/>
        <v>6.4851210000000066</v>
      </c>
      <c r="Y133" s="1">
        <v>131.208099</v>
      </c>
      <c r="Z133" s="5">
        <v>130.8306</v>
      </c>
      <c r="AA133" s="5">
        <f t="shared" si="5"/>
        <v>0.37749900000000025</v>
      </c>
    </row>
    <row r="134" spans="2:27" x14ac:dyDescent="0.35">
      <c r="B134" s="3">
        <v>43971</v>
      </c>
      <c r="C134" s="2">
        <v>133</v>
      </c>
      <c r="D134" s="1">
        <v>79.526664999999994</v>
      </c>
      <c r="E134" s="2">
        <v>111504800</v>
      </c>
      <c r="F134" s="1">
        <v>135.26516699999999</v>
      </c>
      <c r="G134" s="2">
        <v>2949700</v>
      </c>
      <c r="K134" s="1">
        <v>79.526664999999994</v>
      </c>
      <c r="L134" s="5">
        <f t="shared" si="7"/>
        <v>71.5381</v>
      </c>
      <c r="Q134" s="1">
        <v>135.26516699999999</v>
      </c>
      <c r="R134" s="5">
        <f t="shared" si="6"/>
        <v>130.4032</v>
      </c>
      <c r="U134" s="1">
        <v>79.526664999999994</v>
      </c>
      <c r="V134" s="5">
        <v>71.5381</v>
      </c>
      <c r="W134" s="5">
        <f t="shared" ref="W134:W197" si="8">ABS(U134-V134)</f>
        <v>7.9885649999999941</v>
      </c>
      <c r="Y134" s="1">
        <v>135.26516699999999</v>
      </c>
      <c r="Z134" s="5">
        <v>130.4032</v>
      </c>
      <c r="AA134" s="5">
        <f t="shared" ref="AA134:AA197" si="9">ABS(Y134-Z134)</f>
        <v>4.8619669999999928</v>
      </c>
    </row>
    <row r="135" spans="2:27" x14ac:dyDescent="0.35">
      <c r="B135" s="3">
        <v>43972</v>
      </c>
      <c r="C135" s="2">
        <v>134</v>
      </c>
      <c r="D135" s="1">
        <v>78.933753999999993</v>
      </c>
      <c r="E135" s="2">
        <v>102688800</v>
      </c>
      <c r="F135" s="1">
        <v>136.91583299999999</v>
      </c>
      <c r="G135" s="2">
        <v>2374300</v>
      </c>
      <c r="K135" s="1">
        <v>78.933753999999993</v>
      </c>
      <c r="L135" s="5">
        <f t="shared" si="7"/>
        <v>71.5518</v>
      </c>
      <c r="Q135" s="1">
        <v>136.91583299999999</v>
      </c>
      <c r="R135" s="5">
        <f t="shared" si="6"/>
        <v>129.97579999999999</v>
      </c>
      <c r="U135" s="1">
        <v>78.933753999999993</v>
      </c>
      <c r="V135" s="5">
        <v>71.5518</v>
      </c>
      <c r="W135" s="5">
        <f t="shared" si="8"/>
        <v>7.3819539999999932</v>
      </c>
      <c r="Y135" s="1">
        <v>136.91583299999999</v>
      </c>
      <c r="Z135" s="5">
        <v>129.97579999999999</v>
      </c>
      <c r="AA135" s="5">
        <f t="shared" si="9"/>
        <v>6.9400329999999997</v>
      </c>
    </row>
    <row r="136" spans="2:27" x14ac:dyDescent="0.35">
      <c r="B136" s="3">
        <v>43973</v>
      </c>
      <c r="C136" s="2">
        <v>135</v>
      </c>
      <c r="D136" s="1">
        <v>79.441963000000001</v>
      </c>
      <c r="E136" s="2">
        <v>81803200</v>
      </c>
      <c r="F136" s="1">
        <v>138.397446</v>
      </c>
      <c r="G136" s="2">
        <v>2958000</v>
      </c>
      <c r="K136" s="1">
        <v>79.441963000000001</v>
      </c>
      <c r="L136" s="5">
        <f t="shared" si="7"/>
        <v>71.5655</v>
      </c>
      <c r="Q136" s="1">
        <v>138.397446</v>
      </c>
      <c r="R136" s="5">
        <f t="shared" si="6"/>
        <v>129.54839999999999</v>
      </c>
      <c r="U136" s="1">
        <v>79.441963000000001</v>
      </c>
      <c r="V136" s="5">
        <v>71.5655</v>
      </c>
      <c r="W136" s="5">
        <f t="shared" si="8"/>
        <v>7.8764630000000011</v>
      </c>
      <c r="Y136" s="1">
        <v>138.397446</v>
      </c>
      <c r="Z136" s="5">
        <v>129.54839999999999</v>
      </c>
      <c r="AA136" s="5">
        <f t="shared" si="9"/>
        <v>8.8490460000000155</v>
      </c>
    </row>
    <row r="137" spans="2:27" x14ac:dyDescent="0.35">
      <c r="B137" s="3">
        <v>43977</v>
      </c>
      <c r="C137" s="2">
        <v>136</v>
      </c>
      <c r="D137" s="1">
        <v>78.903862000000004</v>
      </c>
      <c r="E137" s="2">
        <v>125522000</v>
      </c>
      <c r="F137" s="1">
        <v>144.12506099999999</v>
      </c>
      <c r="G137" s="2">
        <v>4370200</v>
      </c>
      <c r="K137" s="1">
        <v>78.903862000000004</v>
      </c>
      <c r="L137" s="5">
        <f t="shared" si="7"/>
        <v>71.5792</v>
      </c>
      <c r="Q137" s="1">
        <v>144.12506099999999</v>
      </c>
      <c r="R137" s="5">
        <f t="shared" si="6"/>
        <v>129.12099999999998</v>
      </c>
      <c r="U137" s="1">
        <v>78.903862000000004</v>
      </c>
      <c r="V137" s="5">
        <v>71.5792</v>
      </c>
      <c r="W137" s="5">
        <f t="shared" si="8"/>
        <v>7.3246620000000036</v>
      </c>
      <c r="Y137" s="1">
        <v>144.12506099999999</v>
      </c>
      <c r="Z137" s="5">
        <v>129.12099999999998</v>
      </c>
      <c r="AA137" s="5">
        <f t="shared" si="9"/>
        <v>15.004061000000007</v>
      </c>
    </row>
    <row r="138" spans="2:27" x14ac:dyDescent="0.35">
      <c r="B138" s="3">
        <v>43978</v>
      </c>
      <c r="C138" s="2">
        <v>137</v>
      </c>
      <c r="D138" s="1">
        <v>79.247642999999997</v>
      </c>
      <c r="E138" s="2">
        <v>112945200</v>
      </c>
      <c r="F138" s="1">
        <v>147.75453200000001</v>
      </c>
      <c r="G138" s="2">
        <v>4291700</v>
      </c>
      <c r="K138" s="1">
        <v>79.247642999999997</v>
      </c>
      <c r="L138" s="5">
        <f t="shared" si="7"/>
        <v>71.5929</v>
      </c>
      <c r="Q138" s="1">
        <v>147.75453200000001</v>
      </c>
      <c r="R138" s="5">
        <f t="shared" si="6"/>
        <v>128.6936</v>
      </c>
      <c r="U138" s="1">
        <v>79.247642999999997</v>
      </c>
      <c r="V138" s="5">
        <v>71.5929</v>
      </c>
      <c r="W138" s="5">
        <f t="shared" si="8"/>
        <v>7.6547429999999963</v>
      </c>
      <c r="Y138" s="1">
        <v>147.75453200000001</v>
      </c>
      <c r="Z138" s="5">
        <v>128.6936</v>
      </c>
      <c r="AA138" s="5">
        <f t="shared" si="9"/>
        <v>19.060932000000008</v>
      </c>
    </row>
    <row r="139" spans="2:27" x14ac:dyDescent="0.35">
      <c r="B139" s="3">
        <v>43979</v>
      </c>
      <c r="C139" s="2">
        <v>138</v>
      </c>
      <c r="D139" s="1">
        <v>79.282523999999995</v>
      </c>
      <c r="E139" s="2">
        <v>133560800</v>
      </c>
      <c r="F139" s="1">
        <v>146.73033100000001</v>
      </c>
      <c r="G139" s="2">
        <v>3481800</v>
      </c>
      <c r="K139" s="1">
        <v>79.282523999999995</v>
      </c>
      <c r="L139" s="5">
        <f t="shared" si="7"/>
        <v>71.6066</v>
      </c>
      <c r="Q139" s="1">
        <v>146.73033100000001</v>
      </c>
      <c r="R139" s="5">
        <f t="shared" si="6"/>
        <v>128.2662</v>
      </c>
      <c r="U139" s="1">
        <v>79.282523999999995</v>
      </c>
      <c r="V139" s="5">
        <v>71.6066</v>
      </c>
      <c r="W139" s="5">
        <f t="shared" si="8"/>
        <v>7.6759239999999949</v>
      </c>
      <c r="Y139" s="1">
        <v>146.73033100000001</v>
      </c>
      <c r="Z139" s="5">
        <v>128.2662</v>
      </c>
      <c r="AA139" s="5">
        <f t="shared" si="9"/>
        <v>18.464131000000009</v>
      </c>
    </row>
    <row r="140" spans="2:27" x14ac:dyDescent="0.35">
      <c r="B140" s="3">
        <v>43980</v>
      </c>
      <c r="C140" s="2">
        <v>139</v>
      </c>
      <c r="D140" s="1">
        <v>79.205298999999997</v>
      </c>
      <c r="E140" s="2">
        <v>153598000</v>
      </c>
      <c r="F140" s="1">
        <v>145.02995300000001</v>
      </c>
      <c r="G140" s="2">
        <v>4135500</v>
      </c>
      <c r="K140" s="1">
        <v>79.205298999999997</v>
      </c>
      <c r="L140" s="5">
        <f t="shared" si="7"/>
        <v>71.6203</v>
      </c>
      <c r="Q140" s="1">
        <v>145.02995300000001</v>
      </c>
      <c r="R140" s="5">
        <f t="shared" si="6"/>
        <v>127.83879999999999</v>
      </c>
      <c r="U140" s="1">
        <v>79.205298999999997</v>
      </c>
      <c r="V140" s="5">
        <v>71.6203</v>
      </c>
      <c r="W140" s="5">
        <f t="shared" si="8"/>
        <v>7.5849989999999963</v>
      </c>
      <c r="Y140" s="1">
        <v>145.02995300000001</v>
      </c>
      <c r="Z140" s="5">
        <v>127.83879999999999</v>
      </c>
      <c r="AA140" s="5">
        <f t="shared" si="9"/>
        <v>17.191153000000014</v>
      </c>
    </row>
    <row r="141" spans="2:27" x14ac:dyDescent="0.35">
      <c r="B141" s="3">
        <v>43983</v>
      </c>
      <c r="C141" s="2">
        <v>140</v>
      </c>
      <c r="D141" s="1">
        <v>80.179359000000005</v>
      </c>
      <c r="E141" s="2">
        <v>80791200</v>
      </c>
      <c r="F141" s="1">
        <v>145.358093</v>
      </c>
      <c r="G141" s="2">
        <v>2071100</v>
      </c>
      <c r="K141" s="1">
        <v>80.179359000000005</v>
      </c>
      <c r="L141" s="5">
        <f t="shared" si="7"/>
        <v>71.634</v>
      </c>
      <c r="Q141" s="1">
        <v>145.358093</v>
      </c>
      <c r="R141" s="5">
        <f t="shared" si="6"/>
        <v>127.41139999999999</v>
      </c>
      <c r="U141" s="1">
        <v>80.179359000000005</v>
      </c>
      <c r="V141" s="5">
        <v>71.634</v>
      </c>
      <c r="W141" s="5">
        <f t="shared" si="8"/>
        <v>8.5453590000000048</v>
      </c>
      <c r="Y141" s="1">
        <v>145.358093</v>
      </c>
      <c r="Z141" s="5">
        <v>127.41139999999999</v>
      </c>
      <c r="AA141" s="5">
        <f t="shared" si="9"/>
        <v>17.94669300000001</v>
      </c>
    </row>
    <row r="142" spans="2:27" x14ac:dyDescent="0.35">
      <c r="B142" s="3">
        <v>43984</v>
      </c>
      <c r="C142" s="2">
        <v>141</v>
      </c>
      <c r="D142" s="1">
        <v>80.550545</v>
      </c>
      <c r="E142" s="2">
        <v>87642800</v>
      </c>
      <c r="F142" s="1">
        <v>147.51589999999999</v>
      </c>
      <c r="G142" s="2">
        <v>3625800</v>
      </c>
      <c r="K142" s="1">
        <v>80.550545</v>
      </c>
      <c r="L142" s="5">
        <f t="shared" si="7"/>
        <v>71.6477</v>
      </c>
      <c r="Q142" s="1">
        <v>147.51589999999999</v>
      </c>
      <c r="R142" s="5">
        <f t="shared" si="6"/>
        <v>126.98399999999999</v>
      </c>
      <c r="U142" s="1">
        <v>80.550545</v>
      </c>
      <c r="V142" s="5">
        <v>71.6477</v>
      </c>
      <c r="W142" s="5">
        <f t="shared" si="8"/>
        <v>8.9028449999999992</v>
      </c>
      <c r="Y142" s="1">
        <v>147.51589999999999</v>
      </c>
      <c r="Z142" s="5">
        <v>126.98399999999999</v>
      </c>
      <c r="AA142" s="5">
        <f t="shared" si="9"/>
        <v>20.531899999999993</v>
      </c>
    </row>
    <row r="143" spans="2:27" x14ac:dyDescent="0.35">
      <c r="B143" s="3">
        <v>43985</v>
      </c>
      <c r="C143" s="2">
        <v>142</v>
      </c>
      <c r="D143" s="1">
        <v>80.993979999999993</v>
      </c>
      <c r="E143" s="2">
        <v>104491200</v>
      </c>
      <c r="F143" s="1">
        <v>152.48779300000001</v>
      </c>
      <c r="G143" s="2">
        <v>2992700</v>
      </c>
      <c r="K143" s="1">
        <v>80.993979999999993</v>
      </c>
      <c r="L143" s="5">
        <f t="shared" si="7"/>
        <v>71.6614</v>
      </c>
      <c r="Q143" s="1">
        <v>152.48779300000001</v>
      </c>
      <c r="R143" s="5">
        <f t="shared" si="6"/>
        <v>126.5566</v>
      </c>
      <c r="U143" s="1">
        <v>80.993979999999993</v>
      </c>
      <c r="V143" s="5">
        <v>71.6614</v>
      </c>
      <c r="W143" s="5">
        <f t="shared" si="8"/>
        <v>9.332579999999993</v>
      </c>
      <c r="Y143" s="1">
        <v>152.48779300000001</v>
      </c>
      <c r="Z143" s="5">
        <v>126.5566</v>
      </c>
      <c r="AA143" s="5">
        <f t="shared" si="9"/>
        <v>25.931193000000007</v>
      </c>
    </row>
    <row r="144" spans="2:27" x14ac:dyDescent="0.35">
      <c r="B144" s="3">
        <v>43986</v>
      </c>
      <c r="C144" s="2">
        <v>143</v>
      </c>
      <c r="D144" s="1">
        <v>80.296447999999998</v>
      </c>
      <c r="E144" s="2">
        <v>87560400</v>
      </c>
      <c r="F144" s="1">
        <v>155.03338600000001</v>
      </c>
      <c r="G144" s="2">
        <v>3768200</v>
      </c>
      <c r="K144" s="1">
        <v>80.296447999999998</v>
      </c>
      <c r="L144" s="5">
        <f t="shared" si="7"/>
        <v>71.6751</v>
      </c>
      <c r="Q144" s="1">
        <v>155.03338600000001</v>
      </c>
      <c r="R144" s="5">
        <f t="shared" si="6"/>
        <v>126.1292</v>
      </c>
      <c r="U144" s="1">
        <v>80.296447999999998</v>
      </c>
      <c r="V144" s="5">
        <v>71.6751</v>
      </c>
      <c r="W144" s="5">
        <f t="shared" si="8"/>
        <v>8.6213479999999976</v>
      </c>
      <c r="Y144" s="1">
        <v>155.03338600000001</v>
      </c>
      <c r="Z144" s="5">
        <v>126.1292</v>
      </c>
      <c r="AA144" s="5">
        <f t="shared" si="9"/>
        <v>28.90418600000001</v>
      </c>
    </row>
    <row r="145" spans="2:27" x14ac:dyDescent="0.35">
      <c r="B145" s="3">
        <v>43987</v>
      </c>
      <c r="C145" s="2">
        <v>144</v>
      </c>
      <c r="D145" s="1">
        <v>82.583374000000006</v>
      </c>
      <c r="E145" s="2">
        <v>137250400</v>
      </c>
      <c r="F145" s="1">
        <v>160.46267700000001</v>
      </c>
      <c r="G145" s="2">
        <v>4524900</v>
      </c>
      <c r="K145" s="1">
        <v>82.583374000000006</v>
      </c>
      <c r="L145" s="5">
        <f t="shared" si="7"/>
        <v>71.688800000000001</v>
      </c>
      <c r="Q145" s="1">
        <v>160.46267700000001</v>
      </c>
      <c r="R145" s="5">
        <f t="shared" si="6"/>
        <v>125.70179999999999</v>
      </c>
      <c r="U145" s="1">
        <v>82.583374000000006</v>
      </c>
      <c r="V145" s="5">
        <v>71.688800000000001</v>
      </c>
      <c r="W145" s="5">
        <f t="shared" si="8"/>
        <v>10.894574000000006</v>
      </c>
      <c r="Y145" s="1">
        <v>160.46267700000001</v>
      </c>
      <c r="Z145" s="5">
        <v>125.70179999999999</v>
      </c>
      <c r="AA145" s="5">
        <f t="shared" si="9"/>
        <v>34.760877000000022</v>
      </c>
    </row>
    <row r="146" spans="2:27" x14ac:dyDescent="0.35">
      <c r="B146" s="3">
        <v>43990</v>
      </c>
      <c r="C146" s="2">
        <v>145</v>
      </c>
      <c r="D146" s="1">
        <v>83.071640000000002</v>
      </c>
      <c r="E146" s="2">
        <v>95654400</v>
      </c>
      <c r="F146" s="1">
        <v>162.00396699999999</v>
      </c>
      <c r="G146" s="2">
        <v>3573400</v>
      </c>
      <c r="K146" s="1">
        <v>83.071640000000002</v>
      </c>
      <c r="L146" s="5">
        <f t="shared" si="7"/>
        <v>71.702500000000001</v>
      </c>
      <c r="Q146" s="1">
        <v>162.00396699999999</v>
      </c>
      <c r="R146" s="5">
        <f t="shared" si="6"/>
        <v>125.27439999999999</v>
      </c>
      <c r="U146" s="1">
        <v>83.071640000000002</v>
      </c>
      <c r="V146" s="5">
        <v>71.702500000000001</v>
      </c>
      <c r="W146" s="5">
        <f t="shared" si="8"/>
        <v>11.369140000000002</v>
      </c>
      <c r="Y146" s="1">
        <v>162.00396699999999</v>
      </c>
      <c r="Z146" s="5">
        <v>125.27439999999999</v>
      </c>
      <c r="AA146" s="5">
        <f t="shared" si="9"/>
        <v>36.729567000000003</v>
      </c>
    </row>
    <row r="147" spans="2:27" x14ac:dyDescent="0.35">
      <c r="B147" s="3">
        <v>43991</v>
      </c>
      <c r="C147" s="2">
        <v>146</v>
      </c>
      <c r="D147" s="1">
        <v>85.694878000000003</v>
      </c>
      <c r="E147" s="2">
        <v>147712400</v>
      </c>
      <c r="F147" s="1">
        <v>157.21107499999999</v>
      </c>
      <c r="G147" s="2">
        <v>3679100</v>
      </c>
      <c r="K147" s="1">
        <v>85.694878000000003</v>
      </c>
      <c r="L147" s="5">
        <f t="shared" si="7"/>
        <v>71.716200000000001</v>
      </c>
      <c r="Q147" s="1">
        <v>157.21107499999999</v>
      </c>
      <c r="R147" s="5">
        <f t="shared" si="6"/>
        <v>124.84699999999999</v>
      </c>
      <c r="U147" s="1">
        <v>85.694878000000003</v>
      </c>
      <c r="V147" s="5">
        <v>71.716200000000001</v>
      </c>
      <c r="W147" s="5">
        <f t="shared" si="8"/>
        <v>13.978678000000002</v>
      </c>
      <c r="Y147" s="1">
        <v>157.21107499999999</v>
      </c>
      <c r="Z147" s="5">
        <v>124.84699999999999</v>
      </c>
      <c r="AA147" s="5">
        <f t="shared" si="9"/>
        <v>32.364075</v>
      </c>
    </row>
    <row r="148" spans="2:27" x14ac:dyDescent="0.35">
      <c r="B148" s="3">
        <v>43992</v>
      </c>
      <c r="C148" s="2">
        <v>147</v>
      </c>
      <c r="D148" s="1">
        <v>87.899590000000003</v>
      </c>
      <c r="E148" s="2">
        <v>166651600</v>
      </c>
      <c r="F148" s="1">
        <v>153.25344799999999</v>
      </c>
      <c r="G148" s="2">
        <v>3309800</v>
      </c>
      <c r="K148" s="1">
        <v>87.899590000000003</v>
      </c>
      <c r="L148" s="5">
        <f t="shared" si="7"/>
        <v>71.729900000000001</v>
      </c>
      <c r="Q148" s="1">
        <v>153.25344799999999</v>
      </c>
      <c r="R148" s="5">
        <f t="shared" si="6"/>
        <v>124.4196</v>
      </c>
      <c r="U148" s="1">
        <v>87.899590000000003</v>
      </c>
      <c r="V148" s="5">
        <v>71.729900000000001</v>
      </c>
      <c r="W148" s="5">
        <f t="shared" si="8"/>
        <v>16.169690000000003</v>
      </c>
      <c r="Y148" s="1">
        <v>153.25344799999999</v>
      </c>
      <c r="Z148" s="5">
        <v>124.4196</v>
      </c>
      <c r="AA148" s="5">
        <f t="shared" si="9"/>
        <v>28.833847999999989</v>
      </c>
    </row>
    <row r="149" spans="2:27" x14ac:dyDescent="0.35">
      <c r="B149" s="3">
        <v>43993</v>
      </c>
      <c r="C149" s="2">
        <v>148</v>
      </c>
      <c r="D149" s="1">
        <v>83.679496999999998</v>
      </c>
      <c r="E149" s="2">
        <v>201662400</v>
      </c>
      <c r="F149" s="1">
        <v>142.633499</v>
      </c>
      <c r="G149" s="2">
        <v>4184900</v>
      </c>
      <c r="K149" s="1">
        <v>83.679496999999998</v>
      </c>
      <c r="L149" s="5">
        <f t="shared" si="7"/>
        <v>71.743600000000001</v>
      </c>
      <c r="Q149" s="1">
        <v>142.633499</v>
      </c>
      <c r="R149" s="5">
        <f t="shared" si="6"/>
        <v>123.9922</v>
      </c>
      <c r="U149" s="1">
        <v>83.679496999999998</v>
      </c>
      <c r="V149" s="5">
        <v>71.743600000000001</v>
      </c>
      <c r="W149" s="5">
        <f t="shared" si="8"/>
        <v>11.935896999999997</v>
      </c>
      <c r="Y149" s="1">
        <v>142.633499</v>
      </c>
      <c r="Z149" s="5">
        <v>123.9922</v>
      </c>
      <c r="AA149" s="5">
        <f t="shared" si="9"/>
        <v>18.641299000000004</v>
      </c>
    </row>
    <row r="150" spans="2:27" x14ac:dyDescent="0.35">
      <c r="B150" s="3">
        <v>43994</v>
      </c>
      <c r="C150" s="2">
        <v>149</v>
      </c>
      <c r="D150" s="1">
        <v>84.401947000000007</v>
      </c>
      <c r="E150" s="2">
        <v>200146000</v>
      </c>
      <c r="F150" s="1">
        <v>143.69747899999999</v>
      </c>
      <c r="G150" s="2">
        <v>3612400</v>
      </c>
      <c r="K150" s="1">
        <v>84.401947000000007</v>
      </c>
      <c r="L150" s="5">
        <f t="shared" si="7"/>
        <v>71.757300000000001</v>
      </c>
      <c r="Q150" s="1">
        <v>143.69747899999999</v>
      </c>
      <c r="R150" s="5">
        <f t="shared" si="6"/>
        <v>123.56479999999999</v>
      </c>
      <c r="U150" s="1">
        <v>84.401947000000007</v>
      </c>
      <c r="V150" s="5">
        <v>71.757300000000001</v>
      </c>
      <c r="W150" s="5">
        <f t="shared" si="8"/>
        <v>12.644647000000006</v>
      </c>
      <c r="Y150" s="1">
        <v>143.69747899999999</v>
      </c>
      <c r="Z150" s="5">
        <v>123.56479999999999</v>
      </c>
      <c r="AA150" s="5">
        <f t="shared" si="9"/>
        <v>20.132678999999996</v>
      </c>
    </row>
    <row r="151" spans="2:27" x14ac:dyDescent="0.35">
      <c r="B151" s="3">
        <v>43997</v>
      </c>
      <c r="C151" s="2">
        <v>150</v>
      </c>
      <c r="D151" s="1">
        <v>85.445755000000005</v>
      </c>
      <c r="E151" s="2">
        <v>138808800</v>
      </c>
      <c r="F151" s="1">
        <v>145.80557300000001</v>
      </c>
      <c r="G151" s="2">
        <v>3314000</v>
      </c>
      <c r="K151" s="1">
        <v>85.445755000000005</v>
      </c>
      <c r="L151" s="5">
        <f t="shared" si="7"/>
        <v>71.771000000000001</v>
      </c>
      <c r="Q151" s="1">
        <v>145.80557300000001</v>
      </c>
      <c r="R151" s="5">
        <f t="shared" si="6"/>
        <v>123.13739999999999</v>
      </c>
      <c r="U151" s="1">
        <v>85.445755000000005</v>
      </c>
      <c r="V151" s="5">
        <v>71.771000000000001</v>
      </c>
      <c r="W151" s="5">
        <f t="shared" si="8"/>
        <v>13.674755000000005</v>
      </c>
      <c r="Y151" s="1">
        <v>145.80557300000001</v>
      </c>
      <c r="Z151" s="5">
        <v>123.13739999999999</v>
      </c>
      <c r="AA151" s="5">
        <f t="shared" si="9"/>
        <v>22.668173000000024</v>
      </c>
    </row>
    <row r="152" spans="2:27" x14ac:dyDescent="0.35">
      <c r="B152" s="3">
        <v>43998</v>
      </c>
      <c r="C152" s="2">
        <v>151</v>
      </c>
      <c r="D152" s="1">
        <v>87.710257999999996</v>
      </c>
      <c r="E152" s="2">
        <v>165428800</v>
      </c>
      <c r="F152" s="1">
        <v>148.27162200000001</v>
      </c>
      <c r="G152" s="2">
        <v>3804500</v>
      </c>
      <c r="K152" s="1">
        <v>87.710257999999996</v>
      </c>
      <c r="L152" s="5">
        <f t="shared" si="7"/>
        <v>71.784700000000001</v>
      </c>
      <c r="Q152" s="1">
        <v>148.27162200000001</v>
      </c>
      <c r="R152" s="5">
        <f t="shared" si="6"/>
        <v>122.71</v>
      </c>
      <c r="U152" s="1">
        <v>87.710257999999996</v>
      </c>
      <c r="V152" s="5">
        <v>71.784700000000001</v>
      </c>
      <c r="W152" s="5">
        <f t="shared" si="8"/>
        <v>15.925557999999995</v>
      </c>
      <c r="Y152" s="1">
        <v>148.27162200000001</v>
      </c>
      <c r="Z152" s="5">
        <v>122.71</v>
      </c>
      <c r="AA152" s="5">
        <f t="shared" si="9"/>
        <v>25.561622000000014</v>
      </c>
    </row>
    <row r="153" spans="2:27" x14ac:dyDescent="0.35">
      <c r="B153" s="3">
        <v>43999</v>
      </c>
      <c r="C153" s="2">
        <v>152</v>
      </c>
      <c r="D153" s="1">
        <v>87.588195999999996</v>
      </c>
      <c r="E153" s="2">
        <v>114406400</v>
      </c>
      <c r="F153" s="1">
        <v>147.50595100000001</v>
      </c>
      <c r="G153" s="2">
        <v>3507600</v>
      </c>
      <c r="K153" s="1">
        <v>87.588195999999996</v>
      </c>
      <c r="L153" s="5">
        <f t="shared" si="7"/>
        <v>71.798400000000001</v>
      </c>
      <c r="Q153" s="1">
        <v>147.50595100000001</v>
      </c>
      <c r="R153" s="5">
        <f t="shared" si="6"/>
        <v>122.28259999999999</v>
      </c>
      <c r="U153" s="1">
        <v>87.588195999999996</v>
      </c>
      <c r="V153" s="5">
        <v>71.798400000000001</v>
      </c>
      <c r="W153" s="5">
        <f t="shared" si="8"/>
        <v>15.789795999999996</v>
      </c>
      <c r="Y153" s="1">
        <v>147.50595100000001</v>
      </c>
      <c r="Z153" s="5">
        <v>122.28259999999999</v>
      </c>
      <c r="AA153" s="5">
        <f t="shared" si="9"/>
        <v>25.223351000000022</v>
      </c>
    </row>
    <row r="154" spans="2:27" x14ac:dyDescent="0.35">
      <c r="B154" s="3">
        <v>44000</v>
      </c>
      <c r="C154" s="2">
        <v>153</v>
      </c>
      <c r="D154" s="1">
        <v>87.623076999999995</v>
      </c>
      <c r="E154" s="2">
        <v>96820400</v>
      </c>
      <c r="F154" s="1">
        <v>147.39656099999999</v>
      </c>
      <c r="G154" s="2">
        <v>2581600</v>
      </c>
      <c r="K154" s="1">
        <v>87.623076999999995</v>
      </c>
      <c r="L154" s="5">
        <f t="shared" si="7"/>
        <v>71.812099999999987</v>
      </c>
      <c r="Q154" s="1">
        <v>147.39656099999999</v>
      </c>
      <c r="R154" s="5">
        <f t="shared" si="6"/>
        <v>121.8552</v>
      </c>
      <c r="U154" s="1">
        <v>87.623076999999995</v>
      </c>
      <c r="V154" s="5">
        <v>71.812099999999987</v>
      </c>
      <c r="W154" s="5">
        <f t="shared" si="8"/>
        <v>15.810977000000008</v>
      </c>
      <c r="Y154" s="1">
        <v>147.39656099999999</v>
      </c>
      <c r="Z154" s="5">
        <v>121.8552</v>
      </c>
      <c r="AA154" s="5">
        <f t="shared" si="9"/>
        <v>25.541360999999995</v>
      </c>
    </row>
    <row r="155" spans="2:27" x14ac:dyDescent="0.35">
      <c r="B155" s="3">
        <v>44001</v>
      </c>
      <c r="C155" s="2">
        <v>154</v>
      </c>
      <c r="D155" s="1">
        <v>87.122337000000002</v>
      </c>
      <c r="E155" s="2">
        <v>264476000</v>
      </c>
      <c r="F155" s="1">
        <v>144.55264299999999</v>
      </c>
      <c r="G155" s="2">
        <v>5265900</v>
      </c>
      <c r="K155" s="1">
        <v>87.122337000000002</v>
      </c>
      <c r="L155" s="5">
        <f t="shared" si="7"/>
        <v>71.825799999999987</v>
      </c>
      <c r="Q155" s="1">
        <v>144.55264299999999</v>
      </c>
      <c r="R155" s="5">
        <f t="shared" si="6"/>
        <v>121.42779999999999</v>
      </c>
      <c r="U155" s="1">
        <v>87.122337000000002</v>
      </c>
      <c r="V155" s="5">
        <v>71.825799999999987</v>
      </c>
      <c r="W155" s="5">
        <f t="shared" si="8"/>
        <v>15.296537000000015</v>
      </c>
      <c r="Y155" s="1">
        <v>144.55264299999999</v>
      </c>
      <c r="Z155" s="5">
        <v>121.42779999999999</v>
      </c>
      <c r="AA155" s="5">
        <f t="shared" si="9"/>
        <v>23.124842999999998</v>
      </c>
    </row>
    <row r="156" spans="2:27" x14ac:dyDescent="0.35">
      <c r="B156" s="3">
        <v>44004</v>
      </c>
      <c r="C156" s="2">
        <v>155</v>
      </c>
      <c r="D156" s="1">
        <v>89.401786999999999</v>
      </c>
      <c r="E156" s="2">
        <v>135445200</v>
      </c>
      <c r="F156" s="1">
        <v>144.12506099999999</v>
      </c>
      <c r="G156" s="2">
        <v>2529900</v>
      </c>
      <c r="K156" s="1">
        <v>89.401786999999999</v>
      </c>
      <c r="L156" s="5">
        <f t="shared" si="7"/>
        <v>71.839499999999987</v>
      </c>
      <c r="Q156" s="1">
        <v>144.12506099999999</v>
      </c>
      <c r="R156" s="5">
        <f t="shared" si="6"/>
        <v>121.0004</v>
      </c>
      <c r="U156" s="1">
        <v>89.401786999999999</v>
      </c>
      <c r="V156" s="5">
        <v>71.839499999999987</v>
      </c>
      <c r="W156" s="5">
        <f t="shared" si="8"/>
        <v>17.562287000000012</v>
      </c>
      <c r="Y156" s="1">
        <v>144.12506099999999</v>
      </c>
      <c r="Z156" s="5">
        <v>121.0004</v>
      </c>
      <c r="AA156" s="5">
        <f t="shared" si="9"/>
        <v>23.124660999999989</v>
      </c>
    </row>
    <row r="157" spans="2:27" x14ac:dyDescent="0.35">
      <c r="B157" s="3">
        <v>44005</v>
      </c>
      <c r="C157" s="2">
        <v>156</v>
      </c>
      <c r="D157" s="1">
        <v>91.310051000000001</v>
      </c>
      <c r="E157" s="2">
        <v>212155600</v>
      </c>
      <c r="F157" s="1">
        <v>144.04551699999999</v>
      </c>
      <c r="G157" s="2">
        <v>2309800</v>
      </c>
      <c r="K157" s="1">
        <v>91.310051000000001</v>
      </c>
      <c r="L157" s="5">
        <f t="shared" si="7"/>
        <v>71.853199999999987</v>
      </c>
      <c r="Q157" s="1">
        <v>144.04551699999999</v>
      </c>
      <c r="R157" s="5">
        <f t="shared" si="6"/>
        <v>120.57299999999999</v>
      </c>
      <c r="U157" s="1">
        <v>91.310051000000001</v>
      </c>
      <c r="V157" s="5">
        <v>71.853199999999987</v>
      </c>
      <c r="W157" s="5">
        <f t="shared" si="8"/>
        <v>19.456851000000015</v>
      </c>
      <c r="Y157" s="1">
        <v>144.04551699999999</v>
      </c>
      <c r="Z157" s="5">
        <v>120.57299999999999</v>
      </c>
      <c r="AA157" s="5">
        <f t="shared" si="9"/>
        <v>23.472516999999996</v>
      </c>
    </row>
    <row r="158" spans="2:27" x14ac:dyDescent="0.35">
      <c r="B158" s="3">
        <v>44006</v>
      </c>
      <c r="C158" s="2">
        <v>157</v>
      </c>
      <c r="D158" s="1">
        <v>89.698241999999993</v>
      </c>
      <c r="E158" s="2">
        <v>192623200</v>
      </c>
      <c r="F158" s="1">
        <v>137.57212799999999</v>
      </c>
      <c r="G158" s="2">
        <v>3371200</v>
      </c>
      <c r="K158" s="1">
        <v>89.698241999999993</v>
      </c>
      <c r="L158" s="5">
        <f t="shared" si="7"/>
        <v>71.866899999999987</v>
      </c>
      <c r="Q158" s="1">
        <v>137.57212799999999</v>
      </c>
      <c r="R158" s="5">
        <f t="shared" si="6"/>
        <v>120.14559999999999</v>
      </c>
      <c r="U158" s="1">
        <v>89.698241999999993</v>
      </c>
      <c r="V158" s="5">
        <v>71.866899999999987</v>
      </c>
      <c r="W158" s="5">
        <f t="shared" si="8"/>
        <v>17.831342000000006</v>
      </c>
      <c r="Y158" s="1">
        <v>137.57212799999999</v>
      </c>
      <c r="Z158" s="5">
        <v>120.14559999999999</v>
      </c>
      <c r="AA158" s="5">
        <f t="shared" si="9"/>
        <v>17.426528000000005</v>
      </c>
    </row>
    <row r="159" spans="2:27" x14ac:dyDescent="0.35">
      <c r="B159" s="3">
        <v>44007</v>
      </c>
      <c r="C159" s="2">
        <v>158</v>
      </c>
      <c r="D159" s="1">
        <v>90.889037999999999</v>
      </c>
      <c r="E159" s="2">
        <v>137522400</v>
      </c>
      <c r="F159" s="1">
        <v>141.65901199999999</v>
      </c>
      <c r="G159" s="2">
        <v>4019000</v>
      </c>
      <c r="K159" s="1">
        <v>90.889037999999999</v>
      </c>
      <c r="L159" s="5">
        <f t="shared" si="7"/>
        <v>71.880599999999987</v>
      </c>
      <c r="Q159" s="1">
        <v>141.65901199999999</v>
      </c>
      <c r="R159" s="5">
        <f t="shared" si="6"/>
        <v>119.7182</v>
      </c>
      <c r="U159" s="1">
        <v>90.889037999999999</v>
      </c>
      <c r="V159" s="5">
        <v>71.880599999999987</v>
      </c>
      <c r="W159" s="5">
        <f t="shared" si="8"/>
        <v>19.008438000000012</v>
      </c>
      <c r="Y159" s="1">
        <v>141.65901199999999</v>
      </c>
      <c r="Z159" s="5">
        <v>119.7182</v>
      </c>
      <c r="AA159" s="5">
        <f t="shared" si="9"/>
        <v>21.940811999999994</v>
      </c>
    </row>
    <row r="160" spans="2:27" x14ac:dyDescent="0.35">
      <c r="B160" s="3">
        <v>44008</v>
      </c>
      <c r="C160" s="2">
        <v>159</v>
      </c>
      <c r="D160" s="1">
        <v>88.096405000000004</v>
      </c>
      <c r="E160" s="2">
        <v>205256800</v>
      </c>
      <c r="F160" s="1">
        <v>137.432907</v>
      </c>
      <c r="G160" s="2">
        <v>10255300</v>
      </c>
      <c r="K160" s="1">
        <v>88.096405000000004</v>
      </c>
      <c r="L160" s="5">
        <f t="shared" si="7"/>
        <v>71.894299999999987</v>
      </c>
      <c r="Q160" s="1">
        <v>137.432907</v>
      </c>
      <c r="R160" s="5">
        <f t="shared" si="6"/>
        <v>119.29079999999999</v>
      </c>
      <c r="U160" s="1">
        <v>88.096405000000004</v>
      </c>
      <c r="V160" s="5">
        <v>71.894299999999987</v>
      </c>
      <c r="W160" s="5">
        <f t="shared" si="8"/>
        <v>16.202105000000017</v>
      </c>
      <c r="Y160" s="1">
        <v>137.432907</v>
      </c>
      <c r="Z160" s="5">
        <v>119.29079999999999</v>
      </c>
      <c r="AA160" s="5">
        <f t="shared" si="9"/>
        <v>18.14210700000001</v>
      </c>
    </row>
    <row r="161" spans="2:27" x14ac:dyDescent="0.35">
      <c r="B161" s="3">
        <v>44011</v>
      </c>
      <c r="C161" s="2">
        <v>160</v>
      </c>
      <c r="D161" s="1">
        <v>90.126732000000004</v>
      </c>
      <c r="E161" s="2">
        <v>130646000</v>
      </c>
      <c r="F161" s="1">
        <v>142.434631</v>
      </c>
      <c r="G161" s="2">
        <v>2971200</v>
      </c>
      <c r="K161" s="1">
        <v>90.126732000000004</v>
      </c>
      <c r="L161" s="5">
        <f t="shared" si="7"/>
        <v>71.907999999999987</v>
      </c>
      <c r="Q161" s="1">
        <v>142.434631</v>
      </c>
      <c r="R161" s="5">
        <f t="shared" si="6"/>
        <v>118.8634</v>
      </c>
      <c r="U161" s="1">
        <v>90.126732000000004</v>
      </c>
      <c r="V161" s="5">
        <v>71.907999999999987</v>
      </c>
      <c r="W161" s="5">
        <f t="shared" si="8"/>
        <v>18.218732000000017</v>
      </c>
      <c r="Y161" s="1">
        <v>142.434631</v>
      </c>
      <c r="Z161" s="5">
        <v>118.8634</v>
      </c>
      <c r="AA161" s="5">
        <f t="shared" si="9"/>
        <v>23.571230999999997</v>
      </c>
    </row>
    <row r="162" spans="2:27" x14ac:dyDescent="0.35">
      <c r="B162" s="3">
        <v>44012</v>
      </c>
      <c r="C162" s="2">
        <v>161</v>
      </c>
      <c r="D162" s="1">
        <v>90.879065999999995</v>
      </c>
      <c r="E162" s="2">
        <v>140223200</v>
      </c>
      <c r="F162" s="1">
        <v>143.77702300000001</v>
      </c>
      <c r="G162" s="2">
        <v>3688000</v>
      </c>
      <c r="K162" s="1">
        <v>90.879065999999995</v>
      </c>
      <c r="L162" s="5">
        <f t="shared" si="7"/>
        <v>71.921699999999987</v>
      </c>
      <c r="Q162" s="1">
        <v>143.77702300000001</v>
      </c>
      <c r="R162" s="5">
        <f t="shared" si="6"/>
        <v>118.43599999999999</v>
      </c>
      <c r="U162" s="1">
        <v>90.879065999999995</v>
      </c>
      <c r="V162" s="5">
        <v>71.921699999999987</v>
      </c>
      <c r="W162" s="5">
        <f t="shared" si="8"/>
        <v>18.957366000000007</v>
      </c>
      <c r="Y162" s="1">
        <v>143.77702300000001</v>
      </c>
      <c r="Z162" s="5">
        <v>118.43599999999999</v>
      </c>
      <c r="AA162" s="5">
        <f t="shared" si="9"/>
        <v>25.341023000000021</v>
      </c>
    </row>
    <row r="163" spans="2:27" x14ac:dyDescent="0.35">
      <c r="B163" s="3">
        <v>44013</v>
      </c>
      <c r="C163" s="2">
        <v>162</v>
      </c>
      <c r="D163" s="1">
        <v>90.707176000000004</v>
      </c>
      <c r="E163" s="2">
        <v>110737200</v>
      </c>
      <c r="F163" s="1">
        <v>143.29972799999999</v>
      </c>
      <c r="G163" s="2">
        <v>2609500</v>
      </c>
      <c r="K163" s="1">
        <v>90.707176000000004</v>
      </c>
      <c r="L163" s="5">
        <f t="shared" si="7"/>
        <v>71.935399999999987</v>
      </c>
      <c r="Q163" s="1">
        <v>143.29972799999999</v>
      </c>
      <c r="R163" s="5">
        <f t="shared" si="6"/>
        <v>118.00859999999999</v>
      </c>
      <c r="U163" s="1">
        <v>90.707176000000004</v>
      </c>
      <c r="V163" s="5">
        <v>71.935399999999987</v>
      </c>
      <c r="W163" s="5">
        <f t="shared" si="8"/>
        <v>18.771776000000017</v>
      </c>
      <c r="Y163" s="1">
        <v>143.29972799999999</v>
      </c>
      <c r="Z163" s="5">
        <v>118.00859999999999</v>
      </c>
      <c r="AA163" s="5">
        <f t="shared" si="9"/>
        <v>25.291128</v>
      </c>
    </row>
    <row r="164" spans="2:27" x14ac:dyDescent="0.35">
      <c r="B164" s="3">
        <v>44014</v>
      </c>
      <c r="C164" s="2">
        <v>163</v>
      </c>
      <c r="D164" s="1">
        <v>90.707176000000004</v>
      </c>
      <c r="E164" s="2">
        <v>114041600</v>
      </c>
      <c r="F164" s="1">
        <v>144.20462000000001</v>
      </c>
      <c r="G164" s="2">
        <v>2758500</v>
      </c>
      <c r="K164" s="1">
        <v>90.707176000000004</v>
      </c>
      <c r="L164" s="5">
        <f t="shared" si="7"/>
        <v>71.949099999999987</v>
      </c>
      <c r="Q164" s="1">
        <v>144.20462000000001</v>
      </c>
      <c r="R164" s="5">
        <f t="shared" si="6"/>
        <v>117.5812</v>
      </c>
      <c r="U164" s="1">
        <v>90.707176000000004</v>
      </c>
      <c r="V164" s="5">
        <v>71.949099999999987</v>
      </c>
      <c r="W164" s="5">
        <f t="shared" si="8"/>
        <v>18.758076000000017</v>
      </c>
      <c r="Y164" s="1">
        <v>144.20462000000001</v>
      </c>
      <c r="Z164" s="5">
        <v>117.5812</v>
      </c>
      <c r="AA164" s="5">
        <f t="shared" si="9"/>
        <v>26.62342000000001</v>
      </c>
    </row>
    <row r="165" spans="2:27" x14ac:dyDescent="0.35">
      <c r="B165" s="3">
        <v>44018</v>
      </c>
      <c r="C165" s="2">
        <v>164</v>
      </c>
      <c r="D165" s="1">
        <v>93.133613999999994</v>
      </c>
      <c r="E165" s="2">
        <v>118655600</v>
      </c>
      <c r="F165" s="1">
        <v>146.39224200000001</v>
      </c>
      <c r="G165" s="2">
        <v>2336700</v>
      </c>
      <c r="K165" s="1">
        <v>93.133613999999994</v>
      </c>
      <c r="L165" s="5">
        <f t="shared" si="7"/>
        <v>71.962799999999987</v>
      </c>
      <c r="Q165" s="1">
        <v>146.39224200000001</v>
      </c>
      <c r="R165" s="5">
        <f t="shared" si="6"/>
        <v>117.15379999999999</v>
      </c>
      <c r="U165" s="1">
        <v>93.133613999999994</v>
      </c>
      <c r="V165" s="5">
        <v>71.962799999999987</v>
      </c>
      <c r="W165" s="5">
        <f t="shared" si="8"/>
        <v>21.170814000000007</v>
      </c>
      <c r="Y165" s="1">
        <v>146.39224200000001</v>
      </c>
      <c r="Z165" s="5">
        <v>117.15379999999999</v>
      </c>
      <c r="AA165" s="5">
        <f t="shared" si="9"/>
        <v>29.23844200000002</v>
      </c>
    </row>
    <row r="166" spans="2:27" x14ac:dyDescent="0.35">
      <c r="B166" s="3">
        <v>44019</v>
      </c>
      <c r="C166" s="2">
        <v>165</v>
      </c>
      <c r="D166" s="1">
        <v>92.844634999999997</v>
      </c>
      <c r="E166" s="2">
        <v>112424400</v>
      </c>
      <c r="F166" s="1">
        <v>144.15489199999999</v>
      </c>
      <c r="G166" s="2">
        <v>2622000</v>
      </c>
      <c r="K166" s="1">
        <v>92.844634999999997</v>
      </c>
      <c r="L166" s="5">
        <f t="shared" si="7"/>
        <v>71.976499999999987</v>
      </c>
      <c r="Q166" s="1">
        <v>144.15489199999999</v>
      </c>
      <c r="R166" s="5">
        <f t="shared" si="6"/>
        <v>116.7264</v>
      </c>
      <c r="U166" s="1">
        <v>92.844634999999997</v>
      </c>
      <c r="V166" s="5">
        <v>71.976499999999987</v>
      </c>
      <c r="W166" s="5">
        <f t="shared" si="8"/>
        <v>20.868135000000009</v>
      </c>
      <c r="Y166" s="1">
        <v>144.15489199999999</v>
      </c>
      <c r="Z166" s="5">
        <v>116.7264</v>
      </c>
      <c r="AA166" s="5">
        <f t="shared" si="9"/>
        <v>27.428491999999991</v>
      </c>
    </row>
    <row r="167" spans="2:27" x14ac:dyDescent="0.35">
      <c r="B167" s="3">
        <v>44020</v>
      </c>
      <c r="C167" s="2">
        <v>166</v>
      </c>
      <c r="D167" s="1">
        <v>95.006996000000001</v>
      </c>
      <c r="E167" s="2">
        <v>117092000</v>
      </c>
      <c r="F167" s="1">
        <v>144.77140800000001</v>
      </c>
      <c r="G167" s="2">
        <v>3587800</v>
      </c>
      <c r="K167" s="1">
        <v>95.006996000000001</v>
      </c>
      <c r="L167" s="5">
        <f t="shared" si="7"/>
        <v>71.990199999999987</v>
      </c>
      <c r="Q167" s="1">
        <v>144.77140800000001</v>
      </c>
      <c r="R167" s="5">
        <f t="shared" ref="R167:R230" si="10">-0.4274*C166+186.82</f>
        <v>116.29899999999999</v>
      </c>
      <c r="U167" s="1">
        <v>95.006996000000001</v>
      </c>
      <c r="V167" s="5">
        <v>71.990199999999987</v>
      </c>
      <c r="W167" s="5">
        <f t="shared" si="8"/>
        <v>23.016796000000014</v>
      </c>
      <c r="Y167" s="1">
        <v>144.77140800000001</v>
      </c>
      <c r="Z167" s="5">
        <v>116.29899999999999</v>
      </c>
      <c r="AA167" s="5">
        <f t="shared" si="9"/>
        <v>28.472408000000016</v>
      </c>
    </row>
    <row r="168" spans="2:27" x14ac:dyDescent="0.35">
      <c r="B168" s="3">
        <v>44021</v>
      </c>
      <c r="C168" s="2">
        <v>167</v>
      </c>
      <c r="D168" s="1">
        <v>95.415558000000004</v>
      </c>
      <c r="E168" s="2">
        <v>125642800</v>
      </c>
      <c r="F168" s="1">
        <v>140.57513399999999</v>
      </c>
      <c r="G168" s="2">
        <v>3167200</v>
      </c>
      <c r="K168" s="1">
        <v>95.415558000000004</v>
      </c>
      <c r="L168" s="5">
        <f t="shared" ref="L168:L231" si="11">0.0137*C168+69.716</f>
        <v>72.003899999999987</v>
      </c>
      <c r="Q168" s="1">
        <v>140.57513399999999</v>
      </c>
      <c r="R168" s="5">
        <f t="shared" si="10"/>
        <v>115.87159999999999</v>
      </c>
      <c r="U168" s="1">
        <v>95.415558000000004</v>
      </c>
      <c r="V168" s="5">
        <v>72.003899999999987</v>
      </c>
      <c r="W168" s="5">
        <f t="shared" si="8"/>
        <v>23.411658000000017</v>
      </c>
      <c r="Y168" s="1">
        <v>140.57513399999999</v>
      </c>
      <c r="Z168" s="5">
        <v>115.87159999999999</v>
      </c>
      <c r="AA168" s="5">
        <f t="shared" si="9"/>
        <v>24.703534000000005</v>
      </c>
    </row>
    <row r="169" spans="2:27" x14ac:dyDescent="0.35">
      <c r="B169" s="3">
        <v>44022</v>
      </c>
      <c r="C169" s="2">
        <v>168</v>
      </c>
      <c r="D169" s="1">
        <v>95.582465999999997</v>
      </c>
      <c r="E169" s="2">
        <v>90257200</v>
      </c>
      <c r="F169" s="1">
        <v>141.64906300000001</v>
      </c>
      <c r="G169" s="2">
        <v>2325000</v>
      </c>
      <c r="K169" s="1">
        <v>95.582465999999997</v>
      </c>
      <c r="L169" s="5">
        <f t="shared" si="11"/>
        <v>72.017599999999987</v>
      </c>
      <c r="Q169" s="1">
        <v>141.64906300000001</v>
      </c>
      <c r="R169" s="5">
        <f t="shared" si="10"/>
        <v>115.4442</v>
      </c>
      <c r="U169" s="1">
        <v>95.582465999999997</v>
      </c>
      <c r="V169" s="5">
        <v>72.017599999999987</v>
      </c>
      <c r="W169" s="5">
        <f t="shared" si="8"/>
        <v>23.564866000000009</v>
      </c>
      <c r="Y169" s="1">
        <v>141.64906300000001</v>
      </c>
      <c r="Z169" s="5">
        <v>115.4442</v>
      </c>
      <c r="AA169" s="5">
        <f t="shared" si="9"/>
        <v>26.204863000000017</v>
      </c>
    </row>
    <row r="170" spans="2:27" x14ac:dyDescent="0.35">
      <c r="B170" s="3">
        <v>44025</v>
      </c>
      <c r="C170" s="2">
        <v>169</v>
      </c>
      <c r="D170" s="1">
        <v>95.141525000000001</v>
      </c>
      <c r="E170" s="2">
        <v>191649200</v>
      </c>
      <c r="F170" s="1">
        <v>142.68322800000001</v>
      </c>
      <c r="G170" s="2">
        <v>2585700</v>
      </c>
      <c r="K170" s="1">
        <v>95.141525000000001</v>
      </c>
      <c r="L170" s="5">
        <f t="shared" si="11"/>
        <v>72.031299999999987</v>
      </c>
      <c r="Q170" s="1">
        <v>142.68322800000001</v>
      </c>
      <c r="R170" s="5">
        <f t="shared" si="10"/>
        <v>115.01679999999999</v>
      </c>
      <c r="U170" s="1">
        <v>95.141525000000001</v>
      </c>
      <c r="V170" s="5">
        <v>72.031299999999987</v>
      </c>
      <c r="W170" s="5">
        <f t="shared" si="8"/>
        <v>23.110225000000014</v>
      </c>
      <c r="Y170" s="1">
        <v>142.68322800000001</v>
      </c>
      <c r="Z170" s="5">
        <v>115.01679999999999</v>
      </c>
      <c r="AA170" s="5">
        <f t="shared" si="9"/>
        <v>27.666428000000025</v>
      </c>
    </row>
    <row r="171" spans="2:27" x14ac:dyDescent="0.35">
      <c r="B171" s="3">
        <v>44026</v>
      </c>
      <c r="C171" s="2">
        <v>170</v>
      </c>
      <c r="D171" s="1">
        <v>96.715964999999997</v>
      </c>
      <c r="E171" s="2">
        <v>170989200</v>
      </c>
      <c r="F171" s="1">
        <v>147.267303</v>
      </c>
      <c r="G171" s="2">
        <v>2649800</v>
      </c>
      <c r="K171" s="1">
        <v>96.715964999999997</v>
      </c>
      <c r="L171" s="5">
        <f t="shared" si="11"/>
        <v>72.044999999999987</v>
      </c>
      <c r="Q171" s="1">
        <v>147.267303</v>
      </c>
      <c r="R171" s="5">
        <f t="shared" si="10"/>
        <v>114.5894</v>
      </c>
      <c r="U171" s="1">
        <v>96.715964999999997</v>
      </c>
      <c r="V171" s="5">
        <v>72.044999999999987</v>
      </c>
      <c r="W171" s="5">
        <f t="shared" si="8"/>
        <v>24.67096500000001</v>
      </c>
      <c r="Y171" s="1">
        <v>147.267303</v>
      </c>
      <c r="Z171" s="5">
        <v>114.5894</v>
      </c>
      <c r="AA171" s="5">
        <f t="shared" si="9"/>
        <v>32.677903000000001</v>
      </c>
    </row>
    <row r="172" spans="2:27" x14ac:dyDescent="0.35">
      <c r="B172" s="3">
        <v>44027</v>
      </c>
      <c r="C172" s="2">
        <v>171</v>
      </c>
      <c r="D172" s="1">
        <v>97.381111000000004</v>
      </c>
      <c r="E172" s="2">
        <v>153198000</v>
      </c>
      <c r="F172" s="1">
        <v>151.07576</v>
      </c>
      <c r="G172" s="2">
        <v>2984600</v>
      </c>
      <c r="K172" s="1">
        <v>97.381111000000004</v>
      </c>
      <c r="L172" s="5">
        <f t="shared" si="11"/>
        <v>72.058699999999988</v>
      </c>
      <c r="Q172" s="1">
        <v>151.07576</v>
      </c>
      <c r="R172" s="5">
        <f t="shared" si="10"/>
        <v>114.16199999999999</v>
      </c>
      <c r="U172" s="1">
        <v>97.381111000000004</v>
      </c>
      <c r="V172" s="5">
        <v>72.058699999999988</v>
      </c>
      <c r="W172" s="5">
        <f t="shared" si="8"/>
        <v>25.322411000000017</v>
      </c>
      <c r="Y172" s="1">
        <v>151.07576</v>
      </c>
      <c r="Z172" s="5">
        <v>114.16199999999999</v>
      </c>
      <c r="AA172" s="5">
        <f t="shared" si="9"/>
        <v>36.913760000000011</v>
      </c>
    </row>
    <row r="173" spans="2:27" x14ac:dyDescent="0.35">
      <c r="B173" s="3">
        <v>44028</v>
      </c>
      <c r="C173" s="2">
        <v>172</v>
      </c>
      <c r="D173" s="1">
        <v>96.182845999999998</v>
      </c>
      <c r="E173" s="2">
        <v>110577600</v>
      </c>
      <c r="F173" s="1">
        <v>152.21929900000001</v>
      </c>
      <c r="G173" s="2">
        <v>3697600</v>
      </c>
      <c r="K173" s="1">
        <v>96.182845999999998</v>
      </c>
      <c r="L173" s="5">
        <f t="shared" si="11"/>
        <v>72.072399999999988</v>
      </c>
      <c r="Q173" s="1">
        <v>152.21929900000001</v>
      </c>
      <c r="R173" s="5">
        <f t="shared" si="10"/>
        <v>113.73459999999999</v>
      </c>
      <c r="U173" s="1">
        <v>96.182845999999998</v>
      </c>
      <c r="V173" s="5">
        <v>72.072399999999988</v>
      </c>
      <c r="W173" s="5">
        <f t="shared" si="8"/>
        <v>24.11044600000001</v>
      </c>
      <c r="Y173" s="1">
        <v>152.21929900000001</v>
      </c>
      <c r="Z173" s="5">
        <v>113.73459999999999</v>
      </c>
      <c r="AA173" s="5">
        <f t="shared" si="9"/>
        <v>38.48469900000002</v>
      </c>
    </row>
    <row r="174" spans="2:27" x14ac:dyDescent="0.35">
      <c r="B174" s="3">
        <v>44029</v>
      </c>
      <c r="C174" s="2">
        <v>173</v>
      </c>
      <c r="D174" s="1">
        <v>95.988533000000004</v>
      </c>
      <c r="E174" s="2">
        <v>92186800</v>
      </c>
      <c r="F174" s="1">
        <v>154.12851000000001</v>
      </c>
      <c r="G174" s="2">
        <v>4886500</v>
      </c>
      <c r="K174" s="1">
        <v>95.988533000000004</v>
      </c>
      <c r="L174" s="5">
        <f t="shared" si="11"/>
        <v>72.086099999999988</v>
      </c>
      <c r="Q174" s="1">
        <v>154.12851000000001</v>
      </c>
      <c r="R174" s="5">
        <f t="shared" si="10"/>
        <v>113.30719999999999</v>
      </c>
      <c r="U174" s="1">
        <v>95.988533000000004</v>
      </c>
      <c r="V174" s="5">
        <v>72.086099999999988</v>
      </c>
      <c r="W174" s="5">
        <f t="shared" si="8"/>
        <v>23.902433000000016</v>
      </c>
      <c r="Y174" s="1">
        <v>154.12851000000001</v>
      </c>
      <c r="Z174" s="5">
        <v>113.30719999999999</v>
      </c>
      <c r="AA174" s="5">
        <f t="shared" si="9"/>
        <v>40.821310000000011</v>
      </c>
    </row>
    <row r="175" spans="2:27" x14ac:dyDescent="0.35">
      <c r="B175" s="3">
        <v>44032</v>
      </c>
      <c r="C175" s="2">
        <v>174</v>
      </c>
      <c r="D175" s="1">
        <v>98.011391000000003</v>
      </c>
      <c r="E175" s="2">
        <v>90318000</v>
      </c>
      <c r="F175" s="1">
        <v>152.527557</v>
      </c>
      <c r="G175" s="2">
        <v>4876200</v>
      </c>
      <c r="K175" s="1">
        <v>98.011391000000003</v>
      </c>
      <c r="L175" s="5">
        <f t="shared" si="11"/>
        <v>72.099799999999988</v>
      </c>
      <c r="Q175" s="1">
        <v>152.527557</v>
      </c>
      <c r="R175" s="5">
        <f t="shared" si="10"/>
        <v>112.87979999999999</v>
      </c>
      <c r="U175" s="1">
        <v>98.011391000000003</v>
      </c>
      <c r="V175" s="5">
        <v>72.099799999999988</v>
      </c>
      <c r="W175" s="5">
        <f t="shared" si="8"/>
        <v>25.911591000000016</v>
      </c>
      <c r="Y175" s="1">
        <v>152.527557</v>
      </c>
      <c r="Z175" s="5">
        <v>112.87979999999999</v>
      </c>
      <c r="AA175" s="5">
        <f t="shared" si="9"/>
        <v>39.647757000000013</v>
      </c>
    </row>
    <row r="176" spans="2:27" x14ac:dyDescent="0.35">
      <c r="B176" s="3">
        <v>44033</v>
      </c>
      <c r="C176" s="2">
        <v>175</v>
      </c>
      <c r="D176" s="1">
        <v>96.658660999999995</v>
      </c>
      <c r="E176" s="2">
        <v>103646000</v>
      </c>
      <c r="F176" s="1">
        <v>153.889847</v>
      </c>
      <c r="G176" s="2">
        <v>2394000</v>
      </c>
      <c r="K176" s="1">
        <v>96.658660999999995</v>
      </c>
      <c r="L176" s="5">
        <f t="shared" si="11"/>
        <v>72.113499999999988</v>
      </c>
      <c r="Q176" s="1">
        <v>153.889847</v>
      </c>
      <c r="R176" s="5">
        <f t="shared" si="10"/>
        <v>112.4524</v>
      </c>
      <c r="U176" s="1">
        <v>96.658660999999995</v>
      </c>
      <c r="V176" s="5">
        <v>72.113499999999988</v>
      </c>
      <c r="W176" s="5">
        <f t="shared" si="8"/>
        <v>24.545161000000007</v>
      </c>
      <c r="Y176" s="1">
        <v>153.889847</v>
      </c>
      <c r="Z176" s="5">
        <v>112.4524</v>
      </c>
      <c r="AA176" s="5">
        <f t="shared" si="9"/>
        <v>41.437447000000006</v>
      </c>
    </row>
    <row r="177" spans="2:27" x14ac:dyDescent="0.35">
      <c r="B177" s="3">
        <v>44034</v>
      </c>
      <c r="C177" s="2">
        <v>176</v>
      </c>
      <c r="D177" s="1">
        <v>96.930199000000002</v>
      </c>
      <c r="E177" s="2">
        <v>89001600</v>
      </c>
      <c r="F177" s="1">
        <v>153.740692</v>
      </c>
      <c r="G177" s="2">
        <v>1798600</v>
      </c>
      <c r="K177" s="1">
        <v>96.930199000000002</v>
      </c>
      <c r="L177" s="5">
        <f t="shared" si="11"/>
        <v>72.127199999999988</v>
      </c>
      <c r="Q177" s="1">
        <v>153.740692</v>
      </c>
      <c r="R177" s="5">
        <f t="shared" si="10"/>
        <v>112.02499999999999</v>
      </c>
      <c r="U177" s="1">
        <v>96.930199000000002</v>
      </c>
      <c r="V177" s="5">
        <v>72.127199999999988</v>
      </c>
      <c r="W177" s="5">
        <f t="shared" si="8"/>
        <v>24.802999000000014</v>
      </c>
      <c r="Y177" s="1">
        <v>153.740692</v>
      </c>
      <c r="Z177" s="5">
        <v>112.02499999999999</v>
      </c>
      <c r="AA177" s="5">
        <f t="shared" si="9"/>
        <v>41.715692000000004</v>
      </c>
    </row>
    <row r="178" spans="2:27" x14ac:dyDescent="0.35">
      <c r="B178" s="3">
        <v>44035</v>
      </c>
      <c r="C178" s="2">
        <v>177</v>
      </c>
      <c r="D178" s="1">
        <v>92.518287999999998</v>
      </c>
      <c r="E178" s="2">
        <v>197004400</v>
      </c>
      <c r="F178" s="1">
        <v>152.86563100000001</v>
      </c>
      <c r="G178" s="2">
        <v>2625600</v>
      </c>
      <c r="K178" s="1">
        <v>92.518287999999998</v>
      </c>
      <c r="L178" s="5">
        <f t="shared" si="11"/>
        <v>72.140899999999988</v>
      </c>
      <c r="Q178" s="1">
        <v>152.86563100000001</v>
      </c>
      <c r="R178" s="5">
        <f t="shared" si="10"/>
        <v>111.5976</v>
      </c>
      <c r="U178" s="1">
        <v>92.518287999999998</v>
      </c>
      <c r="V178" s="5">
        <v>72.140899999999988</v>
      </c>
      <c r="W178" s="5">
        <f t="shared" si="8"/>
        <v>20.37738800000001</v>
      </c>
      <c r="Y178" s="1">
        <v>152.86563100000001</v>
      </c>
      <c r="Z178" s="5">
        <v>111.5976</v>
      </c>
      <c r="AA178" s="5">
        <f t="shared" si="9"/>
        <v>41.268031000000008</v>
      </c>
    </row>
    <row r="179" spans="2:27" x14ac:dyDescent="0.35">
      <c r="B179" s="3">
        <v>44036</v>
      </c>
      <c r="C179" s="2">
        <v>178</v>
      </c>
      <c r="D179" s="1">
        <v>92.289092999999994</v>
      </c>
      <c r="E179" s="2">
        <v>185438800</v>
      </c>
      <c r="F179" s="1">
        <v>148.58981299999999</v>
      </c>
      <c r="G179" s="2">
        <v>4368300</v>
      </c>
      <c r="K179" s="1">
        <v>92.289092999999994</v>
      </c>
      <c r="L179" s="5">
        <f t="shared" si="11"/>
        <v>72.154599999999988</v>
      </c>
      <c r="Q179" s="1">
        <v>148.58981299999999</v>
      </c>
      <c r="R179" s="5">
        <f t="shared" si="10"/>
        <v>111.17019999999999</v>
      </c>
      <c r="U179" s="1">
        <v>92.289092999999994</v>
      </c>
      <c r="V179" s="5">
        <v>72.154599999999988</v>
      </c>
      <c r="W179" s="5">
        <f t="shared" si="8"/>
        <v>20.134493000000006</v>
      </c>
      <c r="Y179" s="1">
        <v>148.58981299999999</v>
      </c>
      <c r="Z179" s="5">
        <v>111.17019999999999</v>
      </c>
      <c r="AA179" s="5">
        <f t="shared" si="9"/>
        <v>37.419612999999998</v>
      </c>
    </row>
    <row r="180" spans="2:27" x14ac:dyDescent="0.35">
      <c r="B180" s="3">
        <v>44039</v>
      </c>
      <c r="C180" s="2">
        <v>179</v>
      </c>
      <c r="D180" s="1">
        <v>94.476364000000004</v>
      </c>
      <c r="E180" s="2">
        <v>121214000</v>
      </c>
      <c r="F180" s="1">
        <v>149.91233800000001</v>
      </c>
      <c r="G180" s="2">
        <v>3378300</v>
      </c>
      <c r="K180" s="1">
        <v>94.476364000000004</v>
      </c>
      <c r="L180" s="5">
        <f t="shared" si="11"/>
        <v>72.168299999999988</v>
      </c>
      <c r="Q180" s="1">
        <v>149.91233800000001</v>
      </c>
      <c r="R180" s="5">
        <f t="shared" si="10"/>
        <v>110.74279999999999</v>
      </c>
      <c r="U180" s="1">
        <v>94.476364000000004</v>
      </c>
      <c r="V180" s="5">
        <v>72.168299999999988</v>
      </c>
      <c r="W180" s="5">
        <f t="shared" si="8"/>
        <v>22.308064000000016</v>
      </c>
      <c r="Y180" s="1">
        <v>149.91233800000001</v>
      </c>
      <c r="Z180" s="5">
        <v>110.74279999999999</v>
      </c>
      <c r="AA180" s="5">
        <f t="shared" si="9"/>
        <v>39.169538000000017</v>
      </c>
    </row>
    <row r="181" spans="2:27" x14ac:dyDescent="0.35">
      <c r="B181" s="3">
        <v>44040</v>
      </c>
      <c r="C181" s="2">
        <v>180</v>
      </c>
      <c r="D181" s="1">
        <v>92.924355000000006</v>
      </c>
      <c r="E181" s="2">
        <v>103625600</v>
      </c>
      <c r="F181" s="1">
        <v>151.155304</v>
      </c>
      <c r="G181" s="2">
        <v>3904200</v>
      </c>
      <c r="K181" s="1">
        <v>92.924355000000006</v>
      </c>
      <c r="L181" s="5">
        <f t="shared" si="11"/>
        <v>72.181999999999988</v>
      </c>
      <c r="Q181" s="1">
        <v>151.155304</v>
      </c>
      <c r="R181" s="5">
        <f t="shared" si="10"/>
        <v>110.3154</v>
      </c>
      <c r="U181" s="1">
        <v>92.924355000000006</v>
      </c>
      <c r="V181" s="5">
        <v>72.181999999999988</v>
      </c>
      <c r="W181" s="5">
        <f t="shared" si="8"/>
        <v>20.742355000000018</v>
      </c>
      <c r="Y181" s="1">
        <v>151.155304</v>
      </c>
      <c r="Z181" s="5">
        <v>110.3154</v>
      </c>
      <c r="AA181" s="5">
        <f t="shared" si="9"/>
        <v>40.839904000000004</v>
      </c>
    </row>
    <row r="182" spans="2:27" x14ac:dyDescent="0.35">
      <c r="B182" s="3">
        <v>44041</v>
      </c>
      <c r="C182" s="2">
        <v>181</v>
      </c>
      <c r="D182" s="1">
        <v>94.705558999999994</v>
      </c>
      <c r="E182" s="2">
        <v>90329200</v>
      </c>
      <c r="F182" s="1">
        <v>153.71086099999999</v>
      </c>
      <c r="G182" s="2">
        <v>3311500</v>
      </c>
      <c r="K182" s="1">
        <v>94.705558999999994</v>
      </c>
      <c r="L182" s="5">
        <f t="shared" si="11"/>
        <v>72.195699999999988</v>
      </c>
      <c r="Q182" s="1">
        <v>153.71086099999999</v>
      </c>
      <c r="R182" s="5">
        <f t="shared" si="10"/>
        <v>109.88799999999999</v>
      </c>
      <c r="U182" s="1">
        <v>94.705558999999994</v>
      </c>
      <c r="V182" s="5">
        <v>72.195699999999988</v>
      </c>
      <c r="W182" s="5">
        <f t="shared" si="8"/>
        <v>22.509859000000006</v>
      </c>
      <c r="Y182" s="1">
        <v>153.71086099999999</v>
      </c>
      <c r="Z182" s="5">
        <v>109.88799999999999</v>
      </c>
      <c r="AA182" s="5">
        <f t="shared" si="9"/>
        <v>43.822861000000003</v>
      </c>
    </row>
    <row r="183" spans="2:27" x14ac:dyDescent="0.35">
      <c r="B183" s="3">
        <v>44042</v>
      </c>
      <c r="C183" s="2">
        <v>182</v>
      </c>
      <c r="D183" s="1">
        <v>95.851517000000001</v>
      </c>
      <c r="E183" s="2">
        <v>158130000</v>
      </c>
      <c r="F183" s="1">
        <v>148.321335</v>
      </c>
      <c r="G183" s="2">
        <v>2749100</v>
      </c>
      <c r="K183" s="1">
        <v>95.851517000000001</v>
      </c>
      <c r="L183" s="5">
        <f t="shared" si="11"/>
        <v>72.209399999999988</v>
      </c>
      <c r="Q183" s="1">
        <v>148.321335</v>
      </c>
      <c r="R183" s="5">
        <f t="shared" si="10"/>
        <v>109.4606</v>
      </c>
      <c r="U183" s="1">
        <v>95.851517000000001</v>
      </c>
      <c r="V183" s="5">
        <v>72.209399999999988</v>
      </c>
      <c r="W183" s="5">
        <f t="shared" si="8"/>
        <v>23.642117000000013</v>
      </c>
      <c r="Y183" s="1">
        <v>148.321335</v>
      </c>
      <c r="Z183" s="5">
        <v>109.4606</v>
      </c>
      <c r="AA183" s="5">
        <f t="shared" si="9"/>
        <v>38.860735000000005</v>
      </c>
    </row>
    <row r="184" spans="2:27" x14ac:dyDescent="0.35">
      <c r="B184" s="3">
        <v>44043</v>
      </c>
      <c r="C184" s="2">
        <v>183</v>
      </c>
      <c r="D184" s="1">
        <v>105.88608600000001</v>
      </c>
      <c r="E184" s="2">
        <v>374336800</v>
      </c>
      <c r="F184" s="1">
        <v>148.53015099999999</v>
      </c>
      <c r="G184" s="2">
        <v>4061200</v>
      </c>
      <c r="K184" s="1">
        <v>105.88608600000001</v>
      </c>
      <c r="L184" s="5">
        <f t="shared" si="11"/>
        <v>72.223099999999988</v>
      </c>
      <c r="Q184" s="1">
        <v>148.53015099999999</v>
      </c>
      <c r="R184" s="5">
        <f t="shared" si="10"/>
        <v>109.03319999999999</v>
      </c>
      <c r="U184" s="1">
        <v>105.88608600000001</v>
      </c>
      <c r="V184" s="5">
        <v>72.223099999999988</v>
      </c>
      <c r="W184" s="5">
        <f t="shared" si="8"/>
        <v>33.662986000000018</v>
      </c>
      <c r="Y184" s="1">
        <v>148.53015099999999</v>
      </c>
      <c r="Z184" s="5">
        <v>109.03319999999999</v>
      </c>
      <c r="AA184" s="5">
        <f t="shared" si="9"/>
        <v>39.496950999999996</v>
      </c>
    </row>
    <row r="185" spans="2:27" x14ac:dyDescent="0.35">
      <c r="B185" s="3">
        <v>44046</v>
      </c>
      <c r="C185" s="2">
        <v>184</v>
      </c>
      <c r="D185" s="1">
        <v>108.554153</v>
      </c>
      <c r="E185" s="2">
        <v>308151200</v>
      </c>
      <c r="F185" s="1">
        <v>147.694885</v>
      </c>
      <c r="G185" s="2">
        <v>2105400</v>
      </c>
      <c r="K185" s="1">
        <v>108.554153</v>
      </c>
      <c r="L185" s="5">
        <f t="shared" si="11"/>
        <v>72.236799999999988</v>
      </c>
      <c r="Q185" s="1">
        <v>147.694885</v>
      </c>
      <c r="R185" s="5">
        <f t="shared" si="10"/>
        <v>108.60579999999999</v>
      </c>
      <c r="U185" s="1">
        <v>108.554153</v>
      </c>
      <c r="V185" s="5">
        <v>72.236799999999988</v>
      </c>
      <c r="W185" s="5">
        <f t="shared" si="8"/>
        <v>36.317353000000011</v>
      </c>
      <c r="Y185" s="1">
        <v>147.694885</v>
      </c>
      <c r="Z185" s="5">
        <v>108.60579999999999</v>
      </c>
      <c r="AA185" s="5">
        <f t="shared" si="9"/>
        <v>39.089085000000011</v>
      </c>
    </row>
    <row r="186" spans="2:27" x14ac:dyDescent="0.35">
      <c r="B186" s="3">
        <v>44047</v>
      </c>
      <c r="C186" s="2">
        <v>185</v>
      </c>
      <c r="D186" s="1">
        <v>109.279099</v>
      </c>
      <c r="E186" s="2">
        <v>173071600</v>
      </c>
      <c r="F186" s="1">
        <v>146.501633</v>
      </c>
      <c r="G186" s="2">
        <v>3078300</v>
      </c>
      <c r="K186" s="1">
        <v>109.279099</v>
      </c>
      <c r="L186" s="5">
        <f t="shared" si="11"/>
        <v>72.250499999999988</v>
      </c>
      <c r="Q186" s="1">
        <v>146.501633</v>
      </c>
      <c r="R186" s="5">
        <f t="shared" si="10"/>
        <v>108.1784</v>
      </c>
      <c r="U186" s="1">
        <v>109.279099</v>
      </c>
      <c r="V186" s="5">
        <v>72.250499999999988</v>
      </c>
      <c r="W186" s="5">
        <f t="shared" si="8"/>
        <v>37.028599000000014</v>
      </c>
      <c r="Y186" s="1">
        <v>146.501633</v>
      </c>
      <c r="Z186" s="5">
        <v>108.1784</v>
      </c>
      <c r="AA186" s="5">
        <f t="shared" si="9"/>
        <v>38.323233000000002</v>
      </c>
    </row>
    <row r="187" spans="2:27" x14ac:dyDescent="0.35">
      <c r="B187" s="3">
        <v>44048</v>
      </c>
      <c r="C187" s="2">
        <v>186</v>
      </c>
      <c r="D187" s="1">
        <v>109.675194</v>
      </c>
      <c r="E187" s="2">
        <v>121992000</v>
      </c>
      <c r="F187" s="1">
        <v>149.972015</v>
      </c>
      <c r="G187" s="2">
        <v>4181000</v>
      </c>
      <c r="K187" s="1">
        <v>109.675194</v>
      </c>
      <c r="L187" s="5">
        <f t="shared" si="11"/>
        <v>72.264199999999988</v>
      </c>
      <c r="Q187" s="1">
        <v>149.972015</v>
      </c>
      <c r="R187" s="5">
        <f t="shared" si="10"/>
        <v>107.75099999999999</v>
      </c>
      <c r="U187" s="1">
        <v>109.675194</v>
      </c>
      <c r="V187" s="5">
        <v>72.264199999999988</v>
      </c>
      <c r="W187" s="5">
        <f t="shared" si="8"/>
        <v>37.410994000000017</v>
      </c>
      <c r="Y187" s="1">
        <v>149.972015</v>
      </c>
      <c r="Z187" s="5">
        <v>107.75099999999999</v>
      </c>
      <c r="AA187" s="5">
        <f t="shared" si="9"/>
        <v>42.221015000000008</v>
      </c>
    </row>
    <row r="188" spans="2:27" x14ac:dyDescent="0.35">
      <c r="B188" s="3">
        <v>44049</v>
      </c>
      <c r="C188" s="2">
        <v>187</v>
      </c>
      <c r="D188" s="1">
        <v>113.501678</v>
      </c>
      <c r="E188" s="2">
        <v>202428800</v>
      </c>
      <c r="F188" s="1">
        <v>151.72210699999999</v>
      </c>
      <c r="G188" s="2">
        <v>2502700</v>
      </c>
      <c r="K188" s="1">
        <v>113.501678</v>
      </c>
      <c r="L188" s="5">
        <f t="shared" si="11"/>
        <v>72.277899999999988</v>
      </c>
      <c r="Q188" s="1">
        <v>151.72210699999999</v>
      </c>
      <c r="R188" s="5">
        <f t="shared" si="10"/>
        <v>107.3236</v>
      </c>
      <c r="U188" s="1">
        <v>113.501678</v>
      </c>
      <c r="V188" s="5">
        <v>72.277899999999988</v>
      </c>
      <c r="W188" s="5">
        <f t="shared" si="8"/>
        <v>41.22377800000001</v>
      </c>
      <c r="Y188" s="1">
        <v>151.72210699999999</v>
      </c>
      <c r="Z188" s="5">
        <v>107.3236</v>
      </c>
      <c r="AA188" s="5">
        <f t="shared" si="9"/>
        <v>44.398506999999995</v>
      </c>
    </row>
    <row r="189" spans="2:27" x14ac:dyDescent="0.35">
      <c r="B189" s="3">
        <v>44050</v>
      </c>
      <c r="C189" s="2">
        <v>188</v>
      </c>
      <c r="D189" s="1">
        <v>110.92113500000001</v>
      </c>
      <c r="E189" s="2">
        <v>198045600</v>
      </c>
      <c r="F189" s="1">
        <v>154.23788500000001</v>
      </c>
      <c r="G189" s="2">
        <v>2519500</v>
      </c>
      <c r="K189" s="1">
        <v>110.92113500000001</v>
      </c>
      <c r="L189" s="5">
        <f t="shared" si="11"/>
        <v>72.291599999999988</v>
      </c>
      <c r="Q189" s="1">
        <v>154.23788500000001</v>
      </c>
      <c r="R189" s="5">
        <f t="shared" si="10"/>
        <v>106.89619999999999</v>
      </c>
      <c r="U189" s="1">
        <v>110.92113500000001</v>
      </c>
      <c r="V189" s="5">
        <v>72.291599999999988</v>
      </c>
      <c r="W189" s="5">
        <f t="shared" si="8"/>
        <v>38.629535000000018</v>
      </c>
      <c r="Y189" s="1">
        <v>154.23788500000001</v>
      </c>
      <c r="Z189" s="5">
        <v>106.89619999999999</v>
      </c>
      <c r="AA189" s="5">
        <f t="shared" si="9"/>
        <v>47.341685000000012</v>
      </c>
    </row>
    <row r="190" spans="2:27" x14ac:dyDescent="0.35">
      <c r="B190" s="3">
        <v>44053</v>
      </c>
      <c r="C190" s="2">
        <v>189</v>
      </c>
      <c r="D190" s="1">
        <v>112.533356</v>
      </c>
      <c r="E190" s="2">
        <v>212403600</v>
      </c>
      <c r="F190" s="1">
        <v>158.53358499999999</v>
      </c>
      <c r="G190" s="2">
        <v>2858800</v>
      </c>
      <c r="K190" s="1">
        <v>112.533356</v>
      </c>
      <c r="L190" s="5">
        <f t="shared" si="11"/>
        <v>72.305299999999988</v>
      </c>
      <c r="Q190" s="1">
        <v>158.53358499999999</v>
      </c>
      <c r="R190" s="5">
        <f t="shared" si="10"/>
        <v>106.46879999999999</v>
      </c>
      <c r="U190" s="1">
        <v>112.533356</v>
      </c>
      <c r="V190" s="5">
        <v>72.305299999999988</v>
      </c>
      <c r="W190" s="5">
        <f t="shared" si="8"/>
        <v>40.228056000000009</v>
      </c>
      <c r="Y190" s="1">
        <v>158.53358499999999</v>
      </c>
      <c r="Z190" s="5">
        <v>106.46879999999999</v>
      </c>
      <c r="AA190" s="5">
        <f t="shared" si="9"/>
        <v>52.064785000000001</v>
      </c>
    </row>
    <row r="191" spans="2:27" x14ac:dyDescent="0.35">
      <c r="B191" s="3">
        <v>44054</v>
      </c>
      <c r="C191" s="2">
        <v>190</v>
      </c>
      <c r="D191" s="1">
        <v>109.186623</v>
      </c>
      <c r="E191" s="2">
        <v>187902400</v>
      </c>
      <c r="F191" s="1">
        <v>159.378815</v>
      </c>
      <c r="G191" s="2">
        <v>3773700</v>
      </c>
      <c r="K191" s="1">
        <v>109.186623</v>
      </c>
      <c r="L191" s="5">
        <f t="shared" si="11"/>
        <v>72.318999999999988</v>
      </c>
      <c r="Q191" s="1">
        <v>159.378815</v>
      </c>
      <c r="R191" s="5">
        <f t="shared" si="10"/>
        <v>106.0414</v>
      </c>
      <c r="U191" s="1">
        <v>109.186623</v>
      </c>
      <c r="V191" s="5">
        <v>72.318999999999988</v>
      </c>
      <c r="W191" s="5">
        <f t="shared" si="8"/>
        <v>36.867623000000009</v>
      </c>
      <c r="Y191" s="1">
        <v>159.378815</v>
      </c>
      <c r="Z191" s="5">
        <v>106.0414</v>
      </c>
      <c r="AA191" s="5">
        <f t="shared" si="9"/>
        <v>53.337415000000007</v>
      </c>
    </row>
    <row r="192" spans="2:27" x14ac:dyDescent="0.35">
      <c r="B192" s="3">
        <v>44055</v>
      </c>
      <c r="C192" s="2">
        <v>191</v>
      </c>
      <c r="D192" s="1">
        <v>112.815369</v>
      </c>
      <c r="E192" s="2">
        <v>165944800</v>
      </c>
      <c r="F192" s="1">
        <v>159.16999799999999</v>
      </c>
      <c r="G192" s="2">
        <v>2670100</v>
      </c>
      <c r="K192" s="1">
        <v>112.815369</v>
      </c>
      <c r="L192" s="5">
        <f t="shared" si="11"/>
        <v>72.332699999999988</v>
      </c>
      <c r="Q192" s="1">
        <v>159.16999799999999</v>
      </c>
      <c r="R192" s="5">
        <f t="shared" si="10"/>
        <v>105.61399999999999</v>
      </c>
      <c r="U192" s="1">
        <v>112.815369</v>
      </c>
      <c r="V192" s="5">
        <v>72.332699999999988</v>
      </c>
      <c r="W192" s="5">
        <f t="shared" si="8"/>
        <v>40.482669000000016</v>
      </c>
      <c r="Y192" s="1">
        <v>159.16999799999999</v>
      </c>
      <c r="Z192" s="5">
        <v>105.61399999999999</v>
      </c>
      <c r="AA192" s="5">
        <f t="shared" si="9"/>
        <v>53.555998000000002</v>
      </c>
    </row>
    <row r="193" spans="2:27" x14ac:dyDescent="0.35">
      <c r="B193" s="3">
        <v>44056</v>
      </c>
      <c r="C193" s="2">
        <v>192</v>
      </c>
      <c r="D193" s="1">
        <v>114.81192</v>
      </c>
      <c r="E193" s="2">
        <v>210082000</v>
      </c>
      <c r="F193" s="1">
        <v>158.979996</v>
      </c>
      <c r="G193" s="2">
        <v>2574900</v>
      </c>
      <c r="K193" s="1">
        <v>114.81192</v>
      </c>
      <c r="L193" s="5">
        <f t="shared" si="11"/>
        <v>72.346399999999988</v>
      </c>
      <c r="Q193" s="1">
        <v>158.979996</v>
      </c>
      <c r="R193" s="5">
        <f t="shared" si="10"/>
        <v>105.1866</v>
      </c>
      <c r="U193" s="1">
        <v>114.81192</v>
      </c>
      <c r="V193" s="5">
        <v>72.346399999999988</v>
      </c>
      <c r="W193" s="5">
        <f t="shared" si="8"/>
        <v>42.465520000000012</v>
      </c>
      <c r="Y193" s="1">
        <v>158.979996</v>
      </c>
      <c r="Z193" s="5">
        <v>105.1866</v>
      </c>
      <c r="AA193" s="5">
        <f t="shared" si="9"/>
        <v>53.793396000000001</v>
      </c>
    </row>
    <row r="194" spans="2:27" x14ac:dyDescent="0.35">
      <c r="B194" s="3">
        <v>44057</v>
      </c>
      <c r="C194" s="2">
        <v>193</v>
      </c>
      <c r="D194" s="1">
        <v>114.709602</v>
      </c>
      <c r="E194" s="2">
        <v>165565200</v>
      </c>
      <c r="F194" s="1">
        <v>160.279999</v>
      </c>
      <c r="G194" s="2">
        <v>2844700</v>
      </c>
      <c r="K194" s="1">
        <v>114.709602</v>
      </c>
      <c r="L194" s="5">
        <f t="shared" si="11"/>
        <v>72.360099999999989</v>
      </c>
      <c r="Q194" s="1">
        <v>160.279999</v>
      </c>
      <c r="R194" s="5">
        <f t="shared" si="10"/>
        <v>104.75919999999999</v>
      </c>
      <c r="U194" s="1">
        <v>114.709602</v>
      </c>
      <c r="V194" s="5">
        <v>72.360099999999989</v>
      </c>
      <c r="W194" s="5">
        <f t="shared" si="8"/>
        <v>42.349502000000015</v>
      </c>
      <c r="Y194" s="1">
        <v>160.279999</v>
      </c>
      <c r="Z194" s="5">
        <v>104.75919999999999</v>
      </c>
      <c r="AA194" s="5">
        <f t="shared" si="9"/>
        <v>55.520799000000011</v>
      </c>
    </row>
    <row r="195" spans="2:27" x14ac:dyDescent="0.35">
      <c r="B195" s="3">
        <v>44060</v>
      </c>
      <c r="C195" s="2">
        <v>194</v>
      </c>
      <c r="D195" s="1">
        <v>114.41011</v>
      </c>
      <c r="E195" s="2">
        <v>119561600</v>
      </c>
      <c r="F195" s="1">
        <v>158.759995</v>
      </c>
      <c r="G195" s="2">
        <v>2817200</v>
      </c>
      <c r="K195" s="1">
        <v>114.41011</v>
      </c>
      <c r="L195" s="5">
        <f t="shared" si="11"/>
        <v>72.373799999999989</v>
      </c>
      <c r="Q195" s="1">
        <v>158.759995</v>
      </c>
      <c r="R195" s="5">
        <f t="shared" si="10"/>
        <v>104.33179999999999</v>
      </c>
      <c r="U195" s="1">
        <v>114.41011</v>
      </c>
      <c r="V195" s="5">
        <v>72.373799999999989</v>
      </c>
      <c r="W195" s="5">
        <f t="shared" si="8"/>
        <v>42.036310000000014</v>
      </c>
      <c r="Y195" s="1">
        <v>158.759995</v>
      </c>
      <c r="Z195" s="5">
        <v>104.33179999999999</v>
      </c>
      <c r="AA195" s="5">
        <f t="shared" si="9"/>
        <v>54.428195000000017</v>
      </c>
    </row>
    <row r="196" spans="2:27" x14ac:dyDescent="0.35">
      <c r="B196" s="3">
        <v>44061</v>
      </c>
      <c r="C196" s="2">
        <v>195</v>
      </c>
      <c r="D196" s="1">
        <v>115.363472</v>
      </c>
      <c r="E196" s="2">
        <v>105633600</v>
      </c>
      <c r="F196" s="1">
        <v>157.38000500000001</v>
      </c>
      <c r="G196" s="2">
        <v>1869300</v>
      </c>
      <c r="K196" s="1">
        <v>115.363472</v>
      </c>
      <c r="L196" s="5">
        <f t="shared" si="11"/>
        <v>72.387499999999989</v>
      </c>
      <c r="Q196" s="1">
        <v>157.38000500000001</v>
      </c>
      <c r="R196" s="5">
        <f t="shared" si="10"/>
        <v>103.9044</v>
      </c>
      <c r="U196" s="1">
        <v>115.363472</v>
      </c>
      <c r="V196" s="5">
        <v>72.387499999999989</v>
      </c>
      <c r="W196" s="5">
        <f t="shared" si="8"/>
        <v>42.975972000000013</v>
      </c>
      <c r="Y196" s="1">
        <v>157.38000500000001</v>
      </c>
      <c r="Z196" s="5">
        <v>103.9044</v>
      </c>
      <c r="AA196" s="5">
        <f t="shared" si="9"/>
        <v>53.475605000000016</v>
      </c>
    </row>
    <row r="197" spans="2:27" x14ac:dyDescent="0.35">
      <c r="B197" s="3">
        <v>44062</v>
      </c>
      <c r="C197" s="2">
        <v>196</v>
      </c>
      <c r="D197" s="1">
        <v>115.508217</v>
      </c>
      <c r="E197" s="2">
        <v>145538000</v>
      </c>
      <c r="F197" s="1">
        <v>156.85000600000001</v>
      </c>
      <c r="G197" s="2">
        <v>2098100</v>
      </c>
      <c r="K197" s="1">
        <v>115.508217</v>
      </c>
      <c r="L197" s="5">
        <f t="shared" si="11"/>
        <v>72.401199999999989</v>
      </c>
      <c r="Q197" s="1">
        <v>156.85000600000001</v>
      </c>
      <c r="R197" s="5">
        <f t="shared" si="10"/>
        <v>103.47699999999999</v>
      </c>
      <c r="U197" s="1">
        <v>115.508217</v>
      </c>
      <c r="V197" s="5">
        <v>72.401199999999989</v>
      </c>
      <c r="W197" s="5">
        <f t="shared" si="8"/>
        <v>43.107017000000013</v>
      </c>
      <c r="Y197" s="1">
        <v>156.85000600000001</v>
      </c>
      <c r="Z197" s="5">
        <v>103.47699999999999</v>
      </c>
      <c r="AA197" s="5">
        <f t="shared" si="9"/>
        <v>53.373006000000018</v>
      </c>
    </row>
    <row r="198" spans="2:27" x14ac:dyDescent="0.35">
      <c r="B198" s="3">
        <v>44063</v>
      </c>
      <c r="C198" s="2">
        <v>197</v>
      </c>
      <c r="D198" s="1">
        <v>118.071297</v>
      </c>
      <c r="E198" s="2">
        <v>126907200</v>
      </c>
      <c r="F198" s="1">
        <v>156.16999799999999</v>
      </c>
      <c r="G198" s="2">
        <v>1600300</v>
      </c>
      <c r="K198" s="1">
        <v>118.071297</v>
      </c>
      <c r="L198" s="5">
        <f t="shared" si="11"/>
        <v>72.414899999999989</v>
      </c>
      <c r="Q198" s="1">
        <v>156.16999799999999</v>
      </c>
      <c r="R198" s="5">
        <f t="shared" si="10"/>
        <v>103.0496</v>
      </c>
      <c r="U198" s="1">
        <v>118.071297</v>
      </c>
      <c r="V198" s="5">
        <v>72.414899999999989</v>
      </c>
      <c r="W198" s="5">
        <f t="shared" ref="W198:W258" si="12">ABS(U198-V198)</f>
        <v>45.656397000000013</v>
      </c>
      <c r="Y198" s="1">
        <v>156.16999799999999</v>
      </c>
      <c r="Z198" s="5">
        <v>103.0496</v>
      </c>
      <c r="AA198" s="5">
        <f t="shared" ref="AA198:AA258" si="13">ABS(Y198-Z198)</f>
        <v>53.120397999999994</v>
      </c>
    </row>
    <row r="199" spans="2:27" x14ac:dyDescent="0.35">
      <c r="B199" s="3">
        <v>44064</v>
      </c>
      <c r="C199" s="2">
        <v>198</v>
      </c>
      <c r="D199" s="1">
        <v>124.1558</v>
      </c>
      <c r="E199" s="2">
        <v>338054800</v>
      </c>
      <c r="F199" s="1">
        <v>157.5</v>
      </c>
      <c r="G199" s="2">
        <v>2507800</v>
      </c>
      <c r="K199" s="1">
        <v>124.1558</v>
      </c>
      <c r="L199" s="5">
        <f t="shared" si="11"/>
        <v>72.428599999999989</v>
      </c>
      <c r="Q199" s="1">
        <v>157.5</v>
      </c>
      <c r="R199" s="5">
        <f t="shared" si="10"/>
        <v>102.62219999999999</v>
      </c>
      <c r="U199" s="1">
        <v>124.1558</v>
      </c>
      <c r="V199" s="5">
        <v>72.428599999999989</v>
      </c>
      <c r="W199" s="5">
        <f t="shared" si="12"/>
        <v>51.727200000000011</v>
      </c>
      <c r="Y199" s="1">
        <v>157.5</v>
      </c>
      <c r="Z199" s="5">
        <v>102.62219999999999</v>
      </c>
      <c r="AA199" s="5">
        <f t="shared" si="13"/>
        <v>54.877800000000008</v>
      </c>
    </row>
    <row r="200" spans="2:27" x14ac:dyDescent="0.35">
      <c r="B200" s="3">
        <v>44067</v>
      </c>
      <c r="C200" s="2">
        <v>199</v>
      </c>
      <c r="D200" s="1">
        <v>125.640739</v>
      </c>
      <c r="E200" s="2">
        <v>345937600</v>
      </c>
      <c r="F200" s="1">
        <v>159.36999499999999</v>
      </c>
      <c r="G200" s="2">
        <v>2087000</v>
      </c>
      <c r="K200" s="1">
        <v>125.640739</v>
      </c>
      <c r="L200" s="5">
        <f t="shared" si="11"/>
        <v>72.442299999999989</v>
      </c>
      <c r="Q200" s="1">
        <v>159.36999499999999</v>
      </c>
      <c r="R200" s="5">
        <f t="shared" si="10"/>
        <v>102.19479999999999</v>
      </c>
      <c r="U200" s="1">
        <v>125.640739</v>
      </c>
      <c r="V200" s="5">
        <v>72.442299999999989</v>
      </c>
      <c r="W200" s="5">
        <f t="shared" si="12"/>
        <v>53.198439000000008</v>
      </c>
      <c r="Y200" s="1">
        <v>159.36999499999999</v>
      </c>
      <c r="Z200" s="5">
        <v>102.19479999999999</v>
      </c>
      <c r="AA200" s="5">
        <f t="shared" si="13"/>
        <v>57.175195000000002</v>
      </c>
    </row>
    <row r="201" spans="2:27" x14ac:dyDescent="0.35">
      <c r="B201" s="3">
        <v>44068</v>
      </c>
      <c r="C201" s="2">
        <v>200</v>
      </c>
      <c r="D201" s="1">
        <v>124.610016</v>
      </c>
      <c r="E201" s="2">
        <v>211495600</v>
      </c>
      <c r="F201" s="1">
        <v>164.529999</v>
      </c>
      <c r="G201" s="2">
        <v>7400500</v>
      </c>
      <c r="K201" s="1">
        <v>124.610016</v>
      </c>
      <c r="L201" s="5">
        <f t="shared" si="11"/>
        <v>72.455999999999989</v>
      </c>
      <c r="Q201" s="1">
        <v>164.529999</v>
      </c>
      <c r="R201" s="5">
        <f t="shared" si="10"/>
        <v>101.76739999999999</v>
      </c>
      <c r="U201" s="1">
        <v>124.610016</v>
      </c>
      <c r="V201" s="5">
        <v>72.455999999999989</v>
      </c>
      <c r="W201" s="5">
        <f t="shared" si="12"/>
        <v>52.154016000000013</v>
      </c>
      <c r="Y201" s="1">
        <v>164.529999</v>
      </c>
      <c r="Z201" s="5">
        <v>101.76739999999999</v>
      </c>
      <c r="AA201" s="5">
        <f t="shared" si="13"/>
        <v>62.762599000000009</v>
      </c>
    </row>
    <row r="202" spans="2:27" x14ac:dyDescent="0.35">
      <c r="B202" s="3">
        <v>44069</v>
      </c>
      <c r="C202" s="2">
        <v>201</v>
      </c>
      <c r="D202" s="1">
        <v>126.304596</v>
      </c>
      <c r="E202" s="2">
        <v>163022400</v>
      </c>
      <c r="F202" s="1">
        <v>165.30999800000001</v>
      </c>
      <c r="G202" s="2">
        <v>3466600</v>
      </c>
      <c r="K202" s="1">
        <v>126.304596</v>
      </c>
      <c r="L202" s="5">
        <f t="shared" si="11"/>
        <v>72.469699999999989</v>
      </c>
      <c r="Q202" s="1">
        <v>165.30999800000001</v>
      </c>
      <c r="R202" s="5">
        <f t="shared" si="10"/>
        <v>101.33999999999999</v>
      </c>
      <c r="U202" s="1">
        <v>126.304596</v>
      </c>
      <c r="V202" s="5">
        <v>72.469699999999989</v>
      </c>
      <c r="W202" s="5">
        <f t="shared" si="12"/>
        <v>53.834896000000015</v>
      </c>
      <c r="Y202" s="1">
        <v>165.30999800000001</v>
      </c>
      <c r="Z202" s="5">
        <v>101.33999999999999</v>
      </c>
      <c r="AA202" s="5">
        <f t="shared" si="13"/>
        <v>63.969998000000018</v>
      </c>
    </row>
    <row r="203" spans="2:27" x14ac:dyDescent="0.35">
      <c r="B203" s="3">
        <v>44070</v>
      </c>
      <c r="C203" s="2">
        <v>202</v>
      </c>
      <c r="D203" s="1">
        <v>124.794701</v>
      </c>
      <c r="E203" s="2">
        <v>155552400</v>
      </c>
      <c r="F203" s="1">
        <v>165.990005</v>
      </c>
      <c r="G203" s="2">
        <v>4281100</v>
      </c>
      <c r="K203" s="1">
        <v>124.794701</v>
      </c>
      <c r="L203" s="5">
        <f t="shared" si="11"/>
        <v>72.483399999999989</v>
      </c>
      <c r="Q203" s="1">
        <v>165.990005</v>
      </c>
      <c r="R203" s="5">
        <f t="shared" si="10"/>
        <v>100.9126</v>
      </c>
      <c r="U203" s="1">
        <v>124.794701</v>
      </c>
      <c r="V203" s="5">
        <v>72.483399999999989</v>
      </c>
      <c r="W203" s="5">
        <f t="shared" si="12"/>
        <v>52.311301000000014</v>
      </c>
      <c r="Y203" s="1">
        <v>165.990005</v>
      </c>
      <c r="Z203" s="5">
        <v>100.9126</v>
      </c>
      <c r="AA203" s="5">
        <f t="shared" si="13"/>
        <v>65.077404999999999</v>
      </c>
    </row>
    <row r="204" spans="2:27" x14ac:dyDescent="0.35">
      <c r="B204" s="3">
        <v>44071</v>
      </c>
      <c r="C204" s="2">
        <v>203</v>
      </c>
      <c r="D204" s="1">
        <v>124.592552</v>
      </c>
      <c r="E204" s="2">
        <v>187630000</v>
      </c>
      <c r="F204" s="1">
        <v>168.38000500000001</v>
      </c>
      <c r="G204" s="2">
        <v>13011800</v>
      </c>
      <c r="K204" s="1">
        <v>124.592552</v>
      </c>
      <c r="L204" s="5">
        <f t="shared" si="11"/>
        <v>72.497099999999989</v>
      </c>
      <c r="Q204" s="1">
        <v>168.38000500000001</v>
      </c>
      <c r="R204" s="5">
        <f t="shared" si="10"/>
        <v>100.48519999999999</v>
      </c>
      <c r="U204" s="1">
        <v>124.592552</v>
      </c>
      <c r="V204" s="5">
        <v>72.497099999999989</v>
      </c>
      <c r="W204" s="5">
        <f t="shared" si="12"/>
        <v>52.095452000000009</v>
      </c>
      <c r="Y204" s="1">
        <v>168.38000500000001</v>
      </c>
      <c r="Z204" s="5">
        <v>100.48519999999999</v>
      </c>
      <c r="AA204" s="5">
        <f t="shared" si="13"/>
        <v>67.894805000000019</v>
      </c>
    </row>
    <row r="205" spans="2:27" x14ac:dyDescent="0.35">
      <c r="B205" s="3">
        <v>44074</v>
      </c>
      <c r="C205" s="2">
        <v>204</v>
      </c>
      <c r="D205" s="1">
        <v>128.81774899999999</v>
      </c>
      <c r="E205" s="2">
        <v>225702700</v>
      </c>
      <c r="F205" s="1">
        <v>165.550003</v>
      </c>
      <c r="G205" s="2">
        <v>4561900</v>
      </c>
      <c r="K205" s="1">
        <v>128.81774899999999</v>
      </c>
      <c r="L205" s="5">
        <f t="shared" si="11"/>
        <v>72.510799999999989</v>
      </c>
      <c r="Q205" s="1">
        <v>165.550003</v>
      </c>
      <c r="R205" s="5">
        <f t="shared" si="10"/>
        <v>100.05779999999999</v>
      </c>
      <c r="U205" s="1">
        <v>128.81774899999999</v>
      </c>
      <c r="V205" s="5">
        <v>72.510799999999989</v>
      </c>
      <c r="W205" s="5">
        <f t="shared" si="12"/>
        <v>56.306949000000003</v>
      </c>
      <c r="Y205" s="1">
        <v>165.550003</v>
      </c>
      <c r="Z205" s="5">
        <v>100.05779999999999</v>
      </c>
      <c r="AA205" s="5">
        <f t="shared" si="13"/>
        <v>65.492203000000018</v>
      </c>
    </row>
    <row r="206" spans="2:27" x14ac:dyDescent="0.35">
      <c r="B206" s="3">
        <v>44075</v>
      </c>
      <c r="C206" s="2">
        <v>205</v>
      </c>
      <c r="D206" s="1">
        <v>133.94889800000001</v>
      </c>
      <c r="E206" s="2">
        <v>152470100</v>
      </c>
      <c r="F206" s="1">
        <v>167.970001</v>
      </c>
      <c r="G206" s="2">
        <v>3975100</v>
      </c>
      <c r="K206" s="1">
        <v>133.94889800000001</v>
      </c>
      <c r="L206" s="5">
        <f t="shared" si="11"/>
        <v>72.524499999999989</v>
      </c>
      <c r="Q206" s="1">
        <v>167.970001</v>
      </c>
      <c r="R206" s="5">
        <f t="shared" si="10"/>
        <v>99.630399999999995</v>
      </c>
      <c r="U206" s="1">
        <v>133.94889800000001</v>
      </c>
      <c r="V206" s="5">
        <v>72.524499999999989</v>
      </c>
      <c r="W206" s="5">
        <f t="shared" si="12"/>
        <v>61.424398000000025</v>
      </c>
      <c r="Y206" s="1">
        <v>167.970001</v>
      </c>
      <c r="Z206" s="5">
        <v>99.630399999999995</v>
      </c>
      <c r="AA206" s="5">
        <f t="shared" si="13"/>
        <v>68.339601000000002</v>
      </c>
    </row>
    <row r="207" spans="2:27" x14ac:dyDescent="0.35">
      <c r="B207" s="3">
        <v>44076</v>
      </c>
      <c r="C207" s="2">
        <v>206</v>
      </c>
      <c r="D207" s="1">
        <v>131.17369099999999</v>
      </c>
      <c r="E207" s="2">
        <v>200119000</v>
      </c>
      <c r="F207" s="1">
        <v>172.470001</v>
      </c>
      <c r="G207" s="2">
        <v>4111900</v>
      </c>
      <c r="K207" s="1">
        <v>131.17369099999999</v>
      </c>
      <c r="L207" s="5">
        <f t="shared" si="11"/>
        <v>72.538199999999989</v>
      </c>
      <c r="Q207" s="1">
        <v>172.470001</v>
      </c>
      <c r="R207" s="5">
        <f t="shared" si="10"/>
        <v>99.202999999999989</v>
      </c>
      <c r="U207" s="1">
        <v>131.17369099999999</v>
      </c>
      <c r="V207" s="5">
        <v>72.538199999999989</v>
      </c>
      <c r="W207" s="5">
        <f t="shared" si="12"/>
        <v>58.635491000000002</v>
      </c>
      <c r="Y207" s="1">
        <v>172.470001</v>
      </c>
      <c r="Z207" s="5">
        <v>99.202999999999989</v>
      </c>
      <c r="AA207" s="5">
        <f t="shared" si="13"/>
        <v>73.267001000000008</v>
      </c>
    </row>
    <row r="208" spans="2:27" x14ac:dyDescent="0.35">
      <c r="B208" s="3">
        <v>44077</v>
      </c>
      <c r="C208" s="2">
        <v>207</v>
      </c>
      <c r="D208" s="1">
        <v>120.671806</v>
      </c>
      <c r="E208" s="2">
        <v>257599600</v>
      </c>
      <c r="F208" s="1">
        <v>166.300003</v>
      </c>
      <c r="G208" s="2">
        <v>3527700</v>
      </c>
      <c r="K208" s="1">
        <v>120.671806</v>
      </c>
      <c r="L208" s="5">
        <f t="shared" si="11"/>
        <v>72.551899999999989</v>
      </c>
      <c r="Q208" s="1">
        <v>166.300003</v>
      </c>
      <c r="R208" s="5">
        <f t="shared" si="10"/>
        <v>98.775599999999997</v>
      </c>
      <c r="U208" s="1">
        <v>120.671806</v>
      </c>
      <c r="V208" s="5">
        <v>72.551899999999989</v>
      </c>
      <c r="W208" s="5">
        <f t="shared" si="12"/>
        <v>48.119906000000015</v>
      </c>
      <c r="Y208" s="1">
        <v>166.300003</v>
      </c>
      <c r="Z208" s="5">
        <v>98.775599999999997</v>
      </c>
      <c r="AA208" s="5">
        <f t="shared" si="13"/>
        <v>67.524403000000007</v>
      </c>
    </row>
    <row r="209" spans="2:27" x14ac:dyDescent="0.35">
      <c r="B209" s="3">
        <v>44078</v>
      </c>
      <c r="C209" s="2">
        <v>208</v>
      </c>
      <c r="D209" s="1">
        <v>120.751671</v>
      </c>
      <c r="E209" s="2">
        <v>332607200</v>
      </c>
      <c r="F209" s="1">
        <v>166.69000199999999</v>
      </c>
      <c r="G209" s="2">
        <v>3326500</v>
      </c>
      <c r="K209" s="1">
        <v>120.751671</v>
      </c>
      <c r="L209" s="5">
        <f t="shared" si="11"/>
        <v>72.565599999999989</v>
      </c>
      <c r="Q209" s="1">
        <v>166.69000199999999</v>
      </c>
      <c r="R209" s="5">
        <f t="shared" si="10"/>
        <v>98.348199999999991</v>
      </c>
      <c r="U209" s="1">
        <v>120.751671</v>
      </c>
      <c r="V209" s="5">
        <v>72.565599999999989</v>
      </c>
      <c r="W209" s="5">
        <f t="shared" si="12"/>
        <v>48.186071000000013</v>
      </c>
      <c r="Y209" s="1">
        <v>166.69000199999999</v>
      </c>
      <c r="Z209" s="5">
        <v>98.348199999999991</v>
      </c>
      <c r="AA209" s="5">
        <f t="shared" si="13"/>
        <v>68.341802000000001</v>
      </c>
    </row>
    <row r="210" spans="2:27" x14ac:dyDescent="0.35">
      <c r="B210" s="3">
        <v>44082</v>
      </c>
      <c r="C210" s="2">
        <v>209</v>
      </c>
      <c r="D210" s="1">
        <v>112.625694</v>
      </c>
      <c r="E210" s="2">
        <v>231366600</v>
      </c>
      <c r="F210" s="1">
        <v>164.270004</v>
      </c>
      <c r="G210" s="2">
        <v>2796800</v>
      </c>
      <c r="K210" s="1">
        <v>112.625694</v>
      </c>
      <c r="L210" s="5">
        <f t="shared" si="11"/>
        <v>72.579299999999989</v>
      </c>
      <c r="Q210" s="1">
        <v>164.270004</v>
      </c>
      <c r="R210" s="5">
        <f t="shared" si="10"/>
        <v>97.920799999999986</v>
      </c>
      <c r="U210" s="1">
        <v>112.625694</v>
      </c>
      <c r="V210" s="5">
        <v>72.579299999999989</v>
      </c>
      <c r="W210" s="5">
        <f t="shared" si="12"/>
        <v>40.046394000000006</v>
      </c>
      <c r="Y210" s="1">
        <v>164.270004</v>
      </c>
      <c r="Z210" s="5">
        <v>97.920799999999986</v>
      </c>
      <c r="AA210" s="5">
        <f t="shared" si="13"/>
        <v>66.349204000000015</v>
      </c>
    </row>
    <row r="211" spans="2:27" x14ac:dyDescent="0.35">
      <c r="B211" s="3">
        <v>44083</v>
      </c>
      <c r="C211" s="2">
        <v>210</v>
      </c>
      <c r="D211" s="1">
        <v>117.117943</v>
      </c>
      <c r="E211" s="2">
        <v>176940500</v>
      </c>
      <c r="F211" s="1">
        <v>165.75</v>
      </c>
      <c r="G211" s="2">
        <v>2807500</v>
      </c>
      <c r="K211" s="1">
        <v>117.117943</v>
      </c>
      <c r="L211" s="5">
        <f t="shared" si="11"/>
        <v>72.592999999999989</v>
      </c>
      <c r="Q211" s="1">
        <v>165.75</v>
      </c>
      <c r="R211" s="5">
        <f t="shared" si="10"/>
        <v>97.493399999999994</v>
      </c>
      <c r="U211" s="1">
        <v>117.117943</v>
      </c>
      <c r="V211" s="5">
        <v>72.592999999999989</v>
      </c>
      <c r="W211" s="5">
        <f t="shared" si="12"/>
        <v>44.524943000000007</v>
      </c>
      <c r="Y211" s="1">
        <v>165.75</v>
      </c>
      <c r="Z211" s="5">
        <v>97.493399999999994</v>
      </c>
      <c r="AA211" s="5">
        <f t="shared" si="13"/>
        <v>68.256600000000006</v>
      </c>
    </row>
    <row r="212" spans="2:27" x14ac:dyDescent="0.35">
      <c r="B212" s="3">
        <v>44084</v>
      </c>
      <c r="C212" s="2">
        <v>211</v>
      </c>
      <c r="D212" s="1">
        <v>113.29454</v>
      </c>
      <c r="E212" s="2">
        <v>182274400</v>
      </c>
      <c r="F212" s="1">
        <v>164.270004</v>
      </c>
      <c r="G212" s="2">
        <v>2814900</v>
      </c>
      <c r="K212" s="1">
        <v>113.29454</v>
      </c>
      <c r="L212" s="5">
        <f t="shared" si="11"/>
        <v>72.606699999999989</v>
      </c>
      <c r="Q212" s="1">
        <v>164.270004</v>
      </c>
      <c r="R212" s="5">
        <f t="shared" si="10"/>
        <v>97.065999999999988</v>
      </c>
      <c r="U212" s="1">
        <v>113.29454</v>
      </c>
      <c r="V212" s="5">
        <v>72.606699999999989</v>
      </c>
      <c r="W212" s="5">
        <f t="shared" si="12"/>
        <v>40.687840000000008</v>
      </c>
      <c r="Y212" s="1">
        <v>164.270004</v>
      </c>
      <c r="Z212" s="5">
        <v>97.065999999999988</v>
      </c>
      <c r="AA212" s="5">
        <f t="shared" si="13"/>
        <v>67.204004000000012</v>
      </c>
    </row>
    <row r="213" spans="2:27" x14ac:dyDescent="0.35">
      <c r="B213" s="3">
        <v>44085</v>
      </c>
      <c r="C213" s="2">
        <v>212</v>
      </c>
      <c r="D213" s="1">
        <v>111.807106</v>
      </c>
      <c r="E213" s="2">
        <v>180860300</v>
      </c>
      <c r="F213" s="1">
        <v>166.449997</v>
      </c>
      <c r="G213" s="2">
        <v>2116700</v>
      </c>
      <c r="K213" s="1">
        <v>111.807106</v>
      </c>
      <c r="L213" s="5">
        <f t="shared" si="11"/>
        <v>72.620399999999989</v>
      </c>
      <c r="Q213" s="1">
        <v>166.449997</v>
      </c>
      <c r="R213" s="5">
        <f t="shared" si="10"/>
        <v>96.638599999999997</v>
      </c>
      <c r="U213" s="1">
        <v>111.807106</v>
      </c>
      <c r="V213" s="5">
        <v>72.620399999999989</v>
      </c>
      <c r="W213" s="5">
        <f t="shared" si="12"/>
        <v>39.186706000000015</v>
      </c>
      <c r="Y213" s="1">
        <v>166.449997</v>
      </c>
      <c r="Z213" s="5">
        <v>96.638599999999997</v>
      </c>
      <c r="AA213" s="5">
        <f t="shared" si="13"/>
        <v>69.811396999999999</v>
      </c>
    </row>
    <row r="214" spans="2:27" x14ac:dyDescent="0.35">
      <c r="B214" s="3">
        <v>44088</v>
      </c>
      <c r="C214" s="2">
        <v>213</v>
      </c>
      <c r="D214" s="1">
        <v>115.161316</v>
      </c>
      <c r="E214" s="2">
        <v>140150100</v>
      </c>
      <c r="F214" s="1">
        <v>168.470001</v>
      </c>
      <c r="G214" s="2">
        <v>2134000</v>
      </c>
      <c r="K214" s="1">
        <v>115.161316</v>
      </c>
      <c r="L214" s="5">
        <f t="shared" si="11"/>
        <v>72.634099999999989</v>
      </c>
      <c r="Q214" s="1">
        <v>168.470001</v>
      </c>
      <c r="R214" s="5">
        <f t="shared" si="10"/>
        <v>96.211199999999991</v>
      </c>
      <c r="U214" s="1">
        <v>115.161316</v>
      </c>
      <c r="V214" s="5">
        <v>72.634099999999989</v>
      </c>
      <c r="W214" s="5">
        <f t="shared" si="12"/>
        <v>42.52721600000001</v>
      </c>
      <c r="Y214" s="1">
        <v>168.470001</v>
      </c>
      <c r="Z214" s="5">
        <v>96.211199999999991</v>
      </c>
      <c r="AA214" s="5">
        <f t="shared" si="13"/>
        <v>72.258801000000005</v>
      </c>
    </row>
    <row r="215" spans="2:27" x14ac:dyDescent="0.35">
      <c r="B215" s="3">
        <v>44089</v>
      </c>
      <c r="C215" s="2">
        <v>214</v>
      </c>
      <c r="D215" s="1">
        <v>115.34101099999999</v>
      </c>
      <c r="E215" s="2">
        <v>184642000</v>
      </c>
      <c r="F215" s="1">
        <v>168.300003</v>
      </c>
      <c r="G215" s="2">
        <v>1851200</v>
      </c>
      <c r="K215" s="1">
        <v>115.34101099999999</v>
      </c>
      <c r="L215" s="5">
        <f t="shared" si="11"/>
        <v>72.647799999999989</v>
      </c>
      <c r="Q215" s="1">
        <v>168.300003</v>
      </c>
      <c r="R215" s="5">
        <f t="shared" si="10"/>
        <v>95.783799999999999</v>
      </c>
      <c r="U215" s="1">
        <v>115.34101099999999</v>
      </c>
      <c r="V215" s="5">
        <v>72.647799999999989</v>
      </c>
      <c r="W215" s="5">
        <f t="shared" si="12"/>
        <v>42.693211000000005</v>
      </c>
      <c r="Y215" s="1">
        <v>168.300003</v>
      </c>
      <c r="Z215" s="5">
        <v>95.783799999999999</v>
      </c>
      <c r="AA215" s="5">
        <f t="shared" si="13"/>
        <v>72.516203000000004</v>
      </c>
    </row>
    <row r="216" spans="2:27" x14ac:dyDescent="0.35">
      <c r="B216" s="3">
        <v>44090</v>
      </c>
      <c r="C216" s="2">
        <v>215</v>
      </c>
      <c r="D216" s="1">
        <v>111.936882</v>
      </c>
      <c r="E216" s="2">
        <v>154679000</v>
      </c>
      <c r="F216" s="1">
        <v>170</v>
      </c>
      <c r="G216" s="2">
        <v>3152000</v>
      </c>
      <c r="K216" s="1">
        <v>111.936882</v>
      </c>
      <c r="L216" s="5">
        <f t="shared" si="11"/>
        <v>72.66149999999999</v>
      </c>
      <c r="Q216" s="1">
        <v>170</v>
      </c>
      <c r="R216" s="5">
        <f t="shared" si="10"/>
        <v>95.356399999999994</v>
      </c>
      <c r="U216" s="1">
        <v>111.936882</v>
      </c>
      <c r="V216" s="5">
        <v>72.66149999999999</v>
      </c>
      <c r="W216" s="5">
        <f t="shared" si="12"/>
        <v>39.275382000000008</v>
      </c>
      <c r="Y216" s="1">
        <v>170</v>
      </c>
      <c r="Z216" s="5">
        <v>95.356399999999994</v>
      </c>
      <c r="AA216" s="5">
        <f t="shared" si="13"/>
        <v>74.643600000000006</v>
      </c>
    </row>
    <row r="217" spans="2:27" x14ac:dyDescent="0.35">
      <c r="B217" s="3">
        <v>44091</v>
      </c>
      <c r="C217" s="2">
        <v>216</v>
      </c>
      <c r="D217" s="1">
        <v>110.149963</v>
      </c>
      <c r="E217" s="2">
        <v>178011000</v>
      </c>
      <c r="F217" s="1">
        <v>170.33999600000001</v>
      </c>
      <c r="G217" s="2">
        <v>2661400</v>
      </c>
      <c r="K217" s="1">
        <v>110.149963</v>
      </c>
      <c r="L217" s="5">
        <f t="shared" si="11"/>
        <v>72.67519999999999</v>
      </c>
      <c r="Q217" s="1">
        <v>170.33999600000001</v>
      </c>
      <c r="R217" s="5">
        <f t="shared" si="10"/>
        <v>94.928999999999988</v>
      </c>
      <c r="U217" s="1">
        <v>110.149963</v>
      </c>
      <c r="V217" s="5">
        <v>72.67519999999999</v>
      </c>
      <c r="W217" s="5">
        <f t="shared" si="12"/>
        <v>37.47476300000001</v>
      </c>
      <c r="Y217" s="1">
        <v>170.33999600000001</v>
      </c>
      <c r="Z217" s="5">
        <v>94.928999999999988</v>
      </c>
      <c r="AA217" s="5">
        <f t="shared" si="13"/>
        <v>75.410996000000026</v>
      </c>
    </row>
    <row r="218" spans="2:27" x14ac:dyDescent="0.35">
      <c r="B218" s="3">
        <v>44092</v>
      </c>
      <c r="C218" s="2">
        <v>217</v>
      </c>
      <c r="D218" s="1">
        <v>106.655991</v>
      </c>
      <c r="E218" s="2">
        <v>287104900</v>
      </c>
      <c r="F218" s="1">
        <v>168.699997</v>
      </c>
      <c r="G218" s="2">
        <v>4908000</v>
      </c>
      <c r="K218" s="1">
        <v>106.655991</v>
      </c>
      <c r="L218" s="5">
        <f t="shared" si="11"/>
        <v>72.68889999999999</v>
      </c>
      <c r="Q218" s="1">
        <v>168.699997</v>
      </c>
      <c r="R218" s="5">
        <f t="shared" si="10"/>
        <v>94.501599999999996</v>
      </c>
      <c r="U218" s="1">
        <v>106.655991</v>
      </c>
      <c r="V218" s="5">
        <v>72.68889999999999</v>
      </c>
      <c r="W218" s="5">
        <f t="shared" si="12"/>
        <v>33.967091000000011</v>
      </c>
      <c r="Y218" s="1">
        <v>168.699997</v>
      </c>
      <c r="Z218" s="5">
        <v>94.501599999999996</v>
      </c>
      <c r="AA218" s="5">
        <f t="shared" si="13"/>
        <v>74.198397</v>
      </c>
    </row>
    <row r="219" spans="2:27" x14ac:dyDescent="0.35">
      <c r="B219" s="3">
        <v>44095</v>
      </c>
      <c r="C219" s="2">
        <v>218</v>
      </c>
      <c r="D219" s="1">
        <v>109.890411</v>
      </c>
      <c r="E219" s="2">
        <v>195713800</v>
      </c>
      <c r="F219" s="1">
        <v>161.36999499999999</v>
      </c>
      <c r="G219" s="2">
        <v>4459600</v>
      </c>
      <c r="K219" s="1">
        <v>109.890411</v>
      </c>
      <c r="L219" s="5">
        <f t="shared" si="11"/>
        <v>72.70259999999999</v>
      </c>
      <c r="Q219" s="1">
        <v>161.36999499999999</v>
      </c>
      <c r="R219" s="5">
        <f t="shared" si="10"/>
        <v>94.07419999999999</v>
      </c>
      <c r="U219" s="1">
        <v>109.890411</v>
      </c>
      <c r="V219" s="5">
        <v>72.70259999999999</v>
      </c>
      <c r="W219" s="5">
        <f t="shared" si="12"/>
        <v>37.187811000000011</v>
      </c>
      <c r="Y219" s="1">
        <v>161.36999499999999</v>
      </c>
      <c r="Z219" s="5">
        <v>94.07419999999999</v>
      </c>
      <c r="AA219" s="5">
        <f t="shared" si="13"/>
        <v>67.295794999999998</v>
      </c>
    </row>
    <row r="220" spans="2:27" x14ac:dyDescent="0.35">
      <c r="B220" s="3">
        <v>44096</v>
      </c>
      <c r="C220" s="2">
        <v>219</v>
      </c>
      <c r="D220" s="1">
        <v>111.61743199999999</v>
      </c>
      <c r="E220" s="2">
        <v>183055400</v>
      </c>
      <c r="F220" s="1">
        <v>162.679993</v>
      </c>
      <c r="G220" s="2">
        <v>2501000</v>
      </c>
      <c r="K220" s="1">
        <v>111.61743199999999</v>
      </c>
      <c r="L220" s="5">
        <f t="shared" si="11"/>
        <v>72.71629999999999</v>
      </c>
      <c r="Q220" s="1">
        <v>162.679993</v>
      </c>
      <c r="R220" s="5">
        <f t="shared" si="10"/>
        <v>93.646799999999999</v>
      </c>
      <c r="U220" s="1">
        <v>111.61743199999999</v>
      </c>
      <c r="V220" s="5">
        <v>72.71629999999999</v>
      </c>
      <c r="W220" s="5">
        <f t="shared" si="12"/>
        <v>38.901132000000004</v>
      </c>
      <c r="Y220" s="1">
        <v>162.679993</v>
      </c>
      <c r="Z220" s="5">
        <v>93.646799999999999</v>
      </c>
      <c r="AA220" s="5">
        <f t="shared" si="13"/>
        <v>69.033192999999997</v>
      </c>
    </row>
    <row r="221" spans="2:27" x14ac:dyDescent="0.35">
      <c r="B221" s="3">
        <v>44097</v>
      </c>
      <c r="C221" s="2">
        <v>220</v>
      </c>
      <c r="D221" s="1">
        <v>106.935509</v>
      </c>
      <c r="E221" s="2">
        <v>150718700</v>
      </c>
      <c r="F221" s="1">
        <v>158.78999300000001</v>
      </c>
      <c r="G221" s="2">
        <v>2507600</v>
      </c>
      <c r="K221" s="1">
        <v>106.935509</v>
      </c>
      <c r="L221" s="5">
        <f t="shared" si="11"/>
        <v>72.72999999999999</v>
      </c>
      <c r="Q221" s="1">
        <v>158.78999300000001</v>
      </c>
      <c r="R221" s="5">
        <f t="shared" si="10"/>
        <v>93.219399999999993</v>
      </c>
      <c r="U221" s="1">
        <v>106.935509</v>
      </c>
      <c r="V221" s="5">
        <v>72.72999999999999</v>
      </c>
      <c r="W221" s="5">
        <f t="shared" si="12"/>
        <v>34.205509000000006</v>
      </c>
      <c r="Y221" s="1">
        <v>158.78999300000001</v>
      </c>
      <c r="Z221" s="5">
        <v>93.219399999999993</v>
      </c>
      <c r="AA221" s="5">
        <f t="shared" si="13"/>
        <v>65.570593000000017</v>
      </c>
    </row>
    <row r="222" spans="2:27" x14ac:dyDescent="0.35">
      <c r="B222" s="3">
        <v>44098</v>
      </c>
      <c r="C222" s="2">
        <v>221</v>
      </c>
      <c r="D222" s="1">
        <v>108.033615</v>
      </c>
      <c r="E222" s="2">
        <v>167743300</v>
      </c>
      <c r="F222" s="1">
        <v>158.759995</v>
      </c>
      <c r="G222" s="2">
        <v>2238300</v>
      </c>
      <c r="K222" s="1">
        <v>108.033615</v>
      </c>
      <c r="L222" s="5">
        <f t="shared" si="11"/>
        <v>72.74369999999999</v>
      </c>
      <c r="Q222" s="1">
        <v>158.759995</v>
      </c>
      <c r="R222" s="5">
        <f t="shared" si="10"/>
        <v>92.791999999999987</v>
      </c>
      <c r="U222" s="1">
        <v>108.033615</v>
      </c>
      <c r="V222" s="5">
        <v>72.74369999999999</v>
      </c>
      <c r="W222" s="5">
        <f t="shared" si="12"/>
        <v>35.289915000000008</v>
      </c>
      <c r="Y222" s="1">
        <v>158.759995</v>
      </c>
      <c r="Z222" s="5">
        <v>92.791999999999987</v>
      </c>
      <c r="AA222" s="5">
        <f t="shared" si="13"/>
        <v>65.967995000000016</v>
      </c>
    </row>
    <row r="223" spans="2:27" x14ac:dyDescent="0.35">
      <c r="B223" s="3">
        <v>44099</v>
      </c>
      <c r="C223" s="2">
        <v>222</v>
      </c>
      <c r="D223" s="1">
        <v>112.086624</v>
      </c>
      <c r="E223" s="2">
        <v>149981400</v>
      </c>
      <c r="F223" s="1">
        <v>161.490005</v>
      </c>
      <c r="G223" s="2">
        <v>2593900</v>
      </c>
      <c r="K223" s="1">
        <v>112.086624</v>
      </c>
      <c r="L223" s="5">
        <f t="shared" si="11"/>
        <v>72.75739999999999</v>
      </c>
      <c r="Q223" s="1">
        <v>161.490005</v>
      </c>
      <c r="R223" s="5">
        <f t="shared" si="10"/>
        <v>92.364599999999996</v>
      </c>
      <c r="U223" s="1">
        <v>112.086624</v>
      </c>
      <c r="V223" s="5">
        <v>72.75739999999999</v>
      </c>
      <c r="W223" s="5">
        <f t="shared" si="12"/>
        <v>39.329224000000011</v>
      </c>
      <c r="Y223" s="1">
        <v>161.490005</v>
      </c>
      <c r="Z223" s="5">
        <v>92.364599999999996</v>
      </c>
      <c r="AA223" s="5">
        <f t="shared" si="13"/>
        <v>69.125405000000001</v>
      </c>
    </row>
    <row r="224" spans="2:27" x14ac:dyDescent="0.35">
      <c r="B224" s="3">
        <v>44102</v>
      </c>
      <c r="C224" s="2">
        <v>223</v>
      </c>
      <c r="D224" s="1">
        <v>114.76200900000001</v>
      </c>
      <c r="E224" s="2">
        <v>137672400</v>
      </c>
      <c r="F224" s="1">
        <v>164.63999899999999</v>
      </c>
      <c r="G224" s="2">
        <v>2512600</v>
      </c>
      <c r="K224" s="1">
        <v>114.76200900000001</v>
      </c>
      <c r="L224" s="5">
        <f t="shared" si="11"/>
        <v>72.77109999999999</v>
      </c>
      <c r="Q224" s="1">
        <v>164.63999899999999</v>
      </c>
      <c r="R224" s="5">
        <f t="shared" si="10"/>
        <v>91.93719999999999</v>
      </c>
      <c r="U224" s="1">
        <v>114.76200900000001</v>
      </c>
      <c r="V224" s="5">
        <v>72.77109999999999</v>
      </c>
      <c r="W224" s="5">
        <f t="shared" si="12"/>
        <v>41.990909000000016</v>
      </c>
      <c r="Y224" s="1">
        <v>164.63999899999999</v>
      </c>
      <c r="Z224" s="5">
        <v>91.93719999999999</v>
      </c>
      <c r="AA224" s="5">
        <f t="shared" si="13"/>
        <v>72.702798999999999</v>
      </c>
    </row>
    <row r="225" spans="2:27" x14ac:dyDescent="0.35">
      <c r="B225" s="3">
        <v>44103</v>
      </c>
      <c r="C225" s="2">
        <v>224</v>
      </c>
      <c r="D225" s="1">
        <v>113.893501</v>
      </c>
      <c r="E225" s="2">
        <v>99382200</v>
      </c>
      <c r="F225" s="1">
        <v>164.509995</v>
      </c>
      <c r="G225" s="2">
        <v>2169300</v>
      </c>
      <c r="K225" s="1">
        <v>113.893501</v>
      </c>
      <c r="L225" s="5">
        <f t="shared" si="11"/>
        <v>72.78479999999999</v>
      </c>
      <c r="Q225" s="1">
        <v>164.509995</v>
      </c>
      <c r="R225" s="5">
        <f t="shared" si="10"/>
        <v>91.509799999999998</v>
      </c>
      <c r="U225" s="1">
        <v>113.893501</v>
      </c>
      <c r="V225" s="5">
        <v>72.78479999999999</v>
      </c>
      <c r="W225" s="5">
        <f t="shared" si="12"/>
        <v>41.108701000000011</v>
      </c>
      <c r="Y225" s="1">
        <v>164.509995</v>
      </c>
      <c r="Z225" s="5">
        <v>91.509799999999998</v>
      </c>
      <c r="AA225" s="5">
        <f t="shared" si="13"/>
        <v>73.000195000000005</v>
      </c>
    </row>
    <row r="226" spans="2:27" x14ac:dyDescent="0.35">
      <c r="B226" s="3">
        <v>44104</v>
      </c>
      <c r="C226" s="2">
        <v>225</v>
      </c>
      <c r="D226" s="1">
        <v>115.610542</v>
      </c>
      <c r="E226" s="2">
        <v>142675200</v>
      </c>
      <c r="F226" s="1">
        <v>164.61000100000001</v>
      </c>
      <c r="G226" s="2">
        <v>2883400</v>
      </c>
      <c r="K226" s="1">
        <v>115.610542</v>
      </c>
      <c r="L226" s="5">
        <f t="shared" si="11"/>
        <v>72.79849999999999</v>
      </c>
      <c r="Q226" s="1">
        <v>164.61000100000001</v>
      </c>
      <c r="R226" s="5">
        <f t="shared" si="10"/>
        <v>91.082399999999993</v>
      </c>
      <c r="U226" s="1">
        <v>115.610542</v>
      </c>
      <c r="V226" s="5">
        <v>72.79849999999999</v>
      </c>
      <c r="W226" s="5">
        <f t="shared" si="12"/>
        <v>42.812042000000005</v>
      </c>
      <c r="Y226" s="1">
        <v>164.61000100000001</v>
      </c>
      <c r="Z226" s="5">
        <v>91.082399999999993</v>
      </c>
      <c r="AA226" s="5">
        <f t="shared" si="13"/>
        <v>73.527601000000018</v>
      </c>
    </row>
    <row r="227" spans="2:27" x14ac:dyDescent="0.35">
      <c r="B227" s="3">
        <v>44105</v>
      </c>
      <c r="C227" s="2">
        <v>226</v>
      </c>
      <c r="D227" s="1">
        <v>116.58886</v>
      </c>
      <c r="E227" s="2">
        <v>116120400</v>
      </c>
      <c r="F227" s="1">
        <v>163.679993</v>
      </c>
      <c r="G227" s="2">
        <v>2409300</v>
      </c>
      <c r="K227" s="1">
        <v>116.58886</v>
      </c>
      <c r="L227" s="5">
        <f t="shared" si="11"/>
        <v>72.81219999999999</v>
      </c>
      <c r="Q227" s="1">
        <v>163.679993</v>
      </c>
      <c r="R227" s="5">
        <f t="shared" si="10"/>
        <v>90.654999999999987</v>
      </c>
      <c r="U227" s="1">
        <v>116.58886</v>
      </c>
      <c r="V227" s="5">
        <v>72.81219999999999</v>
      </c>
      <c r="W227" s="5">
        <f t="shared" si="12"/>
        <v>43.776660000000007</v>
      </c>
      <c r="Y227" s="1">
        <v>163.679993</v>
      </c>
      <c r="Z227" s="5">
        <v>90.654999999999987</v>
      </c>
      <c r="AA227" s="5">
        <f t="shared" si="13"/>
        <v>73.024993000000009</v>
      </c>
    </row>
    <row r="228" spans="2:27" x14ac:dyDescent="0.35">
      <c r="B228" s="3">
        <v>44106</v>
      </c>
      <c r="C228" s="2">
        <v>227</v>
      </c>
      <c r="D228" s="1">
        <v>112.82534800000001</v>
      </c>
      <c r="E228" s="2">
        <v>144712000</v>
      </c>
      <c r="F228" s="1">
        <v>165.61000100000001</v>
      </c>
      <c r="G228" s="2">
        <v>2339900</v>
      </c>
      <c r="K228" s="1">
        <v>112.82534800000001</v>
      </c>
      <c r="L228" s="5">
        <f t="shared" si="11"/>
        <v>72.82589999999999</v>
      </c>
      <c r="Q228" s="1">
        <v>165.61000100000001</v>
      </c>
      <c r="R228" s="5">
        <f t="shared" si="10"/>
        <v>90.227599999999995</v>
      </c>
      <c r="U228" s="1">
        <v>112.82534800000001</v>
      </c>
      <c r="V228" s="5">
        <v>72.82589999999999</v>
      </c>
      <c r="W228" s="5">
        <f t="shared" si="12"/>
        <v>39.999448000000015</v>
      </c>
      <c r="Y228" s="1">
        <v>165.61000100000001</v>
      </c>
      <c r="Z228" s="5">
        <v>90.227599999999995</v>
      </c>
      <c r="AA228" s="5">
        <f t="shared" si="13"/>
        <v>75.382401000000016</v>
      </c>
    </row>
    <row r="229" spans="2:27" x14ac:dyDescent="0.35">
      <c r="B229" s="3">
        <v>44109</v>
      </c>
      <c r="C229" s="2">
        <v>228</v>
      </c>
      <c r="D229" s="1">
        <v>116.29935500000001</v>
      </c>
      <c r="E229" s="2">
        <v>106243800</v>
      </c>
      <c r="F229" s="1">
        <v>168.720001</v>
      </c>
      <c r="G229" s="2">
        <v>1750000</v>
      </c>
      <c r="K229" s="1">
        <v>116.29935500000001</v>
      </c>
      <c r="L229" s="5">
        <f t="shared" si="11"/>
        <v>72.83959999999999</v>
      </c>
      <c r="Q229" s="1">
        <v>168.720001</v>
      </c>
      <c r="R229" s="5">
        <f t="shared" si="10"/>
        <v>89.80019999999999</v>
      </c>
      <c r="U229" s="1">
        <v>116.29935500000001</v>
      </c>
      <c r="V229" s="5">
        <v>72.83959999999999</v>
      </c>
      <c r="W229" s="5">
        <f t="shared" si="12"/>
        <v>43.459755000000015</v>
      </c>
      <c r="Y229" s="1">
        <v>168.720001</v>
      </c>
      <c r="Z229" s="5">
        <v>89.80019999999999</v>
      </c>
      <c r="AA229" s="5">
        <f t="shared" si="13"/>
        <v>78.919801000000007</v>
      </c>
    </row>
    <row r="230" spans="2:27" x14ac:dyDescent="0.35">
      <c r="B230" s="3">
        <v>44110</v>
      </c>
      <c r="C230" s="2">
        <v>229</v>
      </c>
      <c r="D230" s="1">
        <v>112.96511099999999</v>
      </c>
      <c r="E230" s="2">
        <v>161498200</v>
      </c>
      <c r="F230" s="1">
        <v>166.88999899999999</v>
      </c>
      <c r="G230" s="2">
        <v>2345800</v>
      </c>
      <c r="K230" s="1">
        <v>112.96511099999999</v>
      </c>
      <c r="L230" s="5">
        <f t="shared" si="11"/>
        <v>72.85329999999999</v>
      </c>
      <c r="Q230" s="1">
        <v>166.88999899999999</v>
      </c>
      <c r="R230" s="5">
        <f t="shared" si="10"/>
        <v>89.372799999999998</v>
      </c>
      <c r="U230" s="1">
        <v>112.96511099999999</v>
      </c>
      <c r="V230" s="5">
        <v>72.85329999999999</v>
      </c>
      <c r="W230" s="5">
        <f t="shared" si="12"/>
        <v>40.111811000000003</v>
      </c>
      <c r="Y230" s="1">
        <v>166.88999899999999</v>
      </c>
      <c r="Z230" s="5">
        <v>89.372799999999998</v>
      </c>
      <c r="AA230" s="5">
        <f t="shared" si="13"/>
        <v>77.517198999999991</v>
      </c>
    </row>
    <row r="231" spans="2:27" x14ac:dyDescent="0.35">
      <c r="B231" s="3">
        <v>44111</v>
      </c>
      <c r="C231" s="2">
        <v>230</v>
      </c>
      <c r="D231" s="1">
        <v>114.881805</v>
      </c>
      <c r="E231" s="2">
        <v>96849000</v>
      </c>
      <c r="F231" s="1">
        <v>171.550003</v>
      </c>
      <c r="G231" s="2">
        <v>2030200</v>
      </c>
      <c r="K231" s="1">
        <v>114.881805</v>
      </c>
      <c r="L231" s="5">
        <f t="shared" si="11"/>
        <v>72.86699999999999</v>
      </c>
      <c r="Q231" s="1">
        <v>171.550003</v>
      </c>
      <c r="R231" s="5">
        <f t="shared" ref="R231:R258" si="14">-0.4274*C230+186.82</f>
        <v>88.945399999999992</v>
      </c>
      <c r="U231" s="1">
        <v>114.881805</v>
      </c>
      <c r="V231" s="5">
        <v>72.86699999999999</v>
      </c>
      <c r="W231" s="5">
        <f t="shared" si="12"/>
        <v>42.01480500000001</v>
      </c>
      <c r="Y231" s="1">
        <v>171.550003</v>
      </c>
      <c r="Z231" s="5">
        <v>88.945399999999992</v>
      </c>
      <c r="AA231" s="5">
        <f t="shared" si="13"/>
        <v>82.604603000000012</v>
      </c>
    </row>
    <row r="232" spans="2:27" x14ac:dyDescent="0.35">
      <c r="B232" s="3">
        <v>44112</v>
      </c>
      <c r="C232" s="2">
        <v>231</v>
      </c>
      <c r="D232" s="1">
        <v>114.77198799999999</v>
      </c>
      <c r="E232" s="2">
        <v>83477200</v>
      </c>
      <c r="F232" s="1">
        <v>173.779999</v>
      </c>
      <c r="G232" s="2">
        <v>1977900</v>
      </c>
      <c r="K232" s="1">
        <v>114.77198799999999</v>
      </c>
      <c r="L232" s="5">
        <f t="shared" ref="L232:L258" si="15">0.0137*C232+69.716</f>
        <v>72.88069999999999</v>
      </c>
      <c r="Q232" s="1">
        <v>173.779999</v>
      </c>
      <c r="R232" s="5">
        <f t="shared" si="14"/>
        <v>88.517999999999986</v>
      </c>
      <c r="U232" s="1">
        <v>114.77198799999999</v>
      </c>
      <c r="V232" s="5">
        <v>72.88069999999999</v>
      </c>
      <c r="W232" s="5">
        <f t="shared" si="12"/>
        <v>41.891288000000003</v>
      </c>
      <c r="Y232" s="1">
        <v>173.779999</v>
      </c>
      <c r="Z232" s="5">
        <v>88.517999999999986</v>
      </c>
      <c r="AA232" s="5">
        <f t="shared" si="13"/>
        <v>85.261999000000017</v>
      </c>
    </row>
    <row r="233" spans="2:27" x14ac:dyDescent="0.35">
      <c r="B233" s="3">
        <v>44113</v>
      </c>
      <c r="C233" s="2">
        <v>232</v>
      </c>
      <c r="D233" s="1">
        <v>116.768547</v>
      </c>
      <c r="E233" s="2">
        <v>100506900</v>
      </c>
      <c r="F233" s="1">
        <v>174.38000500000001</v>
      </c>
      <c r="G233" s="2">
        <v>2636900</v>
      </c>
      <c r="K233" s="1">
        <v>116.768547</v>
      </c>
      <c r="L233" s="5">
        <f t="shared" si="15"/>
        <v>72.89439999999999</v>
      </c>
      <c r="Q233" s="1">
        <v>174.38000500000001</v>
      </c>
      <c r="R233" s="5">
        <f t="shared" si="14"/>
        <v>88.090599999999995</v>
      </c>
      <c r="U233" s="1">
        <v>116.768547</v>
      </c>
      <c r="V233" s="5">
        <v>72.89439999999999</v>
      </c>
      <c r="W233" s="5">
        <f t="shared" si="12"/>
        <v>43.874147000000008</v>
      </c>
      <c r="Y233" s="1">
        <v>174.38000500000001</v>
      </c>
      <c r="Z233" s="5">
        <v>88.090599999999995</v>
      </c>
      <c r="AA233" s="5">
        <f t="shared" si="13"/>
        <v>86.289405000000016</v>
      </c>
    </row>
    <row r="234" spans="2:27" x14ac:dyDescent="0.35">
      <c r="B234" s="3">
        <v>44116</v>
      </c>
      <c r="C234" s="2">
        <v>233</v>
      </c>
      <c r="D234" s="1">
        <v>124.18575300000001</v>
      </c>
      <c r="E234" s="2">
        <v>240226800</v>
      </c>
      <c r="F234" s="1">
        <v>175.36000100000001</v>
      </c>
      <c r="G234" s="2">
        <v>3396300</v>
      </c>
      <c r="K234" s="1">
        <v>124.18575300000001</v>
      </c>
      <c r="L234" s="5">
        <f t="shared" si="15"/>
        <v>72.90809999999999</v>
      </c>
      <c r="Q234" s="1">
        <v>175.36000100000001</v>
      </c>
      <c r="R234" s="5">
        <f t="shared" si="14"/>
        <v>87.663199999999989</v>
      </c>
      <c r="U234" s="1">
        <v>124.18575300000001</v>
      </c>
      <c r="V234" s="5">
        <v>72.90809999999999</v>
      </c>
      <c r="W234" s="5">
        <f t="shared" si="12"/>
        <v>51.277653000000015</v>
      </c>
      <c r="Y234" s="1">
        <v>175.36000100000001</v>
      </c>
      <c r="Z234" s="5">
        <v>87.663199999999989</v>
      </c>
      <c r="AA234" s="5">
        <f t="shared" si="13"/>
        <v>87.696801000000022</v>
      </c>
    </row>
    <row r="235" spans="2:27" x14ac:dyDescent="0.35">
      <c r="B235" s="3">
        <v>44117</v>
      </c>
      <c r="C235" s="2">
        <v>234</v>
      </c>
      <c r="D235" s="1">
        <v>120.891434</v>
      </c>
      <c r="E235" s="2">
        <v>262330500</v>
      </c>
      <c r="F235" s="1">
        <v>171.550003</v>
      </c>
      <c r="G235" s="2">
        <v>2315300</v>
      </c>
      <c r="K235" s="1">
        <v>120.891434</v>
      </c>
      <c r="L235" s="5">
        <f t="shared" si="15"/>
        <v>72.92179999999999</v>
      </c>
      <c r="Q235" s="1">
        <v>171.550003</v>
      </c>
      <c r="R235" s="5">
        <f t="shared" si="14"/>
        <v>87.235799999999998</v>
      </c>
      <c r="U235" s="1">
        <v>120.891434</v>
      </c>
      <c r="V235" s="5">
        <v>72.92179999999999</v>
      </c>
      <c r="W235" s="5">
        <f t="shared" si="12"/>
        <v>47.969634000000013</v>
      </c>
      <c r="Y235" s="1">
        <v>171.550003</v>
      </c>
      <c r="Z235" s="5">
        <v>87.235799999999998</v>
      </c>
      <c r="AA235" s="5">
        <f t="shared" si="13"/>
        <v>84.314203000000006</v>
      </c>
    </row>
    <row r="236" spans="2:27" x14ac:dyDescent="0.35">
      <c r="B236" s="3">
        <v>44118</v>
      </c>
      <c r="C236" s="2">
        <v>235</v>
      </c>
      <c r="D236" s="1">
        <v>120.98127700000001</v>
      </c>
      <c r="E236" s="2">
        <v>151062300</v>
      </c>
      <c r="F236" s="1">
        <v>173.470001</v>
      </c>
      <c r="G236" s="2">
        <v>2386400</v>
      </c>
      <c r="K236" s="1">
        <v>120.98127700000001</v>
      </c>
      <c r="L236" s="5">
        <f t="shared" si="15"/>
        <v>72.93549999999999</v>
      </c>
      <c r="Q236" s="1">
        <v>173.470001</v>
      </c>
      <c r="R236" s="5">
        <f t="shared" si="14"/>
        <v>86.808399999999992</v>
      </c>
      <c r="U236" s="1">
        <v>120.98127700000001</v>
      </c>
      <c r="V236" s="5">
        <v>72.93549999999999</v>
      </c>
      <c r="W236" s="5">
        <f t="shared" si="12"/>
        <v>48.045777000000015</v>
      </c>
      <c r="Y236" s="1">
        <v>173.470001</v>
      </c>
      <c r="Z236" s="5">
        <v>86.808399999999992</v>
      </c>
      <c r="AA236" s="5">
        <f t="shared" si="13"/>
        <v>86.661601000000005</v>
      </c>
    </row>
    <row r="237" spans="2:27" x14ac:dyDescent="0.35">
      <c r="B237" s="3">
        <v>44119</v>
      </c>
      <c r="C237" s="2">
        <v>236</v>
      </c>
      <c r="D237" s="1">
        <v>120.502106</v>
      </c>
      <c r="E237" s="2">
        <v>112559200</v>
      </c>
      <c r="F237" s="1">
        <v>172.61000100000001</v>
      </c>
      <c r="G237" s="2">
        <v>2436600</v>
      </c>
      <c r="K237" s="1">
        <v>120.502106</v>
      </c>
      <c r="L237" s="5">
        <f t="shared" si="15"/>
        <v>72.94919999999999</v>
      </c>
      <c r="Q237" s="1">
        <v>172.61000100000001</v>
      </c>
      <c r="R237" s="5">
        <f t="shared" si="14"/>
        <v>86.380999999999986</v>
      </c>
      <c r="U237" s="1">
        <v>120.502106</v>
      </c>
      <c r="V237" s="5">
        <v>72.94919999999999</v>
      </c>
      <c r="W237" s="5">
        <f t="shared" si="12"/>
        <v>47.552906000000007</v>
      </c>
      <c r="Y237" s="1">
        <v>172.61000100000001</v>
      </c>
      <c r="Z237" s="5">
        <v>86.380999999999986</v>
      </c>
      <c r="AA237" s="5">
        <f t="shared" si="13"/>
        <v>86.229001000000025</v>
      </c>
    </row>
    <row r="238" spans="2:27" x14ac:dyDescent="0.35">
      <c r="B238" s="3">
        <v>44120</v>
      </c>
      <c r="C238" s="2">
        <v>237</v>
      </c>
      <c r="D238" s="1">
        <v>118.81501</v>
      </c>
      <c r="E238" s="2">
        <v>115393800</v>
      </c>
      <c r="F238" s="1">
        <v>174.86000100000001</v>
      </c>
      <c r="G238" s="2">
        <v>3628800</v>
      </c>
      <c r="K238" s="1">
        <v>118.81501</v>
      </c>
      <c r="L238" s="5">
        <f t="shared" si="15"/>
        <v>72.962899999999991</v>
      </c>
      <c r="Q238" s="1">
        <v>174.86000100000001</v>
      </c>
      <c r="R238" s="5">
        <f t="shared" si="14"/>
        <v>85.953599999999994</v>
      </c>
      <c r="U238" s="1">
        <v>118.81501</v>
      </c>
      <c r="V238" s="5">
        <v>72.962899999999991</v>
      </c>
      <c r="W238" s="5">
        <f t="shared" si="12"/>
        <v>45.85211000000001</v>
      </c>
      <c r="Y238" s="1">
        <v>174.86000100000001</v>
      </c>
      <c r="Z238" s="5">
        <v>85.953599999999994</v>
      </c>
      <c r="AA238" s="5">
        <f t="shared" si="13"/>
        <v>88.906401000000017</v>
      </c>
    </row>
    <row r="239" spans="2:27" x14ac:dyDescent="0.35">
      <c r="B239" s="3">
        <v>44123</v>
      </c>
      <c r="C239" s="2">
        <v>238</v>
      </c>
      <c r="D239" s="1">
        <v>115.78025100000001</v>
      </c>
      <c r="E239" s="2">
        <v>120639300</v>
      </c>
      <c r="F239" s="1">
        <v>171.58999600000001</v>
      </c>
      <c r="G239" s="2">
        <v>2103500</v>
      </c>
      <c r="K239" s="1">
        <v>115.78025100000001</v>
      </c>
      <c r="L239" s="5">
        <f t="shared" si="15"/>
        <v>72.976599999999991</v>
      </c>
      <c r="Q239" s="1">
        <v>171.58999600000001</v>
      </c>
      <c r="R239" s="5">
        <f t="shared" si="14"/>
        <v>85.526199999999989</v>
      </c>
      <c r="U239" s="1">
        <v>115.78025100000001</v>
      </c>
      <c r="V239" s="5">
        <v>72.976599999999991</v>
      </c>
      <c r="W239" s="5">
        <f t="shared" si="12"/>
        <v>42.803651000000016</v>
      </c>
      <c r="Y239" s="1">
        <v>171.58999600000001</v>
      </c>
      <c r="Z239" s="5">
        <v>85.526199999999989</v>
      </c>
      <c r="AA239" s="5">
        <f t="shared" si="13"/>
        <v>86.063796000000025</v>
      </c>
    </row>
    <row r="240" spans="2:27" x14ac:dyDescent="0.35">
      <c r="B240" s="3">
        <v>44124</v>
      </c>
      <c r="C240" s="2">
        <v>239</v>
      </c>
      <c r="D240" s="1">
        <v>117.30761699999999</v>
      </c>
      <c r="E240" s="2">
        <v>124423700</v>
      </c>
      <c r="F240" s="1">
        <v>173.259995</v>
      </c>
      <c r="G240" s="2">
        <v>1580300</v>
      </c>
      <c r="K240" s="1">
        <v>117.30761699999999</v>
      </c>
      <c r="L240" s="5">
        <f t="shared" si="15"/>
        <v>72.990299999999991</v>
      </c>
      <c r="Q240" s="1">
        <v>173.259995</v>
      </c>
      <c r="R240" s="5">
        <f t="shared" si="14"/>
        <v>85.098799999999997</v>
      </c>
      <c r="U240" s="1">
        <v>117.30761699999999</v>
      </c>
      <c r="V240" s="5">
        <v>72.990299999999991</v>
      </c>
      <c r="W240" s="5">
        <f t="shared" si="12"/>
        <v>44.317317000000003</v>
      </c>
      <c r="Y240" s="1">
        <v>173.259995</v>
      </c>
      <c r="Z240" s="5">
        <v>85.098799999999997</v>
      </c>
      <c r="AA240" s="5">
        <f t="shared" si="13"/>
        <v>88.161195000000006</v>
      </c>
    </row>
    <row r="241" spans="2:27" x14ac:dyDescent="0.35">
      <c r="B241" s="3">
        <v>44125</v>
      </c>
      <c r="C241" s="2">
        <v>240</v>
      </c>
      <c r="D241" s="1">
        <v>116.668724</v>
      </c>
      <c r="E241" s="2">
        <v>89946000</v>
      </c>
      <c r="F241" s="1">
        <v>172.86999499999999</v>
      </c>
      <c r="G241" s="2">
        <v>1827000</v>
      </c>
      <c r="K241" s="1">
        <v>116.668724</v>
      </c>
      <c r="L241" s="5">
        <f t="shared" si="15"/>
        <v>73.003999999999991</v>
      </c>
      <c r="Q241" s="1">
        <v>172.86999499999999</v>
      </c>
      <c r="R241" s="5">
        <f t="shared" si="14"/>
        <v>84.671399999999991</v>
      </c>
      <c r="U241" s="1">
        <v>116.668724</v>
      </c>
      <c r="V241" s="5">
        <v>73.003999999999991</v>
      </c>
      <c r="W241" s="5">
        <f t="shared" si="12"/>
        <v>43.664724000000007</v>
      </c>
      <c r="Y241" s="1">
        <v>172.86999499999999</v>
      </c>
      <c r="Z241" s="5">
        <v>84.671399999999991</v>
      </c>
      <c r="AA241" s="5">
        <f t="shared" si="13"/>
        <v>88.198594999999997</v>
      </c>
    </row>
    <row r="242" spans="2:27" x14ac:dyDescent="0.35">
      <c r="B242" s="3">
        <v>44126</v>
      </c>
      <c r="C242" s="2">
        <v>241</v>
      </c>
      <c r="D242" s="1">
        <v>115.55064400000001</v>
      </c>
      <c r="E242" s="2">
        <v>101988000</v>
      </c>
      <c r="F242" s="1">
        <v>176.85000600000001</v>
      </c>
      <c r="G242" s="2">
        <v>1882100</v>
      </c>
      <c r="K242" s="1">
        <v>115.55064400000001</v>
      </c>
      <c r="L242" s="5">
        <f t="shared" si="15"/>
        <v>73.017699999999991</v>
      </c>
      <c r="Q242" s="1">
        <v>176.85000600000001</v>
      </c>
      <c r="R242" s="5">
        <f t="shared" si="14"/>
        <v>84.244</v>
      </c>
      <c r="U242" s="1">
        <v>115.55064400000001</v>
      </c>
      <c r="V242" s="5">
        <v>73.017699999999991</v>
      </c>
      <c r="W242" s="5">
        <f t="shared" si="12"/>
        <v>42.532944000000015</v>
      </c>
      <c r="Y242" s="1">
        <v>176.85000600000001</v>
      </c>
      <c r="Z242" s="5">
        <v>84.244</v>
      </c>
      <c r="AA242" s="5">
        <f t="shared" si="13"/>
        <v>92.606006000000008</v>
      </c>
    </row>
    <row r="243" spans="2:27" x14ac:dyDescent="0.35">
      <c r="B243" s="3">
        <v>44127</v>
      </c>
      <c r="C243" s="2">
        <v>242</v>
      </c>
      <c r="D243" s="1">
        <v>114.84187300000001</v>
      </c>
      <c r="E243" s="2">
        <v>82572600</v>
      </c>
      <c r="F243" s="1">
        <v>175.53999300000001</v>
      </c>
      <c r="G243" s="2">
        <v>1987900</v>
      </c>
      <c r="K243" s="1">
        <v>114.84187300000001</v>
      </c>
      <c r="L243" s="5">
        <f t="shared" si="15"/>
        <v>73.031399999999991</v>
      </c>
      <c r="Q243" s="1">
        <v>175.53999300000001</v>
      </c>
      <c r="R243" s="5">
        <f t="shared" si="14"/>
        <v>83.816599999999994</v>
      </c>
      <c r="U243" s="1">
        <v>114.84187300000001</v>
      </c>
      <c r="V243" s="5">
        <v>73.031399999999991</v>
      </c>
      <c r="W243" s="5">
        <f t="shared" si="12"/>
        <v>41.810473000000016</v>
      </c>
      <c r="Y243" s="1">
        <v>175.53999300000001</v>
      </c>
      <c r="Z243" s="5">
        <v>83.816599999999994</v>
      </c>
      <c r="AA243" s="5">
        <f t="shared" si="13"/>
        <v>91.723393000000016</v>
      </c>
    </row>
    <row r="244" spans="2:27" x14ac:dyDescent="0.35">
      <c r="B244" s="3">
        <v>44130</v>
      </c>
      <c r="C244" s="2">
        <v>243</v>
      </c>
      <c r="D244" s="1">
        <v>114.85185199999999</v>
      </c>
      <c r="E244" s="2">
        <v>111850700</v>
      </c>
      <c r="F244" s="1">
        <v>170.16999799999999</v>
      </c>
      <c r="G244" s="2">
        <v>2323700</v>
      </c>
      <c r="K244" s="1">
        <v>114.85185199999999</v>
      </c>
      <c r="L244" s="5">
        <f t="shared" si="15"/>
        <v>73.045099999999991</v>
      </c>
      <c r="Q244" s="1">
        <v>170.16999799999999</v>
      </c>
      <c r="R244" s="5">
        <f t="shared" si="14"/>
        <v>83.389199999999988</v>
      </c>
      <c r="U244" s="1">
        <v>114.85185199999999</v>
      </c>
      <c r="V244" s="5">
        <v>73.045099999999991</v>
      </c>
      <c r="W244" s="5">
        <f t="shared" si="12"/>
        <v>41.806752000000003</v>
      </c>
      <c r="Y244" s="1">
        <v>170.16999799999999</v>
      </c>
      <c r="Z244" s="5">
        <v>83.389199999999988</v>
      </c>
      <c r="AA244" s="5">
        <f t="shared" si="13"/>
        <v>86.780798000000004</v>
      </c>
    </row>
    <row r="245" spans="2:27" x14ac:dyDescent="0.35">
      <c r="B245" s="3">
        <v>44131</v>
      </c>
      <c r="C245" s="2">
        <v>244</v>
      </c>
      <c r="D245" s="1">
        <v>116.39917800000001</v>
      </c>
      <c r="E245" s="2">
        <v>92276800</v>
      </c>
      <c r="F245" s="1">
        <v>166.75</v>
      </c>
      <c r="G245" s="2">
        <v>2009300</v>
      </c>
      <c r="K245" s="1">
        <v>116.39917800000001</v>
      </c>
      <c r="L245" s="5">
        <f t="shared" si="15"/>
        <v>73.058799999999991</v>
      </c>
      <c r="Q245" s="1">
        <v>166.75</v>
      </c>
      <c r="R245" s="5">
        <f t="shared" si="14"/>
        <v>82.961799999999997</v>
      </c>
      <c r="U245" s="1">
        <v>116.39917800000001</v>
      </c>
      <c r="V245" s="5">
        <v>73.058799999999991</v>
      </c>
      <c r="W245" s="5">
        <f t="shared" si="12"/>
        <v>43.340378000000015</v>
      </c>
      <c r="Y245" s="1">
        <v>166.75</v>
      </c>
      <c r="Z245" s="5">
        <v>82.961799999999997</v>
      </c>
      <c r="AA245" s="5">
        <f t="shared" si="13"/>
        <v>83.788200000000003</v>
      </c>
    </row>
    <row r="246" spans="2:27" x14ac:dyDescent="0.35">
      <c r="B246" s="3">
        <v>44132</v>
      </c>
      <c r="C246" s="2">
        <v>245</v>
      </c>
      <c r="D246" s="1">
        <v>111.008476</v>
      </c>
      <c r="E246" s="2">
        <v>143937800</v>
      </c>
      <c r="F246" s="1">
        <v>161.16000399999999</v>
      </c>
      <c r="G246" s="2">
        <v>3233500</v>
      </c>
      <c r="K246" s="1">
        <v>111.008476</v>
      </c>
      <c r="L246" s="5">
        <f t="shared" si="15"/>
        <v>73.072499999999991</v>
      </c>
      <c r="Q246" s="1">
        <v>161.16000399999999</v>
      </c>
      <c r="R246" s="5">
        <f t="shared" si="14"/>
        <v>82.534399999999991</v>
      </c>
      <c r="U246" s="1">
        <v>111.008476</v>
      </c>
      <c r="V246" s="5">
        <v>73.072499999999991</v>
      </c>
      <c r="W246" s="5">
        <f t="shared" si="12"/>
        <v>37.935976000000011</v>
      </c>
      <c r="Y246" s="1">
        <v>161.16000399999999</v>
      </c>
      <c r="Z246" s="5">
        <v>82.534399999999991</v>
      </c>
      <c r="AA246" s="5">
        <f t="shared" si="13"/>
        <v>78.625603999999996</v>
      </c>
    </row>
    <row r="247" spans="2:27" x14ac:dyDescent="0.35">
      <c r="B247" s="3">
        <v>44133</v>
      </c>
      <c r="C247" s="2">
        <v>246</v>
      </c>
      <c r="D247" s="1">
        <v>115.12138400000001</v>
      </c>
      <c r="E247" s="2">
        <v>146129200</v>
      </c>
      <c r="F247" s="1">
        <v>164.60000600000001</v>
      </c>
      <c r="G247" s="2">
        <v>3113600</v>
      </c>
      <c r="K247" s="1">
        <v>115.12138400000001</v>
      </c>
      <c r="L247" s="5">
        <f t="shared" si="15"/>
        <v>73.086199999999991</v>
      </c>
      <c r="Q247" s="1">
        <v>164.60000600000001</v>
      </c>
      <c r="R247" s="5">
        <f t="shared" si="14"/>
        <v>82.106999999999999</v>
      </c>
      <c r="U247" s="1">
        <v>115.12138400000001</v>
      </c>
      <c r="V247" s="5">
        <v>73.086199999999991</v>
      </c>
      <c r="W247" s="5">
        <f t="shared" si="12"/>
        <v>42.035184000000015</v>
      </c>
      <c r="Y247" s="1">
        <v>164.60000600000001</v>
      </c>
      <c r="Z247" s="5">
        <v>82.106999999999999</v>
      </c>
      <c r="AA247" s="5">
        <f t="shared" si="13"/>
        <v>82.493006000000008</v>
      </c>
    </row>
    <row r="248" spans="2:27" x14ac:dyDescent="0.35">
      <c r="B248" s="3">
        <v>44134</v>
      </c>
      <c r="C248" s="2">
        <v>247</v>
      </c>
      <c r="D248" s="1">
        <v>108.672516</v>
      </c>
      <c r="E248" s="2">
        <v>190272600</v>
      </c>
      <c r="F248" s="1">
        <v>164.949997</v>
      </c>
      <c r="G248" s="2">
        <v>4389500</v>
      </c>
      <c r="K248" s="1">
        <v>108.672516</v>
      </c>
      <c r="L248" s="5">
        <f t="shared" si="15"/>
        <v>73.099899999999991</v>
      </c>
      <c r="Q248" s="1">
        <v>164.949997</v>
      </c>
      <c r="R248" s="5">
        <f t="shared" si="14"/>
        <v>81.679599999999994</v>
      </c>
      <c r="U248" s="1">
        <v>108.672516</v>
      </c>
      <c r="V248" s="5">
        <v>73.099899999999991</v>
      </c>
      <c r="W248" s="5">
        <f t="shared" si="12"/>
        <v>35.572616000000011</v>
      </c>
      <c r="Y248" s="1">
        <v>164.949997</v>
      </c>
      <c r="Z248" s="5">
        <v>81.679599999999994</v>
      </c>
      <c r="AA248" s="5">
        <f t="shared" si="13"/>
        <v>83.270397000000003</v>
      </c>
    </row>
    <row r="249" spans="2:27" x14ac:dyDescent="0.35">
      <c r="B249" s="3">
        <v>44137</v>
      </c>
      <c r="C249" s="2">
        <v>248</v>
      </c>
      <c r="D249" s="1">
        <v>108.58266399999999</v>
      </c>
      <c r="E249" s="2">
        <v>122866900</v>
      </c>
      <c r="F249" s="1">
        <v>173.61000100000001</v>
      </c>
      <c r="G249" s="2">
        <v>4198300</v>
      </c>
      <c r="K249" s="1">
        <v>108.58266399999999</v>
      </c>
      <c r="L249" s="5">
        <f t="shared" si="15"/>
        <v>73.113599999999991</v>
      </c>
      <c r="Q249" s="1">
        <v>173.61000100000001</v>
      </c>
      <c r="R249" s="5">
        <f t="shared" si="14"/>
        <v>81.252199999999988</v>
      </c>
      <c r="U249" s="1">
        <v>108.58266399999999</v>
      </c>
      <c r="V249" s="5">
        <v>73.113599999999991</v>
      </c>
      <c r="W249" s="5">
        <f t="shared" si="12"/>
        <v>35.469064000000003</v>
      </c>
      <c r="Y249" s="1">
        <v>173.61000100000001</v>
      </c>
      <c r="Z249" s="5">
        <v>81.252199999999988</v>
      </c>
      <c r="AA249" s="5">
        <f t="shared" si="13"/>
        <v>92.357801000000023</v>
      </c>
    </row>
    <row r="250" spans="2:27" x14ac:dyDescent="0.35">
      <c r="B250" s="3">
        <v>44138</v>
      </c>
      <c r="C250" s="2">
        <v>249</v>
      </c>
      <c r="D250" s="1">
        <v>110.24979399999999</v>
      </c>
      <c r="E250" s="2">
        <v>107624400</v>
      </c>
      <c r="F250" s="1">
        <v>179.21000699999999</v>
      </c>
      <c r="G250" s="2">
        <v>3719800</v>
      </c>
      <c r="K250" s="1">
        <v>110.24979399999999</v>
      </c>
      <c r="L250" s="5">
        <f t="shared" si="15"/>
        <v>73.127299999999991</v>
      </c>
      <c r="Q250" s="1">
        <v>179.21000699999999</v>
      </c>
      <c r="R250" s="5">
        <f t="shared" si="14"/>
        <v>80.824799999999996</v>
      </c>
      <c r="U250" s="1">
        <v>110.24979399999999</v>
      </c>
      <c r="V250" s="5">
        <v>73.127299999999991</v>
      </c>
      <c r="W250" s="5">
        <f t="shared" si="12"/>
        <v>37.122494000000003</v>
      </c>
      <c r="Y250" s="1">
        <v>179.21000699999999</v>
      </c>
      <c r="Z250" s="5">
        <v>80.824799999999996</v>
      </c>
      <c r="AA250" s="5">
        <f t="shared" si="13"/>
        <v>98.385206999999994</v>
      </c>
    </row>
    <row r="251" spans="2:27" x14ac:dyDescent="0.35">
      <c r="B251" s="3">
        <v>44139</v>
      </c>
      <c r="C251" s="2">
        <v>250</v>
      </c>
      <c r="D251" s="1">
        <v>114.752022</v>
      </c>
      <c r="E251" s="2">
        <v>138235500</v>
      </c>
      <c r="F251" s="1">
        <v>178.91000399999999</v>
      </c>
      <c r="G251" s="2">
        <v>4318600</v>
      </c>
      <c r="K251" s="1">
        <v>114.752022</v>
      </c>
      <c r="L251" s="5">
        <f t="shared" si="15"/>
        <v>73.140999999999991</v>
      </c>
      <c r="Q251" s="1">
        <v>178.91000399999999</v>
      </c>
      <c r="R251" s="5">
        <f t="shared" si="14"/>
        <v>80.39739999999999</v>
      </c>
      <c r="U251" s="1">
        <v>114.752022</v>
      </c>
      <c r="V251" s="5">
        <v>73.140999999999991</v>
      </c>
      <c r="W251" s="5">
        <f t="shared" si="12"/>
        <v>41.611022000000006</v>
      </c>
      <c r="Y251" s="1">
        <v>178.91000399999999</v>
      </c>
      <c r="Z251" s="5">
        <v>80.39739999999999</v>
      </c>
      <c r="AA251" s="5">
        <f t="shared" si="13"/>
        <v>98.512603999999996</v>
      </c>
    </row>
    <row r="252" spans="2:27" x14ac:dyDescent="0.35">
      <c r="B252" s="3">
        <v>44140</v>
      </c>
      <c r="C252" s="2">
        <v>251</v>
      </c>
      <c r="D252" s="1">
        <v>118.824997</v>
      </c>
      <c r="E252" s="2">
        <v>126387100</v>
      </c>
      <c r="F252" s="1">
        <v>183.279999</v>
      </c>
      <c r="G252" s="2">
        <v>4585100</v>
      </c>
      <c r="K252" s="1">
        <v>118.824997</v>
      </c>
      <c r="L252" s="5">
        <f t="shared" si="15"/>
        <v>73.154699999999991</v>
      </c>
      <c r="Q252" s="1">
        <v>183.279999</v>
      </c>
      <c r="R252" s="5">
        <f t="shared" si="14"/>
        <v>79.97</v>
      </c>
      <c r="U252" s="1">
        <v>118.824997</v>
      </c>
      <c r="V252" s="5">
        <v>73.154699999999991</v>
      </c>
      <c r="W252" s="5">
        <f t="shared" si="12"/>
        <v>45.670297000000005</v>
      </c>
      <c r="Y252" s="1">
        <v>183.279999</v>
      </c>
      <c r="Z252" s="5">
        <v>79.97</v>
      </c>
      <c r="AA252" s="5">
        <f t="shared" si="13"/>
        <v>103.309999</v>
      </c>
    </row>
    <row r="253" spans="2:27" ht="16" thickBot="1" x14ac:dyDescent="0.4">
      <c r="B253" s="3">
        <v>44141</v>
      </c>
      <c r="C253" s="2">
        <v>252</v>
      </c>
      <c r="D253" s="1">
        <v>118.69000200000001</v>
      </c>
      <c r="E253" s="2">
        <v>114283600</v>
      </c>
      <c r="F253" s="1">
        <v>184.270004</v>
      </c>
      <c r="G253" s="2">
        <v>3080300</v>
      </c>
      <c r="K253" s="1">
        <v>118.69000200000001</v>
      </c>
      <c r="L253" s="5">
        <f t="shared" si="15"/>
        <v>73.168399999999991</v>
      </c>
      <c r="Q253" s="1">
        <v>184.270004</v>
      </c>
      <c r="R253" s="5">
        <f t="shared" si="14"/>
        <v>79.542599999999993</v>
      </c>
      <c r="U253" s="1">
        <v>118.69000200000001</v>
      </c>
      <c r="V253" s="5">
        <v>73.168399999999991</v>
      </c>
      <c r="W253" s="5">
        <f t="shared" si="12"/>
        <v>45.521602000000016</v>
      </c>
      <c r="Y253" s="1">
        <v>184.270004</v>
      </c>
      <c r="Z253" s="5">
        <v>79.542599999999993</v>
      </c>
      <c r="AA253" s="5">
        <f t="shared" si="13"/>
        <v>104.72740400000001</v>
      </c>
    </row>
    <row r="254" spans="2:27" ht="16" thickBot="1" x14ac:dyDescent="0.4">
      <c r="B254" s="3">
        <v>44144</v>
      </c>
      <c r="C254" s="2">
        <v>253</v>
      </c>
      <c r="D254" s="4"/>
      <c r="E254" s="2"/>
      <c r="F254" s="4"/>
      <c r="G254" s="2"/>
      <c r="L254" s="5">
        <f t="shared" si="15"/>
        <v>73.182099999999991</v>
      </c>
      <c r="R254" s="5">
        <f t="shared" si="14"/>
        <v>79.115199999999987</v>
      </c>
      <c r="V254" s="5">
        <v>73.182099999999991</v>
      </c>
      <c r="W254" s="5">
        <f t="shared" si="12"/>
        <v>73.182099999999991</v>
      </c>
      <c r="Z254" s="5">
        <v>79.115199999999987</v>
      </c>
      <c r="AA254" s="5">
        <f t="shared" si="13"/>
        <v>79.115199999999987</v>
      </c>
    </row>
    <row r="255" spans="2:27" x14ac:dyDescent="0.35">
      <c r="B255" s="3">
        <v>44145</v>
      </c>
      <c r="C255" s="2">
        <v>254</v>
      </c>
      <c r="D255" s="2"/>
      <c r="E255" s="2"/>
      <c r="F255" s="2"/>
      <c r="G255" s="2"/>
      <c r="L255" s="5">
        <f t="shared" si="15"/>
        <v>73.195799999999991</v>
      </c>
      <c r="R255" s="5">
        <f t="shared" si="14"/>
        <v>78.687799999999996</v>
      </c>
      <c r="V255" s="5">
        <v>73.195799999999991</v>
      </c>
      <c r="W255" s="5">
        <f t="shared" si="12"/>
        <v>73.195799999999991</v>
      </c>
      <c r="Z255" s="5">
        <v>78.687799999999996</v>
      </c>
      <c r="AA255" s="5">
        <f t="shared" si="13"/>
        <v>78.687799999999996</v>
      </c>
    </row>
    <row r="256" spans="2:27" x14ac:dyDescent="0.35">
      <c r="B256" s="3">
        <v>44146</v>
      </c>
      <c r="C256" s="2">
        <v>255</v>
      </c>
      <c r="D256" s="2"/>
      <c r="E256" s="2"/>
      <c r="F256" s="2"/>
      <c r="G256" s="2"/>
      <c r="L256" s="5">
        <f>0.0137*C256+69.716</f>
        <v>73.209499999999991</v>
      </c>
      <c r="R256" s="5">
        <f t="shared" si="14"/>
        <v>78.26039999999999</v>
      </c>
      <c r="V256" s="5">
        <v>73.209499999999991</v>
      </c>
      <c r="W256" s="5">
        <f t="shared" si="12"/>
        <v>73.209499999999991</v>
      </c>
      <c r="Z256" s="5">
        <v>78.26039999999999</v>
      </c>
      <c r="AA256" s="5">
        <f t="shared" si="13"/>
        <v>78.26039999999999</v>
      </c>
    </row>
    <row r="257" spans="2:27" x14ac:dyDescent="0.35">
      <c r="B257" s="3">
        <v>44147</v>
      </c>
      <c r="C257" s="2">
        <v>256</v>
      </c>
      <c r="D257" s="2"/>
      <c r="E257" s="2"/>
      <c r="F257" s="2"/>
      <c r="G257" s="2"/>
      <c r="L257" s="5">
        <f t="shared" si="15"/>
        <v>73.223199999999991</v>
      </c>
      <c r="R257" s="5">
        <f t="shared" si="14"/>
        <v>77.832999999999998</v>
      </c>
      <c r="V257" s="5">
        <v>73.223199999999991</v>
      </c>
      <c r="W257" s="5">
        <f t="shared" si="12"/>
        <v>73.223199999999991</v>
      </c>
      <c r="Z257" s="5">
        <v>77.832999999999998</v>
      </c>
      <c r="AA257" s="5">
        <f t="shared" si="13"/>
        <v>77.832999999999998</v>
      </c>
    </row>
    <row r="258" spans="2:27" x14ac:dyDescent="0.35">
      <c r="B258" s="3">
        <v>44148</v>
      </c>
      <c r="C258" s="2">
        <v>257</v>
      </c>
      <c r="D258" s="2"/>
      <c r="E258" s="2"/>
      <c r="F258" s="2"/>
      <c r="G258" s="2"/>
      <c r="L258" s="5">
        <f t="shared" si="15"/>
        <v>73.236899999999991</v>
      </c>
      <c r="R258" s="5">
        <f t="shared" si="14"/>
        <v>77.405599999999993</v>
      </c>
      <c r="V258" s="5">
        <v>73.236899999999991</v>
      </c>
      <c r="W258" s="5">
        <f t="shared" si="12"/>
        <v>73.236899999999991</v>
      </c>
      <c r="Z258" s="5">
        <v>77.405599999999993</v>
      </c>
      <c r="AA258" s="5">
        <f t="shared" si="13"/>
        <v>77.405599999999993</v>
      </c>
    </row>
    <row r="260" spans="2:27" x14ac:dyDescent="0.35">
      <c r="K260" s="10"/>
      <c r="Q260" s="10"/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31B7-44CA-4406-8514-BD722485A2DE}">
  <sheetPr>
    <tabColor theme="7"/>
  </sheetPr>
  <dimension ref="A1:EF259"/>
  <sheetViews>
    <sheetView tabSelected="1" topLeftCell="BM1" zoomScale="92" zoomScaleNormal="92" workbookViewId="0">
      <selection activeCell="BU17" sqref="BU17"/>
    </sheetView>
  </sheetViews>
  <sheetFormatPr defaultRowHeight="15.5" x14ac:dyDescent="0.35"/>
  <cols>
    <col min="1" max="1" width="15.75" customWidth="1"/>
    <col min="2" max="2" width="9.4140625" customWidth="1"/>
    <col min="3" max="3" width="11.08203125" customWidth="1"/>
    <col min="4" max="4" width="16.25" customWidth="1"/>
    <col min="5" max="5" width="30.33203125" customWidth="1"/>
    <col min="6" max="6" width="11.25" customWidth="1"/>
    <col min="15" max="15" width="15.5" customWidth="1"/>
    <col min="16" max="16" width="10.5" customWidth="1"/>
    <col min="17" max="17" width="10.08203125" customWidth="1"/>
    <col min="18" max="18" width="11.25" customWidth="1"/>
    <col min="19" max="19" width="32.1640625" customWidth="1"/>
    <col min="20" max="20" width="11.08203125" customWidth="1"/>
    <col min="28" max="28" width="24.08203125" customWidth="1"/>
    <col min="29" max="29" width="12" customWidth="1"/>
    <col min="30" max="30" width="32.9140625" customWidth="1"/>
    <col min="31" max="31" width="24.08203125" customWidth="1"/>
    <col min="32" max="32" width="15.5" customWidth="1"/>
    <col min="39" max="39" width="13.08203125" customWidth="1"/>
    <col min="47" max="47" width="32.83203125" customWidth="1"/>
    <col min="59" max="59" width="30.9140625" customWidth="1"/>
    <col min="60" max="60" width="32.33203125" customWidth="1"/>
    <col min="61" max="61" width="44.25" customWidth="1"/>
    <col min="62" max="62" width="13.33203125" customWidth="1"/>
    <col min="64" max="64" width="12.1640625" customWidth="1"/>
    <col min="65" max="65" width="15.08203125" customWidth="1"/>
    <col min="74" max="74" width="27.4140625" customWidth="1"/>
    <col min="83" max="83" width="9" customWidth="1"/>
    <col min="85" max="85" width="19.1640625" customWidth="1"/>
    <col min="86" max="86" width="36.58203125" customWidth="1"/>
    <col min="87" max="87" width="23.4140625" customWidth="1"/>
    <col min="88" max="88" width="15.4140625" customWidth="1"/>
    <col min="90" max="90" width="15.5" customWidth="1"/>
    <col min="94" max="94" width="12.75" customWidth="1"/>
    <col min="101" max="101" width="36.08203125" customWidth="1"/>
    <col min="113" max="113" width="30.83203125" customWidth="1"/>
    <col min="115" max="115" width="36.5" customWidth="1"/>
    <col min="116" max="116" width="48.6640625" customWidth="1"/>
    <col min="119" max="119" width="10.5" customWidth="1"/>
    <col min="120" max="120" width="15.33203125" customWidth="1"/>
    <col min="130" max="130" width="21" customWidth="1"/>
    <col min="132" max="132" width="13.9140625" customWidth="1"/>
    <col min="133" max="133" width="11.5" customWidth="1"/>
    <col min="134" max="134" width="13.58203125" customWidth="1"/>
    <col min="135" max="135" width="14.9140625" customWidth="1"/>
    <col min="136" max="136" width="26.58203125" customWidth="1"/>
    <col min="138" max="138" width="13.25" customWidth="1"/>
    <col min="139" max="139" width="14.9140625" customWidth="1"/>
  </cols>
  <sheetData>
    <row r="1" spans="1:136" ht="16" thickBot="1" x14ac:dyDescent="0.4">
      <c r="A1" s="10" t="s">
        <v>32</v>
      </c>
      <c r="C1" s="2" t="s">
        <v>47</v>
      </c>
      <c r="D1" s="2" t="s">
        <v>0</v>
      </c>
      <c r="E1" s="2" t="s">
        <v>46</v>
      </c>
      <c r="F1" s="11" t="s">
        <v>48</v>
      </c>
      <c r="Q1" s="2" t="s">
        <v>47</v>
      </c>
      <c r="R1" s="2" t="s">
        <v>0</v>
      </c>
      <c r="S1" s="2" t="s">
        <v>49</v>
      </c>
      <c r="T1" s="10" t="s">
        <v>48</v>
      </c>
      <c r="AB1" s="10" t="s">
        <v>31</v>
      </c>
      <c r="AD1" t="s">
        <v>51</v>
      </c>
      <c r="AF1" t="s">
        <v>60</v>
      </c>
      <c r="AM1" t="s">
        <v>61</v>
      </c>
      <c r="AU1" t="s">
        <v>51</v>
      </c>
      <c r="BG1" t="s">
        <v>65</v>
      </c>
      <c r="BH1" t="s">
        <v>67</v>
      </c>
      <c r="BI1" t="s">
        <v>69</v>
      </c>
      <c r="BJ1" s="2"/>
      <c r="BK1" t="s">
        <v>70</v>
      </c>
      <c r="BL1" t="s">
        <v>71</v>
      </c>
      <c r="BM1" t="s">
        <v>72</v>
      </c>
      <c r="BV1" t="s">
        <v>76</v>
      </c>
      <c r="CG1" s="10" t="s">
        <v>10</v>
      </c>
      <c r="CH1" t="s">
        <v>73</v>
      </c>
      <c r="CJ1" t="s">
        <v>60</v>
      </c>
      <c r="CP1" t="s">
        <v>61</v>
      </c>
      <c r="CW1" t="s">
        <v>73</v>
      </c>
      <c r="CY1" s="14" t="s">
        <v>62</v>
      </c>
      <c r="CZ1" s="14" t="s">
        <v>64</v>
      </c>
      <c r="DI1" t="s">
        <v>65</v>
      </c>
      <c r="DK1" t="s">
        <v>74</v>
      </c>
      <c r="DL1" t="s">
        <v>75</v>
      </c>
      <c r="DM1" s="2"/>
      <c r="DN1" t="s">
        <v>70</v>
      </c>
      <c r="DO1" t="s">
        <v>71</v>
      </c>
      <c r="DP1" t="s">
        <v>72</v>
      </c>
      <c r="DY1" t="s">
        <v>76</v>
      </c>
    </row>
    <row r="2" spans="1:136" x14ac:dyDescent="0.35">
      <c r="C2" s="2">
        <v>1</v>
      </c>
      <c r="D2" s="3">
        <v>43777</v>
      </c>
      <c r="E2" s="1">
        <v>63.954543999999999</v>
      </c>
      <c r="F2" s="1">
        <f>$B$5*C2+$B$6</f>
        <v>55.816127702884415</v>
      </c>
      <c r="Q2" s="2">
        <v>1</v>
      </c>
      <c r="R2" s="3">
        <v>43777</v>
      </c>
      <c r="S2" s="1">
        <v>177.02937299999999</v>
      </c>
      <c r="T2" s="1">
        <f>$P$5*Q2+$P$6</f>
        <v>161.61830424681591</v>
      </c>
      <c r="AC2" s="5"/>
      <c r="AD2" s="5">
        <f>E2-F2</f>
        <v>8.1384162971155831</v>
      </c>
      <c r="AE2" t="s">
        <v>54</v>
      </c>
      <c r="AU2" s="5">
        <f>E2-F2</f>
        <v>8.1384162971155831</v>
      </c>
      <c r="AW2" s="14" t="s">
        <v>62</v>
      </c>
      <c r="AX2" s="14" t="s">
        <v>64</v>
      </c>
      <c r="BD2" s="14"/>
      <c r="BE2" s="14"/>
      <c r="BG2" t="s">
        <v>66</v>
      </c>
      <c r="BH2" s="5">
        <v>-22.689694223134076</v>
      </c>
      <c r="BI2">
        <f>STANDARDIZE(BH2,AVERAGE($BH$2:$BH$253),_xlfn.STDEV.S($BH$2:$BH$253))</f>
        <v>-2.3077608589739764</v>
      </c>
      <c r="BJ2" s="17"/>
      <c r="BK2">
        <v>1</v>
      </c>
      <c r="BL2">
        <f>(BK2-0.5)/252</f>
        <v>1.984126984126984E-3</v>
      </c>
      <c r="BM2" s="5">
        <f>_xlfn.NORM.S.INV(BL2)</f>
        <v>-2.8806743591110573</v>
      </c>
      <c r="BX2" t="s">
        <v>62</v>
      </c>
      <c r="BY2" t="s">
        <v>64</v>
      </c>
      <c r="BZ2" t="s">
        <v>86</v>
      </c>
      <c r="CA2" t="s">
        <v>87</v>
      </c>
      <c r="CB2" t="s">
        <v>88</v>
      </c>
      <c r="CD2" s="5"/>
      <c r="CH2" s="5">
        <f>S2-T2</f>
        <v>15.411068753184082</v>
      </c>
      <c r="CI2" t="s">
        <v>54</v>
      </c>
      <c r="CW2" s="5">
        <f>S2-T2</f>
        <v>15.411068753184082</v>
      </c>
      <c r="CY2" s="15">
        <v>-56.241709833011299</v>
      </c>
      <c r="CZ2" s="12">
        <v>1</v>
      </c>
      <c r="DI2" t="s">
        <v>66</v>
      </c>
      <c r="DK2" s="5">
        <v>-56.241709833011328</v>
      </c>
      <c r="DL2" s="5">
        <f>STANDARDIZE(DK2, AVERAGE(DK2:DK253),_xlfn.STDEV.S(DK2:DK253))</f>
        <v>-3.2977922856897961</v>
      </c>
      <c r="DN2">
        <v>1</v>
      </c>
      <c r="DO2" s="8">
        <f>(DN2-0.5)/252</f>
        <v>1.984126984126984E-3</v>
      </c>
      <c r="DP2">
        <f>_xlfn.NORM.S.INV(DO2)</f>
        <v>-2.8806743591110573</v>
      </c>
      <c r="EA2" t="s">
        <v>62</v>
      </c>
      <c r="EB2" t="s">
        <v>85</v>
      </c>
      <c r="EC2" t="s">
        <v>86</v>
      </c>
      <c r="ED2" t="s">
        <v>87</v>
      </c>
      <c r="EE2" t="s">
        <v>88</v>
      </c>
    </row>
    <row r="3" spans="1:136" x14ac:dyDescent="0.35">
      <c r="C3" s="2">
        <v>2</v>
      </c>
      <c r="D3" s="3">
        <v>43780</v>
      </c>
      <c r="E3" s="1">
        <v>64.460991000000007</v>
      </c>
      <c r="F3" s="1">
        <f t="shared" ref="F3:F66" si="0">$B$5*C3+$B$6</f>
        <v>56.059700071238808</v>
      </c>
      <c r="Q3" s="2">
        <v>2</v>
      </c>
      <c r="R3" s="3">
        <v>43780</v>
      </c>
      <c r="S3" s="1">
        <v>176.658142</v>
      </c>
      <c r="T3" s="1">
        <f t="shared" ref="T3:T66" si="1">$P$5*Q3+$P$6</f>
        <v>161.58691498952138</v>
      </c>
      <c r="AC3" s="5"/>
      <c r="AD3" s="5">
        <f t="shared" ref="AD3:AD66" si="2">E3-F3</f>
        <v>8.401290928761199</v>
      </c>
      <c r="AE3" t="s">
        <v>55</v>
      </c>
      <c r="AU3" s="5">
        <f t="shared" ref="AU3:AU66" si="3">E3-F3</f>
        <v>8.401290928761199</v>
      </c>
      <c r="AW3" s="15">
        <v>-22.689694223134076</v>
      </c>
      <c r="AX3" s="12">
        <v>1</v>
      </c>
      <c r="BD3" s="12"/>
      <c r="BE3" s="12"/>
      <c r="BH3" s="5">
        <v>-21.246006854779687</v>
      </c>
      <c r="BI3">
        <f>STANDARDIZE(BH3,AVERAGE($BH$2:$BH$253),_xlfn.STDEV.S($BH$2:$BH$253))</f>
        <v>-2.1625210026248771</v>
      </c>
      <c r="BK3">
        <f>BK2+1</f>
        <v>2</v>
      </c>
      <c r="BL3">
        <f t="shared" ref="BL3:BL66" si="4">(BK3-0.5)/252</f>
        <v>5.9523809523809521E-3</v>
      </c>
      <c r="BM3" s="5">
        <f t="shared" ref="BM3:BM66" si="5">_xlfn.NORM.S.INV(BL3)</f>
        <v>-2.514954877802527</v>
      </c>
      <c r="BX3">
        <v>-22.689694223134076</v>
      </c>
      <c r="BY3">
        <v>1</v>
      </c>
      <c r="BZ3" s="9">
        <f>BY3/252</f>
        <v>3.968253968253968E-3</v>
      </c>
      <c r="CA3" s="5">
        <f>(BX3-0.25)/9.94</f>
        <v>-2.3078163202348168</v>
      </c>
      <c r="CB3" s="5">
        <f>(BY3-CA3)^2/CA3</f>
        <v>-4.7411263680198381</v>
      </c>
      <c r="CC3" t="s">
        <v>108</v>
      </c>
      <c r="CD3" s="5"/>
      <c r="CH3" s="5">
        <f t="shared" ref="CH3:CH66" si="6">S3-T3</f>
        <v>15.071227010478623</v>
      </c>
      <c r="CI3" t="s">
        <v>55</v>
      </c>
      <c r="CW3" s="5">
        <f t="shared" ref="CW3:CW66" si="7">S3-T3</f>
        <v>15.071227010478623</v>
      </c>
      <c r="CY3" s="15">
        <v>-50.456902288536064</v>
      </c>
      <c r="CZ3" s="12">
        <v>0</v>
      </c>
      <c r="DK3" s="5">
        <v>-47.744550090305893</v>
      </c>
      <c r="DL3" s="5">
        <f t="shared" ref="DL3:DL66" si="8">STANDARDIZE(DK3, AVERAGE(DK3:DK254),_xlfn.STDEV.S(DK3:DK254))</f>
        <v>-2.8702049324364363</v>
      </c>
      <c r="DN3">
        <f>DN2+1</f>
        <v>2</v>
      </c>
      <c r="DO3" s="8">
        <f t="shared" ref="DO3:DO66" si="9">(DN3-0.5)/252</f>
        <v>5.9523809523809521E-3</v>
      </c>
      <c r="DP3">
        <f t="shared" ref="DP3:DP66" si="10">_xlfn.NORM.S.INV(DO3)</f>
        <v>-2.514954877802527</v>
      </c>
      <c r="EA3">
        <v>-56.241709833011299</v>
      </c>
      <c r="EB3">
        <v>1</v>
      </c>
      <c r="EC3">
        <v>4.0000000000000001E-3</v>
      </c>
      <c r="ED3">
        <v>4.0000000000000001E-3</v>
      </c>
      <c r="EE3" s="5">
        <f>(EB3-ED3)^2/ED3</f>
        <v>248.00399999999999</v>
      </c>
      <c r="EF3" t="s">
        <v>108</v>
      </c>
    </row>
    <row r="4" spans="1:136" x14ac:dyDescent="0.35">
      <c r="C4" s="2">
        <v>3</v>
      </c>
      <c r="D4" s="3">
        <v>43781</v>
      </c>
      <c r="E4" s="1">
        <v>64.401978</v>
      </c>
      <c r="F4" s="1">
        <f t="shared" si="0"/>
        <v>56.303272439593201</v>
      </c>
      <c r="Q4" s="2">
        <v>3</v>
      </c>
      <c r="R4" s="3">
        <v>43781</v>
      </c>
      <c r="S4" s="1">
        <v>177.810913</v>
      </c>
      <c r="T4" s="1">
        <f t="shared" si="1"/>
        <v>161.55552573222681</v>
      </c>
      <c r="AB4" t="s">
        <v>52</v>
      </c>
      <c r="AC4" s="5">
        <f>AVERAGE(AD2:AD253)</f>
        <v>0.24949950117908301</v>
      </c>
      <c r="AD4" s="5">
        <f t="shared" si="2"/>
        <v>8.098705560406799</v>
      </c>
      <c r="AE4" t="s">
        <v>56</v>
      </c>
      <c r="AU4" s="5">
        <f t="shared" si="3"/>
        <v>8.098705560406799</v>
      </c>
      <c r="AW4" s="15">
        <v>-19.280780798070495</v>
      </c>
      <c r="AX4" s="12">
        <v>4</v>
      </c>
      <c r="BD4" s="12"/>
      <c r="BE4" s="12"/>
      <c r="BH4" s="5">
        <v>-20.682672538323608</v>
      </c>
      <c r="BI4">
        <f>STANDARDIZE(BH4,AVERAGE($BH$2:$BH$253),_xlfn.STDEV.S($BH$2:$BH$253))</f>
        <v>-2.1058476556163339</v>
      </c>
      <c r="BJ4" s="16"/>
      <c r="BK4">
        <f t="shared" ref="BK4:BK67" si="11">BK3+1</f>
        <v>3</v>
      </c>
      <c r="BL4">
        <f t="shared" si="4"/>
        <v>9.9206349206349201E-3</v>
      </c>
      <c r="BM4" s="5">
        <f t="shared" si="5"/>
        <v>-2.3293360530619998</v>
      </c>
      <c r="BX4">
        <v>-19.280780798070495</v>
      </c>
      <c r="BY4">
        <v>4</v>
      </c>
      <c r="BZ4" s="9">
        <f t="shared" ref="BZ4:BZ18" si="12">BY4/252</f>
        <v>1.5873015873015872E-2</v>
      </c>
      <c r="CA4" s="5">
        <f t="shared" ref="CA4:CA17" si="13">(BX4-0.25)/9.94</f>
        <v>-1.9648672835080983</v>
      </c>
      <c r="CB4" s="5">
        <f t="shared" ref="CB4:CB18" si="14">(BY4-CA4)^2/CA4</f>
        <v>-18.107910904975199</v>
      </c>
      <c r="CC4" t="s">
        <v>90</v>
      </c>
      <c r="CD4" s="5"/>
      <c r="CH4" s="5">
        <f t="shared" si="6"/>
        <v>16.255387267773187</v>
      </c>
      <c r="CI4" t="s">
        <v>56</v>
      </c>
      <c r="CW4" s="5">
        <f t="shared" si="7"/>
        <v>16.255387267773187</v>
      </c>
      <c r="CY4" s="15">
        <v>-44.6720947440608</v>
      </c>
      <c r="CZ4" s="12">
        <v>1</v>
      </c>
      <c r="DK4" s="5">
        <v>-41.399275347600422</v>
      </c>
      <c r="DL4" s="5">
        <f t="shared" si="8"/>
        <v>-2.5393665102714245</v>
      </c>
      <c r="DN4">
        <f t="shared" ref="DN4:DN67" si="15">DN3+1</f>
        <v>3</v>
      </c>
      <c r="DO4" s="8">
        <f t="shared" si="9"/>
        <v>9.9206349206349201E-3</v>
      </c>
      <c r="DP4">
        <f t="shared" si="10"/>
        <v>-2.3293360530619998</v>
      </c>
      <c r="EA4">
        <v>-50.456902288536064</v>
      </c>
      <c r="EB4">
        <v>0</v>
      </c>
      <c r="EC4">
        <v>0</v>
      </c>
      <c r="ED4">
        <v>1.6000000000000001E-3</v>
      </c>
      <c r="EE4" s="5">
        <f t="shared" ref="EE4:EE18" si="16">(EB4-ED4)^2/ED4</f>
        <v>1.5999999999999999E-3</v>
      </c>
      <c r="EF4" t="s">
        <v>90</v>
      </c>
    </row>
    <row r="5" spans="1:136" x14ac:dyDescent="0.35">
      <c r="A5" t="s">
        <v>42</v>
      </c>
      <c r="B5" s="5">
        <f>SLOPE(E1:E252,C2:C253)</f>
        <v>0.24357236835439192</v>
      </c>
      <c r="C5" s="2">
        <v>4</v>
      </c>
      <c r="D5" s="3">
        <v>43782</v>
      </c>
      <c r="E5" s="1">
        <v>65.019051000000005</v>
      </c>
      <c r="F5" s="1">
        <f t="shared" si="0"/>
        <v>56.546844807947593</v>
      </c>
      <c r="O5" t="s">
        <v>42</v>
      </c>
      <c r="P5" s="5">
        <f>SLOPE(S2:S253,Q2:Q253)</f>
        <v>-3.1389257294555939E-2</v>
      </c>
      <c r="Q5" s="2">
        <v>4</v>
      </c>
      <c r="R5" s="3">
        <v>43782</v>
      </c>
      <c r="S5" s="1">
        <v>177.752319</v>
      </c>
      <c r="T5" s="1">
        <f t="shared" si="1"/>
        <v>161.52413647493225</v>
      </c>
      <c r="AB5" t="s">
        <v>53</v>
      </c>
      <c r="AC5" s="5">
        <f>_xlfn.STDEV.S(AD2:AD253)</f>
        <v>9.9400220066614082</v>
      </c>
      <c r="AD5" s="5">
        <f t="shared" si="2"/>
        <v>8.4722061920524112</v>
      </c>
      <c r="AE5" t="s">
        <v>57</v>
      </c>
      <c r="AU5" s="5">
        <f t="shared" si="3"/>
        <v>8.4722061920524112</v>
      </c>
      <c r="AW5" s="15">
        <v>-15.871867373006912</v>
      </c>
      <c r="AX5" s="12">
        <v>10</v>
      </c>
      <c r="BD5" s="12"/>
      <c r="BE5" s="12"/>
      <c r="BH5" s="5">
        <v>-20.318745801614824</v>
      </c>
      <c r="BI5">
        <f>STANDARDIZE(BH5,AVERAGE($BH$2:$BH$253),_xlfn.STDEV.S($BH$2:$BH$253))</f>
        <v>-2.0692353889166331</v>
      </c>
      <c r="BJ5" s="16"/>
      <c r="BK5">
        <f t="shared" si="11"/>
        <v>4</v>
      </c>
      <c r="BL5">
        <f t="shared" si="4"/>
        <v>1.3888888888888888E-2</v>
      </c>
      <c r="BM5" s="5">
        <f t="shared" si="5"/>
        <v>-2.2004105812100327</v>
      </c>
      <c r="BV5" t="s">
        <v>52</v>
      </c>
      <c r="BW5" s="5">
        <v>0.24949950117908301</v>
      </c>
      <c r="BX5">
        <v>-15.871867373006912</v>
      </c>
      <c r="BY5">
        <v>10</v>
      </c>
      <c r="BZ5" s="9">
        <f t="shared" si="12"/>
        <v>3.968253968253968E-2</v>
      </c>
      <c r="CA5" s="5">
        <f t="shared" si="13"/>
        <v>-1.6219182467813797</v>
      </c>
      <c r="CB5" s="5">
        <f t="shared" si="14"/>
        <v>-83.277306980735943</v>
      </c>
      <c r="CC5" t="s">
        <v>91</v>
      </c>
      <c r="CD5" s="5"/>
      <c r="CG5" t="s">
        <v>97</v>
      </c>
      <c r="CH5" s="5">
        <f t="shared" si="6"/>
        <v>16.228182525067751</v>
      </c>
      <c r="CI5" t="s">
        <v>57</v>
      </c>
      <c r="CW5" s="5">
        <f t="shared" si="7"/>
        <v>16.228182525067751</v>
      </c>
      <c r="CY5" s="15">
        <v>-38.887287199585529</v>
      </c>
      <c r="CZ5" s="12">
        <v>3</v>
      </c>
      <c r="DK5" s="5">
        <v>-40.789048604894987</v>
      </c>
      <c r="DL5" s="5">
        <f t="shared" si="8"/>
        <v>-2.5407046084036815</v>
      </c>
      <c r="DN5">
        <f t="shared" si="15"/>
        <v>4</v>
      </c>
      <c r="DO5" s="8">
        <f t="shared" si="9"/>
        <v>1.3888888888888888E-2</v>
      </c>
      <c r="DP5">
        <f t="shared" si="10"/>
        <v>-2.2004105812100327</v>
      </c>
      <c r="DY5" t="s">
        <v>83</v>
      </c>
      <c r="DZ5" s="5"/>
      <c r="EA5">
        <v>-44.6720947440608</v>
      </c>
      <c r="EB5">
        <v>1</v>
      </c>
      <c r="EC5">
        <v>4.0000000000000001E-3</v>
      </c>
      <c r="ED5">
        <v>4.0000000000000001E-3</v>
      </c>
      <c r="EE5" s="5">
        <f t="shared" si="16"/>
        <v>248.00399999999999</v>
      </c>
      <c r="EF5" t="s">
        <v>91</v>
      </c>
    </row>
    <row r="6" spans="1:136" x14ac:dyDescent="0.35">
      <c r="A6" t="s">
        <v>43</v>
      </c>
      <c r="B6" s="5">
        <f>INTERCEPT(E1:E252,C2:C253)</f>
        <v>55.572555334530023</v>
      </c>
      <c r="C6" s="2">
        <v>5</v>
      </c>
      <c r="D6" s="3">
        <v>43783</v>
      </c>
      <c r="E6" s="1">
        <v>64.569159999999997</v>
      </c>
      <c r="F6" s="1">
        <f t="shared" si="0"/>
        <v>56.790417176301979</v>
      </c>
      <c r="O6" t="s">
        <v>43</v>
      </c>
      <c r="P6" s="5">
        <f>INTERCEPT(S2:S253,Q2:Q253)</f>
        <v>161.64969350411047</v>
      </c>
      <c r="Q6" s="2">
        <v>5</v>
      </c>
      <c r="R6" s="3">
        <v>43783</v>
      </c>
      <c r="S6" s="1">
        <v>176.37780799999999</v>
      </c>
      <c r="T6" s="1">
        <f t="shared" si="1"/>
        <v>161.49274721763769</v>
      </c>
      <c r="AC6" s="5"/>
      <c r="AD6" s="5">
        <f t="shared" si="2"/>
        <v>7.7787428236980176</v>
      </c>
      <c r="AE6" t="s">
        <v>58</v>
      </c>
      <c r="AU6" s="5">
        <f t="shared" si="3"/>
        <v>7.7787428236980176</v>
      </c>
      <c r="AW6" s="15">
        <v>-12.46295394794333</v>
      </c>
      <c r="AX6" s="12">
        <v>17</v>
      </c>
      <c r="BD6" s="12"/>
      <c r="BE6" s="12"/>
      <c r="BG6" t="s">
        <v>68</v>
      </c>
      <c r="BH6" s="5">
        <v>-19.571672169969219</v>
      </c>
      <c r="BI6">
        <f>STANDARDIZE(BH6,AVERAGE($BH$2:$BH$253),_xlfn.STDEV.S($BH$2:$BH$253))</f>
        <v>-1.994077242270182</v>
      </c>
      <c r="BJ6" s="16"/>
      <c r="BK6">
        <f t="shared" si="11"/>
        <v>5</v>
      </c>
      <c r="BL6">
        <f t="shared" si="4"/>
        <v>1.7857142857142856E-2</v>
      </c>
      <c r="BM6" s="5">
        <f t="shared" si="5"/>
        <v>-2.1001654928444697</v>
      </c>
      <c r="BV6" t="s">
        <v>53</v>
      </c>
      <c r="BW6" s="5">
        <v>9.9400220066614082</v>
      </c>
      <c r="BX6">
        <v>-12.46295394794333</v>
      </c>
      <c r="BY6">
        <v>17</v>
      </c>
      <c r="BZ6" s="9">
        <f t="shared" si="12"/>
        <v>6.7460317460317457E-2</v>
      </c>
      <c r="CA6" s="5">
        <f t="shared" si="13"/>
        <v>-1.278969210054661</v>
      </c>
      <c r="CB6" s="5">
        <f t="shared" si="14"/>
        <v>-261.24218844005367</v>
      </c>
      <c r="CD6" s="5"/>
      <c r="CG6" t="s">
        <v>98</v>
      </c>
      <c r="CH6" s="5">
        <f t="shared" si="6"/>
        <v>14.885060782362302</v>
      </c>
      <c r="CI6" t="s">
        <v>58</v>
      </c>
      <c r="CW6" s="5">
        <f t="shared" si="7"/>
        <v>14.885060782362302</v>
      </c>
      <c r="CY6" s="15">
        <v>-33.102479655110272</v>
      </c>
      <c r="CZ6" s="12">
        <v>1</v>
      </c>
      <c r="DI6" t="s">
        <v>68</v>
      </c>
      <c r="DK6" s="5">
        <v>-40.762207575716772</v>
      </c>
      <c r="DL6" s="5">
        <f t="shared" si="8"/>
        <v>-2.5780666673345243</v>
      </c>
      <c r="DN6">
        <f t="shared" si="15"/>
        <v>5</v>
      </c>
      <c r="DO6" s="8">
        <f t="shared" si="9"/>
        <v>1.7857142857142856E-2</v>
      </c>
      <c r="DP6">
        <f t="shared" si="10"/>
        <v>-2.1001654928444697</v>
      </c>
      <c r="DY6" t="s">
        <v>84</v>
      </c>
      <c r="DZ6" s="5"/>
      <c r="EA6">
        <v>-38.887287199585529</v>
      </c>
      <c r="EB6">
        <v>3</v>
      </c>
      <c r="EC6">
        <v>1.2E-2</v>
      </c>
      <c r="ED6">
        <v>9.4000000000000004E-3</v>
      </c>
      <c r="EE6" s="5">
        <f t="shared" si="16"/>
        <v>951.45620851063836</v>
      </c>
    </row>
    <row r="7" spans="1:136" x14ac:dyDescent="0.35">
      <c r="A7" t="s">
        <v>44</v>
      </c>
      <c r="B7" s="5">
        <f>CORREL(E1:E252,C2:C253)</f>
        <v>0.8713159684659646</v>
      </c>
      <c r="C7" s="2">
        <v>6</v>
      </c>
      <c r="D7" s="3">
        <v>43784</v>
      </c>
      <c r="E7" s="1">
        <v>65.336212000000003</v>
      </c>
      <c r="F7" s="1">
        <f t="shared" si="0"/>
        <v>57.033989544656372</v>
      </c>
      <c r="O7" t="s">
        <v>44</v>
      </c>
      <c r="P7" s="5">
        <f>CORREL(S2:S253,Q2:Q253)</f>
        <v>-0.13296648984702517</v>
      </c>
      <c r="Q7" s="2">
        <v>6</v>
      </c>
      <c r="R7" s="3">
        <v>43784</v>
      </c>
      <c r="S7" s="1">
        <v>178.43956</v>
      </c>
      <c r="T7" s="1">
        <f t="shared" si="1"/>
        <v>161.46135796034315</v>
      </c>
      <c r="AC7" s="5"/>
      <c r="AD7" s="5">
        <f>E7-F7</f>
        <v>8.3022224553436317</v>
      </c>
      <c r="AE7" t="s">
        <v>59</v>
      </c>
      <c r="AU7" s="5">
        <f t="shared" si="3"/>
        <v>8.3022224553436317</v>
      </c>
      <c r="AW7" s="15">
        <v>-9.0540405228797489</v>
      </c>
      <c r="AX7" s="12">
        <v>21</v>
      </c>
      <c r="BD7" s="12"/>
      <c r="BE7" s="12"/>
      <c r="BH7" s="5">
        <v>-17.96484095984286</v>
      </c>
      <c r="BI7">
        <f>STANDARDIZE(BH7,AVERAGE($BH$2:$BH$253),_xlfn.STDEV.S($BH$2:$BH$253))</f>
        <v>-1.8324245609129854</v>
      </c>
      <c r="BJ7" s="16"/>
      <c r="BK7">
        <f t="shared" si="11"/>
        <v>6</v>
      </c>
      <c r="BL7">
        <f t="shared" si="4"/>
        <v>2.1825396825396824E-2</v>
      </c>
      <c r="BM7" s="5">
        <f t="shared" si="5"/>
        <v>-2.0174287103431898</v>
      </c>
      <c r="BX7">
        <v>-9.0540405228797489</v>
      </c>
      <c r="BY7">
        <v>21</v>
      </c>
      <c r="BZ7" s="9">
        <f t="shared" si="12"/>
        <v>8.3333333333333329E-2</v>
      </c>
      <c r="CA7" s="5">
        <f t="shared" si="13"/>
        <v>-0.93602017332794263</v>
      </c>
      <c r="CB7" s="5">
        <f t="shared" si="14"/>
        <v>-514.07971190815545</v>
      </c>
      <c r="CC7" t="s">
        <v>92</v>
      </c>
      <c r="CD7" s="5"/>
      <c r="CH7" s="5">
        <f t="shared" si="6"/>
        <v>16.97820203965685</v>
      </c>
      <c r="CI7" t="s">
        <v>59</v>
      </c>
      <c r="CW7" s="5">
        <f t="shared" si="7"/>
        <v>16.97820203965685</v>
      </c>
      <c r="CY7" s="15">
        <v>-27.317672110635005</v>
      </c>
      <c r="CZ7" s="12">
        <v>12</v>
      </c>
      <c r="DK7" s="5">
        <v>-36.248216570407308</v>
      </c>
      <c r="DL7" s="5">
        <f t="shared" si="8"/>
        <v>-2.3352581894906259</v>
      </c>
      <c r="DN7">
        <f t="shared" si="15"/>
        <v>6</v>
      </c>
      <c r="DO7" s="8">
        <f t="shared" si="9"/>
        <v>2.1825396825396824E-2</v>
      </c>
      <c r="DP7">
        <f t="shared" si="10"/>
        <v>-2.0174287103431898</v>
      </c>
      <c r="EA7">
        <v>-33.102479655110301</v>
      </c>
      <c r="EB7">
        <v>1</v>
      </c>
      <c r="EC7">
        <v>4.0000000000000001E-3</v>
      </c>
      <c r="ED7">
        <v>2.5600000000000001E-2</v>
      </c>
      <c r="EE7" s="5">
        <f t="shared" si="16"/>
        <v>37.088100000000004</v>
      </c>
      <c r="EF7" t="s">
        <v>92</v>
      </c>
    </row>
    <row r="8" spans="1:136" x14ac:dyDescent="0.35">
      <c r="A8" t="s">
        <v>45</v>
      </c>
      <c r="B8" s="5">
        <f>B7^2</f>
        <v>0.75919151690378184</v>
      </c>
      <c r="C8" s="2">
        <v>7</v>
      </c>
      <c r="D8" s="3">
        <v>43787</v>
      </c>
      <c r="E8" s="1">
        <v>65.665633999999997</v>
      </c>
      <c r="F8" s="1">
        <f t="shared" si="0"/>
        <v>57.277561913010764</v>
      </c>
      <c r="O8" t="s">
        <v>45</v>
      </c>
      <c r="P8" s="5">
        <f>P7^2</f>
        <v>1.7680087422239046E-2</v>
      </c>
      <c r="Q8" s="2">
        <v>7</v>
      </c>
      <c r="R8" s="3">
        <v>43787</v>
      </c>
      <c r="S8" s="1">
        <v>176.52507</v>
      </c>
      <c r="T8" s="1">
        <f t="shared" si="1"/>
        <v>161.42996870304859</v>
      </c>
      <c r="AC8" s="5"/>
      <c r="AD8" s="5">
        <f t="shared" si="2"/>
        <v>8.3880720869892329</v>
      </c>
      <c r="AU8" s="5">
        <f t="shared" si="3"/>
        <v>8.3880720869892329</v>
      </c>
      <c r="AW8" s="15">
        <v>-5.6451270978161681</v>
      </c>
      <c r="AX8" s="12">
        <v>23</v>
      </c>
      <c r="BD8" s="12"/>
      <c r="BE8" s="12"/>
      <c r="BH8" s="5">
        <v>-17.904908696551651</v>
      </c>
      <c r="BI8">
        <f>STANDARDIZE(BH8,AVERAGE($BH$2:$BH$253),_xlfn.STDEV.S($BH$2:$BH$253))</f>
        <v>-1.8263951715161568</v>
      </c>
      <c r="BJ8" s="16"/>
      <c r="BK8">
        <f t="shared" si="11"/>
        <v>7</v>
      </c>
      <c r="BL8">
        <f t="shared" si="4"/>
        <v>2.5793650793650792E-2</v>
      </c>
      <c r="BM8" s="5">
        <f t="shared" si="5"/>
        <v>-1.9465617207989845</v>
      </c>
      <c r="BV8" t="s">
        <v>99</v>
      </c>
      <c r="BX8">
        <v>-5.6451270978161681</v>
      </c>
      <c r="BY8">
        <v>23</v>
      </c>
      <c r="BZ8" s="9">
        <f t="shared" si="12"/>
        <v>9.1269841269841265E-2</v>
      </c>
      <c r="CA8" s="5">
        <f t="shared" si="13"/>
        <v>-0.59307113660122424</v>
      </c>
      <c r="CB8" s="5">
        <f t="shared" si="14"/>
        <v>-938.56026925653759</v>
      </c>
      <c r="CC8" t="s">
        <v>93</v>
      </c>
      <c r="CD8" s="5"/>
      <c r="CH8" s="5">
        <f t="shared" si="6"/>
        <v>15.095101296951412</v>
      </c>
      <c r="CW8" s="5">
        <f t="shared" si="7"/>
        <v>15.095101296951412</v>
      </c>
      <c r="CY8" s="15">
        <v>-21.532864566159738</v>
      </c>
      <c r="CZ8" s="12">
        <v>23</v>
      </c>
      <c r="DK8" s="5">
        <v>-32.864210055818205</v>
      </c>
      <c r="DL8" s="5">
        <f t="shared" si="8"/>
        <v>-2.1518744025480476</v>
      </c>
      <c r="DN8">
        <f t="shared" si="15"/>
        <v>7</v>
      </c>
      <c r="DO8" s="8">
        <f t="shared" si="9"/>
        <v>2.5793650793650792E-2</v>
      </c>
      <c r="DP8">
        <f t="shared" si="10"/>
        <v>-1.9465617207989845</v>
      </c>
      <c r="DY8" t="s">
        <v>81</v>
      </c>
      <c r="EA8">
        <v>-27.317672110635005</v>
      </c>
      <c r="EB8">
        <v>12</v>
      </c>
      <c r="EC8">
        <v>4.8000000000000001E-2</v>
      </c>
      <c r="ED8">
        <v>4.9500000000000002E-2</v>
      </c>
      <c r="EE8" s="5">
        <f t="shared" si="16"/>
        <v>2885.1404090909086</v>
      </c>
      <c r="EF8" t="s">
        <v>93</v>
      </c>
    </row>
    <row r="9" spans="1:136" x14ac:dyDescent="0.35">
      <c r="C9" s="2">
        <v>8</v>
      </c>
      <c r="D9" s="3">
        <v>43788</v>
      </c>
      <c r="E9" s="1">
        <v>65.466507000000007</v>
      </c>
      <c r="F9" s="1">
        <f t="shared" si="0"/>
        <v>57.521134281365157</v>
      </c>
      <c r="Q9" s="2">
        <v>8</v>
      </c>
      <c r="R9" s="3">
        <v>43788</v>
      </c>
      <c r="S9" s="1">
        <v>176.839249</v>
      </c>
      <c r="T9" s="1">
        <f t="shared" si="1"/>
        <v>161.39857944575402</v>
      </c>
      <c r="AC9" s="5"/>
      <c r="AD9" s="5">
        <f>E9-F9</f>
        <v>7.9453727186348502</v>
      </c>
      <c r="AU9" s="5">
        <f t="shared" si="3"/>
        <v>7.9453727186348502</v>
      </c>
      <c r="AW9" s="15">
        <v>-2.2362136727525836</v>
      </c>
      <c r="AX9" s="12">
        <v>24</v>
      </c>
      <c r="BD9" s="12"/>
      <c r="BE9" s="12"/>
      <c r="BH9" s="5">
        <v>-17.386124591488468</v>
      </c>
      <c r="BI9">
        <f>STANDARDIZE(BH9,AVERAGE($BH$2:$BH$253),_xlfn.STDEV.S($BH$2:$BH$253))</f>
        <v>-1.7742037271998852</v>
      </c>
      <c r="BJ9" s="16"/>
      <c r="BK9">
        <f t="shared" si="11"/>
        <v>8</v>
      </c>
      <c r="BL9">
        <f t="shared" si="4"/>
        <v>2.976190476190476E-2</v>
      </c>
      <c r="BM9" s="5">
        <f t="shared" si="5"/>
        <v>-1.8843044227824219</v>
      </c>
      <c r="BV9" t="s">
        <v>77</v>
      </c>
      <c r="BX9">
        <v>-2.2362136727525836</v>
      </c>
      <c r="BY9">
        <v>24</v>
      </c>
      <c r="BZ9" s="9">
        <f t="shared" si="12"/>
        <v>9.5238095238095233E-2</v>
      </c>
      <c r="CA9" s="5">
        <f t="shared" si="13"/>
        <v>-0.2501220998745054</v>
      </c>
      <c r="CB9" s="5">
        <f t="shared" si="14"/>
        <v>-2351.1253989706447</v>
      </c>
      <c r="CC9" t="s">
        <v>94</v>
      </c>
      <c r="CD9" s="5"/>
      <c r="CH9" s="5">
        <f t="shared" si="6"/>
        <v>15.440669554245972</v>
      </c>
      <c r="CW9" s="5">
        <f t="shared" si="7"/>
        <v>15.440669554245972</v>
      </c>
      <c r="CY9" s="15">
        <v>-15.748057021684474</v>
      </c>
      <c r="CZ9" s="12">
        <v>11</v>
      </c>
      <c r="DK9" s="5">
        <v>-32.673516517360312</v>
      </c>
      <c r="DL9" s="5">
        <f t="shared" si="8"/>
        <v>-2.1648154068297112</v>
      </c>
      <c r="DN9">
        <f t="shared" si="15"/>
        <v>8</v>
      </c>
      <c r="DO9" s="8">
        <f t="shared" si="9"/>
        <v>2.976190476190476E-2</v>
      </c>
      <c r="DP9">
        <f t="shared" si="10"/>
        <v>-1.8843044227824219</v>
      </c>
      <c r="DY9" t="s">
        <v>77</v>
      </c>
      <c r="EA9">
        <v>-21.532864566159738</v>
      </c>
      <c r="EB9">
        <v>23</v>
      </c>
      <c r="EC9">
        <v>9.0999999999999998E-2</v>
      </c>
      <c r="ED9">
        <v>8.8499999999999995E-2</v>
      </c>
      <c r="EE9" s="5">
        <f t="shared" si="16"/>
        <v>5931.489629943504</v>
      </c>
      <c r="EF9" t="s">
        <v>94</v>
      </c>
    </row>
    <row r="10" spans="1:136" x14ac:dyDescent="0.35">
      <c r="C10" s="2">
        <v>9</v>
      </c>
      <c r="D10" s="3">
        <v>43789</v>
      </c>
      <c r="E10" s="1">
        <v>64.704375999999996</v>
      </c>
      <c r="F10" s="1">
        <f t="shared" si="0"/>
        <v>57.76470664971955</v>
      </c>
      <c r="Q10" s="2">
        <v>9</v>
      </c>
      <c r="R10" s="3">
        <v>43789</v>
      </c>
      <c r="S10" s="1">
        <v>173.99208100000001</v>
      </c>
      <c r="T10" s="1">
        <f t="shared" si="1"/>
        <v>161.36719018845946</v>
      </c>
      <c r="AC10" s="5"/>
      <c r="AD10" s="5">
        <f t="shared" si="2"/>
        <v>6.9396693502804467</v>
      </c>
      <c r="AU10" s="5">
        <f t="shared" si="3"/>
        <v>6.9396693502804467</v>
      </c>
      <c r="AW10" s="15">
        <v>1.1726997523109972</v>
      </c>
      <c r="AX10" s="12">
        <v>22</v>
      </c>
      <c r="BD10" s="12"/>
      <c r="BE10" s="12"/>
      <c r="BH10" s="5">
        <v>-17.17291248642529</v>
      </c>
      <c r="BI10">
        <f>STANDARDIZE(BH10,AVERAGE($BH$2:$BH$253),_xlfn.STDEV.S($BH$2:$BH$253))</f>
        <v>-1.7527538647226901</v>
      </c>
      <c r="BJ10" s="16"/>
      <c r="BK10">
        <f t="shared" si="11"/>
        <v>9</v>
      </c>
      <c r="BL10">
        <f t="shared" si="4"/>
        <v>3.3730158730158728E-2</v>
      </c>
      <c r="BM10" s="5">
        <f t="shared" si="5"/>
        <v>-1.8285948988056846</v>
      </c>
      <c r="BV10" t="s">
        <v>100</v>
      </c>
      <c r="BX10">
        <v>1.1726997523109972</v>
      </c>
      <c r="BY10">
        <v>22</v>
      </c>
      <c r="BZ10" s="9">
        <f t="shared" si="12"/>
        <v>8.7301587301587297E-2</v>
      </c>
      <c r="CA10" s="5">
        <f t="shared" si="13"/>
        <v>9.2826936852213007E-2</v>
      </c>
      <c r="CB10" s="5">
        <f t="shared" si="14"/>
        <v>5170.0966108876464</v>
      </c>
      <c r="CC10" t="s">
        <v>103</v>
      </c>
      <c r="CD10" s="5"/>
      <c r="CH10" s="5">
        <f t="shared" si="6"/>
        <v>12.624890811540553</v>
      </c>
      <c r="CW10" s="5">
        <f t="shared" si="7"/>
        <v>12.624890811540553</v>
      </c>
      <c r="CY10" s="15">
        <v>-9.9632494772092102</v>
      </c>
      <c r="CZ10" s="12">
        <v>22</v>
      </c>
      <c r="DK10" s="5">
        <v>-31.719211827701869</v>
      </c>
      <c r="DL10" s="5">
        <f t="shared" si="8"/>
        <v>-2.1290097478440244</v>
      </c>
      <c r="DN10">
        <f t="shared" si="15"/>
        <v>9</v>
      </c>
      <c r="DO10" s="8">
        <f t="shared" si="9"/>
        <v>3.3730158730158728E-2</v>
      </c>
      <c r="DP10">
        <f t="shared" si="10"/>
        <v>-1.8285948988056846</v>
      </c>
      <c r="DY10" t="s">
        <v>78</v>
      </c>
      <c r="EA10">
        <v>-15.748057021684474</v>
      </c>
      <c r="EB10">
        <v>11</v>
      </c>
      <c r="EC10">
        <v>4.3999999999999997E-2</v>
      </c>
      <c r="ED10">
        <v>0.1711</v>
      </c>
      <c r="EE10" s="5">
        <f t="shared" si="16"/>
        <v>685.35987849210994</v>
      </c>
      <c r="EF10" t="s">
        <v>96</v>
      </c>
    </row>
    <row r="11" spans="1:136" x14ac:dyDescent="0.35">
      <c r="C11" s="2">
        <v>10</v>
      </c>
      <c r="D11" s="3">
        <v>43790</v>
      </c>
      <c r="E11" s="1">
        <v>64.414268000000007</v>
      </c>
      <c r="F11" s="1">
        <f t="shared" si="0"/>
        <v>58.008279018073942</v>
      </c>
      <c r="Q11" s="2">
        <v>10</v>
      </c>
      <c r="R11" s="3">
        <v>43790</v>
      </c>
      <c r="S11" s="1">
        <v>173.31463600000001</v>
      </c>
      <c r="T11" s="1">
        <f t="shared" si="1"/>
        <v>161.33580093116493</v>
      </c>
      <c r="AC11" s="5"/>
      <c r="AD11" s="5">
        <f t="shared" si="2"/>
        <v>6.4059889819260647</v>
      </c>
      <c r="AU11" s="5">
        <f t="shared" si="3"/>
        <v>6.4059889819260647</v>
      </c>
      <c r="AW11" s="15">
        <v>4.5816131773745781</v>
      </c>
      <c r="AX11" s="12">
        <v>20</v>
      </c>
      <c r="BD11" s="12"/>
      <c r="BE11" s="12"/>
      <c r="BH11" s="5">
        <v>-17.075519381362128</v>
      </c>
      <c r="BI11">
        <f>STANDARDIZE(BH11,AVERAGE($BH$2:$BH$253),_xlfn.STDEV.S($BH$2:$BH$253))</f>
        <v>-1.7429557873142203</v>
      </c>
      <c r="BJ11" s="16"/>
      <c r="BK11">
        <f t="shared" si="11"/>
        <v>10</v>
      </c>
      <c r="BL11">
        <f t="shared" si="4"/>
        <v>3.7698412698412696E-2</v>
      </c>
      <c r="BM11" s="5">
        <f t="shared" si="5"/>
        <v>-1.7780428020381664</v>
      </c>
      <c r="BV11" t="s">
        <v>79</v>
      </c>
      <c r="BX11">
        <v>4.5816131773745781</v>
      </c>
      <c r="BY11">
        <v>20</v>
      </c>
      <c r="BZ11" s="9">
        <f t="shared" si="12"/>
        <v>7.9365079365079361E-2</v>
      </c>
      <c r="CA11" s="5">
        <f t="shared" si="13"/>
        <v>0.43577597357893144</v>
      </c>
      <c r="CB11" s="5">
        <f t="shared" si="14"/>
        <v>878.33860736395752</v>
      </c>
      <c r="CC11" t="s">
        <v>95</v>
      </c>
      <c r="CD11" s="5"/>
      <c r="CH11" s="5">
        <f t="shared" si="6"/>
        <v>11.978835068835082</v>
      </c>
      <c r="CW11" s="5">
        <f t="shared" si="7"/>
        <v>11.978835068835082</v>
      </c>
      <c r="CY11" s="15">
        <v>-4.1784419327339464</v>
      </c>
      <c r="CZ11" s="12">
        <v>18</v>
      </c>
      <c r="DK11" s="5">
        <v>-31.264824313112769</v>
      </c>
      <c r="DL11" s="5">
        <f t="shared" si="8"/>
        <v>-2.1241585440989219</v>
      </c>
      <c r="DN11">
        <f t="shared" si="15"/>
        <v>10</v>
      </c>
      <c r="DO11" s="8">
        <f t="shared" si="9"/>
        <v>3.7698412698412696E-2</v>
      </c>
      <c r="DP11">
        <f t="shared" si="10"/>
        <v>-1.7780428020381664</v>
      </c>
      <c r="DY11" t="s">
        <v>79</v>
      </c>
      <c r="EA11">
        <v>-9.9632494772092102</v>
      </c>
      <c r="EB11">
        <v>22</v>
      </c>
      <c r="EC11">
        <v>8.6999999999999994E-2</v>
      </c>
      <c r="ED11">
        <v>0.25779999999999997</v>
      </c>
      <c r="EE11" s="5">
        <f t="shared" si="16"/>
        <v>1833.6821599689686</v>
      </c>
      <c r="EF11" t="s">
        <v>95</v>
      </c>
    </row>
    <row r="12" spans="1:136" x14ac:dyDescent="0.35">
      <c r="C12" s="2">
        <v>11</v>
      </c>
      <c r="D12" s="3">
        <v>43791</v>
      </c>
      <c r="E12" s="1">
        <v>64.357726999999997</v>
      </c>
      <c r="F12" s="1">
        <f t="shared" si="0"/>
        <v>58.251851386428335</v>
      </c>
      <c r="Q12" s="2">
        <v>11</v>
      </c>
      <c r="R12" s="3">
        <v>43791</v>
      </c>
      <c r="S12" s="1">
        <v>173.56990099999999</v>
      </c>
      <c r="T12" s="1">
        <f t="shared" si="1"/>
        <v>161.30441167387036</v>
      </c>
      <c r="AC12" s="5"/>
      <c r="AD12" s="5">
        <f t="shared" si="2"/>
        <v>6.1058756135716621</v>
      </c>
      <c r="AU12" s="5">
        <f t="shared" si="3"/>
        <v>6.1058756135716621</v>
      </c>
      <c r="AW12" s="15">
        <v>7.9905266024381589</v>
      </c>
      <c r="AX12" s="12">
        <v>49</v>
      </c>
      <c r="BD12" s="12"/>
      <c r="BE12" s="12"/>
      <c r="BH12" s="5">
        <v>-16.777940433260433</v>
      </c>
      <c r="BI12">
        <f>STANDARDIZE(BH12,AVERAGE($BH$2:$BH$253),_xlfn.STDEV.S($BH$2:$BH$253))</f>
        <v>-1.7130183336644931</v>
      </c>
      <c r="BJ12" s="16"/>
      <c r="BK12">
        <f t="shared" si="11"/>
        <v>11</v>
      </c>
      <c r="BL12">
        <f t="shared" si="4"/>
        <v>4.1666666666666664E-2</v>
      </c>
      <c r="BM12" s="5">
        <f t="shared" si="5"/>
        <v>-1.7316643961222451</v>
      </c>
      <c r="BV12" t="s">
        <v>101</v>
      </c>
      <c r="BX12">
        <v>7.9905266024381589</v>
      </c>
      <c r="BY12">
        <v>49</v>
      </c>
      <c r="BZ12" s="9">
        <f t="shared" si="12"/>
        <v>0.19444444444444445</v>
      </c>
      <c r="CA12" s="5">
        <f t="shared" si="13"/>
        <v>0.77872501030564978</v>
      </c>
      <c r="CB12" s="5">
        <f t="shared" si="14"/>
        <v>2986.0237322017492</v>
      </c>
      <c r="CD12" s="5"/>
      <c r="CH12" s="5">
        <f t="shared" si="6"/>
        <v>12.265489326129625</v>
      </c>
      <c r="CW12" s="5">
        <f t="shared" si="7"/>
        <v>12.265489326129625</v>
      </c>
      <c r="CY12" s="15">
        <v>1.6063656117413174</v>
      </c>
      <c r="CZ12" s="12">
        <v>18</v>
      </c>
      <c r="DK12" s="5">
        <v>-30.721625318422198</v>
      </c>
      <c r="DL12" s="5">
        <f t="shared" si="8"/>
        <v>-2.1132390459048258</v>
      </c>
      <c r="DN12">
        <f t="shared" si="15"/>
        <v>11</v>
      </c>
      <c r="DO12" s="8">
        <f t="shared" si="9"/>
        <v>4.1666666666666664E-2</v>
      </c>
      <c r="DP12">
        <f t="shared" si="10"/>
        <v>-1.7316643961222451</v>
      </c>
      <c r="DY12" t="s">
        <v>80</v>
      </c>
      <c r="EA12">
        <v>-4.1784419327339464</v>
      </c>
      <c r="EB12">
        <v>18</v>
      </c>
      <c r="EC12">
        <v>7.0999999999999994E-2</v>
      </c>
      <c r="ED12">
        <v>0.40129999999999999</v>
      </c>
      <c r="EE12" s="5">
        <f t="shared" si="16"/>
        <v>771.77732790929497</v>
      </c>
    </row>
    <row r="13" spans="1:136" x14ac:dyDescent="0.35">
      <c r="C13" s="2">
        <v>12</v>
      </c>
      <c r="D13" s="3">
        <v>43794</v>
      </c>
      <c r="E13" s="1">
        <v>65.486168000000006</v>
      </c>
      <c r="F13" s="1">
        <f t="shared" si="0"/>
        <v>58.495423754782728</v>
      </c>
      <c r="Q13" s="2">
        <v>12</v>
      </c>
      <c r="R13" s="3">
        <v>43794</v>
      </c>
      <c r="S13" s="1">
        <v>173.29499799999999</v>
      </c>
      <c r="T13" s="1">
        <f t="shared" si="1"/>
        <v>161.2730224165758</v>
      </c>
      <c r="AC13" s="5"/>
      <c r="AD13" s="5">
        <f t="shared" si="2"/>
        <v>6.9907442452172788</v>
      </c>
      <c r="AU13" s="5">
        <f t="shared" si="3"/>
        <v>6.9907442452172788</v>
      </c>
      <c r="AW13" s="15">
        <v>11.39944002750174</v>
      </c>
      <c r="AX13" s="12">
        <v>41</v>
      </c>
      <c r="BD13" s="12"/>
      <c r="BE13" s="12"/>
      <c r="BH13" s="5">
        <v>-16.729154275032379</v>
      </c>
      <c r="BI13">
        <f>STANDARDIZE(BH13,AVERAGE($BH$2:$BH$253),_xlfn.STDEV.S($BH$2:$BH$253))</f>
        <v>-1.7081102803226234</v>
      </c>
      <c r="BJ13" s="16"/>
      <c r="BK13">
        <f t="shared" si="11"/>
        <v>12</v>
      </c>
      <c r="BL13">
        <f t="shared" si="4"/>
        <v>4.5634920634920632E-2</v>
      </c>
      <c r="BM13" s="5">
        <f t="shared" si="5"/>
        <v>-1.6887370022667971</v>
      </c>
      <c r="BX13">
        <v>11.39944002750174</v>
      </c>
      <c r="BY13">
        <v>41</v>
      </c>
      <c r="BZ13" s="9">
        <f t="shared" si="12"/>
        <v>0.1626984126984127</v>
      </c>
      <c r="CA13" s="5">
        <f t="shared" si="13"/>
        <v>1.1216740470323683</v>
      </c>
      <c r="CB13" s="5">
        <f t="shared" si="14"/>
        <v>1417.7745174888946</v>
      </c>
      <c r="CD13" s="5"/>
      <c r="CH13" s="5">
        <f t="shared" si="6"/>
        <v>12.021975583424194</v>
      </c>
      <c r="CW13" s="5">
        <f t="shared" si="7"/>
        <v>12.021975583424194</v>
      </c>
      <c r="CY13" s="15">
        <v>7.3911731562165812</v>
      </c>
      <c r="CZ13" s="12">
        <v>21</v>
      </c>
      <c r="DK13" s="5">
        <v>-30.505444031949452</v>
      </c>
      <c r="DL13" s="5">
        <f t="shared" si="8"/>
        <v>-2.1233512495509368</v>
      </c>
      <c r="DN13">
        <f t="shared" si="15"/>
        <v>12</v>
      </c>
      <c r="DO13" s="8">
        <f t="shared" si="9"/>
        <v>4.5634920634920632E-2</v>
      </c>
      <c r="DP13">
        <f t="shared" si="10"/>
        <v>-1.6887370022667971</v>
      </c>
      <c r="EA13">
        <v>1.6063656117413174</v>
      </c>
      <c r="EB13">
        <v>18</v>
      </c>
      <c r="EC13">
        <v>7.0999999999999994E-2</v>
      </c>
      <c r="ED13">
        <v>0.95050000000000001</v>
      </c>
      <c r="EE13" s="5">
        <f t="shared" si="16"/>
        <v>305.82372461862167</v>
      </c>
    </row>
    <row r="14" spans="1:136" x14ac:dyDescent="0.35">
      <c r="C14" s="2">
        <v>13</v>
      </c>
      <c r="D14" s="3">
        <v>43795</v>
      </c>
      <c r="E14" s="1">
        <v>64.974815000000007</v>
      </c>
      <c r="F14" s="1">
        <f t="shared" si="0"/>
        <v>58.73899612313712</v>
      </c>
      <c r="Q14" s="2">
        <v>13</v>
      </c>
      <c r="R14" s="3">
        <v>43795</v>
      </c>
      <c r="S14" s="1">
        <v>175.26838699999999</v>
      </c>
      <c r="T14" s="1">
        <f t="shared" si="1"/>
        <v>161.24163315928124</v>
      </c>
      <c r="AC14" s="5"/>
      <c r="AD14" s="5">
        <f t="shared" si="2"/>
        <v>6.2358188768628864</v>
      </c>
      <c r="AU14" s="5">
        <f t="shared" si="3"/>
        <v>6.2358188768628864</v>
      </c>
      <c r="AW14" s="15">
        <v>14.808353452565321</v>
      </c>
      <c r="AX14" s="12">
        <v>11</v>
      </c>
      <c r="BD14" s="12"/>
      <c r="BE14" s="12"/>
      <c r="BH14" s="5">
        <v>-16.718222590221913</v>
      </c>
      <c r="BI14">
        <f>STANDARDIZE(BH14,AVERAGE($BH$2:$BH$253),_xlfn.STDEV.S($BH$2:$BH$253))</f>
        <v>-1.7070105156738993</v>
      </c>
      <c r="BJ14" s="16"/>
      <c r="BK14">
        <f t="shared" si="11"/>
        <v>13</v>
      </c>
      <c r="BL14">
        <f t="shared" si="4"/>
        <v>4.96031746031746E-2</v>
      </c>
      <c r="BM14" s="5">
        <f t="shared" si="5"/>
        <v>-1.648713470290851</v>
      </c>
      <c r="BV14" t="s">
        <v>102</v>
      </c>
      <c r="BX14">
        <v>14.808353452565321</v>
      </c>
      <c r="BY14">
        <v>11</v>
      </c>
      <c r="BZ14" s="9">
        <f t="shared" si="12"/>
        <v>4.3650793650793648E-2</v>
      </c>
      <c r="CA14" s="5">
        <f t="shared" si="13"/>
        <v>1.4646230837590866</v>
      </c>
      <c r="CB14" s="5">
        <f t="shared" si="14"/>
        <v>62.079735013746323</v>
      </c>
      <c r="CD14" s="5"/>
      <c r="CH14" s="5">
        <f t="shared" si="6"/>
        <v>14.026753840718754</v>
      </c>
      <c r="CW14" s="5">
        <f t="shared" si="7"/>
        <v>14.026753840718754</v>
      </c>
      <c r="CY14" s="15">
        <v>13.175980700691852</v>
      </c>
      <c r="CZ14" s="12">
        <v>54</v>
      </c>
      <c r="DK14" s="5">
        <v>-29.059725803833118</v>
      </c>
      <c r="DL14" s="5">
        <f t="shared" si="8"/>
        <v>-2.052237127237496</v>
      </c>
      <c r="DN14">
        <f t="shared" si="15"/>
        <v>13</v>
      </c>
      <c r="DO14" s="8">
        <f t="shared" si="9"/>
        <v>4.96031746031746E-2</v>
      </c>
      <c r="DP14">
        <f t="shared" si="10"/>
        <v>-1.648713470290851</v>
      </c>
      <c r="DY14" t="s">
        <v>82</v>
      </c>
      <c r="EA14">
        <v>7.3911731562165812</v>
      </c>
      <c r="EB14">
        <v>21</v>
      </c>
      <c r="EC14">
        <v>8.3000000000000004E-2</v>
      </c>
      <c r="ED14">
        <v>0.67359999999999998</v>
      </c>
      <c r="EE14" s="5">
        <f t="shared" si="16"/>
        <v>613.36481140142519</v>
      </c>
    </row>
    <row r="15" spans="1:136" x14ac:dyDescent="0.35">
      <c r="C15" s="2">
        <v>14</v>
      </c>
      <c r="D15" s="3">
        <v>43796</v>
      </c>
      <c r="E15" s="1">
        <v>65.847565000000003</v>
      </c>
      <c r="F15" s="1">
        <f t="shared" si="0"/>
        <v>58.982568491491506</v>
      </c>
      <c r="Q15" s="2">
        <v>14</v>
      </c>
      <c r="R15" s="3">
        <v>43796</v>
      </c>
      <c r="S15" s="1">
        <v>176.151993</v>
      </c>
      <c r="T15" s="1">
        <f t="shared" si="1"/>
        <v>161.2102439019867</v>
      </c>
      <c r="AC15" s="5"/>
      <c r="AD15" s="5">
        <f t="shared" si="2"/>
        <v>6.8649965085084972</v>
      </c>
      <c r="AU15" s="5">
        <f t="shared" si="3"/>
        <v>6.8649965085084972</v>
      </c>
      <c r="AW15" s="15">
        <v>18.217266877628909</v>
      </c>
      <c r="AX15" s="12">
        <v>0</v>
      </c>
      <c r="BD15" s="12"/>
      <c r="BE15" s="12"/>
      <c r="BH15" s="5">
        <v>-16.463585118070895</v>
      </c>
      <c r="BI15">
        <f>STANDARDIZE(BH15,AVERAGE($BH$2:$BH$253),_xlfn.STDEV.S($BH$2:$BH$253))</f>
        <v>-1.6813931204628656</v>
      </c>
      <c r="BJ15" s="16"/>
      <c r="BK15">
        <f t="shared" si="11"/>
        <v>14</v>
      </c>
      <c r="BL15">
        <f t="shared" si="4"/>
        <v>5.3571428571428568E-2</v>
      </c>
      <c r="BM15" s="5">
        <f t="shared" si="5"/>
        <v>-1.6111691623526765</v>
      </c>
      <c r="BV15" t="s">
        <v>77</v>
      </c>
      <c r="BX15">
        <v>18.217266877628909</v>
      </c>
      <c r="BY15">
        <v>0</v>
      </c>
      <c r="BZ15" s="9">
        <f t="shared" si="12"/>
        <v>0</v>
      </c>
      <c r="CA15" s="5">
        <f t="shared" si="13"/>
        <v>1.8075721204858057</v>
      </c>
      <c r="CB15" s="5">
        <f t="shared" si="14"/>
        <v>1.8075721204858057</v>
      </c>
      <c r="CD15" s="5"/>
      <c r="CH15" s="5">
        <f t="shared" si="6"/>
        <v>14.941749098013304</v>
      </c>
      <c r="CW15" s="5">
        <f t="shared" si="7"/>
        <v>14.941749098013304</v>
      </c>
      <c r="CY15" s="15">
        <v>18.960788245167109</v>
      </c>
      <c r="CZ15" s="12">
        <v>53</v>
      </c>
      <c r="DK15" s="5">
        <v>-28.787691862189547</v>
      </c>
      <c r="DL15" s="5">
        <f t="shared" si="8"/>
        <v>-2.0567854366417464</v>
      </c>
      <c r="DN15">
        <f t="shared" si="15"/>
        <v>14</v>
      </c>
      <c r="DO15" s="8">
        <f t="shared" si="9"/>
        <v>5.3571428571428568E-2</v>
      </c>
      <c r="DP15">
        <f t="shared" si="10"/>
        <v>-1.6111691623526765</v>
      </c>
      <c r="DY15" t="s">
        <v>77</v>
      </c>
      <c r="EA15">
        <v>13.175980700691852</v>
      </c>
      <c r="EB15">
        <v>54</v>
      </c>
      <c r="EC15">
        <v>0.214</v>
      </c>
      <c r="ED15">
        <v>0.77339999999999998</v>
      </c>
      <c r="EE15" s="5">
        <f t="shared" si="16"/>
        <v>3663.1380237393323</v>
      </c>
    </row>
    <row r="16" spans="1:136" x14ac:dyDescent="0.35">
      <c r="C16" s="2">
        <v>15</v>
      </c>
      <c r="D16" s="3">
        <v>43798</v>
      </c>
      <c r="E16" s="1">
        <v>65.702515000000005</v>
      </c>
      <c r="F16" s="1">
        <f t="shared" si="0"/>
        <v>59.226140859845898</v>
      </c>
      <c r="Q16" s="2">
        <v>15</v>
      </c>
      <c r="R16" s="3">
        <v>43798</v>
      </c>
      <c r="S16" s="1">
        <v>175.29785200000001</v>
      </c>
      <c r="T16" s="1">
        <f t="shared" si="1"/>
        <v>161.17885464469214</v>
      </c>
      <c r="AC16" s="5"/>
      <c r="AD16" s="5">
        <f t="shared" si="2"/>
        <v>6.4763741401541068</v>
      </c>
      <c r="AU16" s="5">
        <f t="shared" si="3"/>
        <v>6.4763741401541068</v>
      </c>
      <c r="AW16" s="15">
        <v>21.626180302692489</v>
      </c>
      <c r="AX16" s="12">
        <v>5</v>
      </c>
      <c r="BD16" s="12"/>
      <c r="BE16" s="12"/>
      <c r="BH16" s="5">
        <v>-16.406225064906039</v>
      </c>
      <c r="BI16">
        <f>STANDARDIZE(BH16,AVERAGE($BH$2:$BH$253),_xlfn.STDEV.S($BH$2:$BH$253))</f>
        <v>-1.6756225041476887</v>
      </c>
      <c r="BJ16" s="16"/>
      <c r="BK16">
        <f t="shared" si="11"/>
        <v>15</v>
      </c>
      <c r="BL16">
        <f t="shared" si="4"/>
        <v>5.7539682539682536E-2</v>
      </c>
      <c r="BM16" s="5">
        <f t="shared" si="5"/>
        <v>-1.5757676293730742</v>
      </c>
      <c r="BV16" t="s">
        <v>100</v>
      </c>
      <c r="BX16">
        <v>21.626180302692489</v>
      </c>
      <c r="BY16">
        <v>5</v>
      </c>
      <c r="BZ16" s="9">
        <f t="shared" si="12"/>
        <v>1.984126984126984E-2</v>
      </c>
      <c r="CA16" s="5">
        <f t="shared" si="13"/>
        <v>2.1505211572125242</v>
      </c>
      <c r="CB16" s="5">
        <f t="shared" si="14"/>
        <v>3.7756102274380194</v>
      </c>
      <c r="CD16" s="5"/>
      <c r="CH16" s="5">
        <f t="shared" si="6"/>
        <v>14.118997355307869</v>
      </c>
      <c r="CW16" s="5">
        <f t="shared" si="7"/>
        <v>14.118997355307869</v>
      </c>
      <c r="CY16" s="15">
        <v>24.74559578964238</v>
      </c>
      <c r="CZ16" s="12">
        <v>10</v>
      </c>
      <c r="DK16" s="5">
        <v>-28.554550546538536</v>
      </c>
      <c r="DL16" s="5">
        <f t="shared" si="8"/>
        <v>-2.0640537006163884</v>
      </c>
      <c r="DN16">
        <f t="shared" si="15"/>
        <v>15</v>
      </c>
      <c r="DO16" s="8">
        <f t="shared" si="9"/>
        <v>5.7539682539682536E-2</v>
      </c>
      <c r="DP16">
        <f t="shared" si="10"/>
        <v>-1.5757676293730742</v>
      </c>
      <c r="DY16" t="s">
        <v>78</v>
      </c>
      <c r="EA16">
        <v>18.960788245167109</v>
      </c>
      <c r="EB16">
        <v>53</v>
      </c>
      <c r="EC16">
        <v>0.21</v>
      </c>
      <c r="ED16">
        <v>0.87490000000000001</v>
      </c>
      <c r="EE16" s="5">
        <f t="shared" si="16"/>
        <v>3105.5275460166881</v>
      </c>
    </row>
    <row r="17" spans="3:135" ht="16" thickBot="1" x14ac:dyDescent="0.4">
      <c r="C17" s="2">
        <v>16</v>
      </c>
      <c r="D17" s="3">
        <v>43801</v>
      </c>
      <c r="E17" s="1">
        <v>64.942841000000001</v>
      </c>
      <c r="F17" s="1">
        <f t="shared" si="0"/>
        <v>59.469713228200291</v>
      </c>
      <c r="Q17" s="2">
        <v>16</v>
      </c>
      <c r="R17" s="3">
        <v>43801</v>
      </c>
      <c r="S17" s="1">
        <v>171.144913</v>
      </c>
      <c r="T17" s="1">
        <f t="shared" si="1"/>
        <v>161.14746538739757</v>
      </c>
      <c r="AC17" s="5"/>
      <c r="AD17" s="5">
        <f t="shared" si="2"/>
        <v>5.4731277717997102</v>
      </c>
      <c r="AU17" s="5">
        <f t="shared" si="3"/>
        <v>5.4731277717997102</v>
      </c>
      <c r="AW17" s="15">
        <v>25.03509372775607</v>
      </c>
      <c r="AX17" s="12">
        <v>2</v>
      </c>
      <c r="BD17" s="12"/>
      <c r="BE17" s="12"/>
      <c r="BH17" s="5">
        <v>-15.73643290667799</v>
      </c>
      <c r="BI17">
        <f>STANDARDIZE(BH17,AVERAGE($BH$2:$BH$253),_xlfn.STDEV.S($BH$2:$BH$253))</f>
        <v>-1.6082391364067341</v>
      </c>
      <c r="BJ17" s="16"/>
      <c r="BK17">
        <f t="shared" si="11"/>
        <v>16</v>
      </c>
      <c r="BL17">
        <f t="shared" si="4"/>
        <v>6.1507936507936505E-2</v>
      </c>
      <c r="BM17" s="5">
        <f t="shared" si="5"/>
        <v>-1.5422375718953325</v>
      </c>
      <c r="BV17" t="s">
        <v>79</v>
      </c>
      <c r="BX17">
        <v>25.03509372775607</v>
      </c>
      <c r="BY17">
        <v>2</v>
      </c>
      <c r="BZ17" s="9">
        <f t="shared" si="12"/>
        <v>7.9365079365079361E-3</v>
      </c>
      <c r="CA17" s="5">
        <f t="shared" si="13"/>
        <v>2.4934701939392427</v>
      </c>
      <c r="CB17" s="5">
        <f t="shared" si="14"/>
        <v>9.7660213825025335E-2</v>
      </c>
      <c r="CD17" s="5"/>
      <c r="CH17" s="5">
        <f t="shared" si="6"/>
        <v>9.9974476126024285</v>
      </c>
      <c r="CW17" s="5">
        <f t="shared" si="7"/>
        <v>9.9974476126024285</v>
      </c>
      <c r="CY17" s="18" t="s">
        <v>63</v>
      </c>
      <c r="CZ17" s="13">
        <v>4</v>
      </c>
      <c r="DK17" s="5">
        <v>-27.836931687120199</v>
      </c>
      <c r="DL17" s="5">
        <f t="shared" si="8"/>
        <v>-2.03872575526613</v>
      </c>
      <c r="DN17">
        <f t="shared" si="15"/>
        <v>16</v>
      </c>
      <c r="DO17" s="8">
        <f t="shared" si="9"/>
        <v>6.1507936507936505E-2</v>
      </c>
      <c r="DP17">
        <f t="shared" si="10"/>
        <v>-1.5422375718953325</v>
      </c>
      <c r="DY17" t="s">
        <v>79</v>
      </c>
      <c r="EA17">
        <v>24.74559578964238</v>
      </c>
      <c r="EB17">
        <v>10</v>
      </c>
      <c r="EC17">
        <v>0.04</v>
      </c>
      <c r="ED17">
        <v>0.93940000000000001</v>
      </c>
      <c r="EE17" s="5">
        <f t="shared" si="16"/>
        <v>87.390326123057278</v>
      </c>
    </row>
    <row r="18" spans="3:135" ht="16" thickBot="1" x14ac:dyDescent="0.4">
      <c r="C18" s="2">
        <v>17</v>
      </c>
      <c r="D18" s="3">
        <v>43802</v>
      </c>
      <c r="E18" s="1">
        <v>63.784916000000003</v>
      </c>
      <c r="F18" s="1">
        <f t="shared" si="0"/>
        <v>59.713285596554684</v>
      </c>
      <c r="Q18" s="2">
        <v>17</v>
      </c>
      <c r="R18" s="3">
        <v>43802</v>
      </c>
      <c r="S18" s="1">
        <v>169.40713500000001</v>
      </c>
      <c r="T18" s="1">
        <f t="shared" si="1"/>
        <v>161.11607613010301</v>
      </c>
      <c r="AC18" s="5"/>
      <c r="AD18" s="5">
        <f t="shared" si="2"/>
        <v>4.0716304034453188</v>
      </c>
      <c r="AU18" s="5">
        <f t="shared" si="3"/>
        <v>4.0716304034453188</v>
      </c>
      <c r="AW18" s="13" t="s">
        <v>63</v>
      </c>
      <c r="AX18" s="13">
        <v>2</v>
      </c>
      <c r="BD18" s="13"/>
      <c r="BE18" s="13"/>
      <c r="BH18" s="5">
        <v>-15.564132326930704</v>
      </c>
      <c r="BI18">
        <f>STANDARDIZE(BH18,AVERAGE($BH$2:$BH$253),_xlfn.STDEV.S($BH$2:$BH$253))</f>
        <v>-1.5909051124345721</v>
      </c>
      <c r="BJ18" s="16"/>
      <c r="BK18">
        <f t="shared" si="11"/>
        <v>17</v>
      </c>
      <c r="BL18">
        <f t="shared" si="4"/>
        <v>6.5476190476190479E-2</v>
      </c>
      <c r="BM18" s="5">
        <f t="shared" si="5"/>
        <v>-1.5103568962835028</v>
      </c>
      <c r="BV18" t="s">
        <v>101</v>
      </c>
      <c r="BX18" t="s">
        <v>63</v>
      </c>
      <c r="BY18">
        <v>2</v>
      </c>
      <c r="BZ18" s="9">
        <f t="shared" si="12"/>
        <v>7.9365079365079361E-3</v>
      </c>
      <c r="CA18" s="5">
        <f>(28-0.25)/9.94</f>
        <v>2.7917505030181089</v>
      </c>
      <c r="CB18" s="5">
        <f t="shared" si="14"/>
        <v>0.22454329581090157</v>
      </c>
      <c r="CD18" s="5"/>
      <c r="CH18" s="5">
        <f t="shared" si="6"/>
        <v>8.2910588698970002</v>
      </c>
      <c r="CW18" s="5">
        <f t="shared" si="7"/>
        <v>8.2910588698970002</v>
      </c>
      <c r="DK18" s="5">
        <v>-27.605354459003877</v>
      </c>
      <c r="DL18" s="5">
        <f t="shared" si="8"/>
        <v>-2.0455468560014092</v>
      </c>
      <c r="DN18">
        <f t="shared" si="15"/>
        <v>17</v>
      </c>
      <c r="DO18" s="8">
        <f t="shared" si="9"/>
        <v>6.5476190476190479E-2</v>
      </c>
      <c r="DP18">
        <f t="shared" si="10"/>
        <v>-1.5103568962835028</v>
      </c>
      <c r="DY18" t="s">
        <v>80</v>
      </c>
      <c r="EA18" t="s">
        <v>63</v>
      </c>
      <c r="EB18">
        <v>4</v>
      </c>
      <c r="EC18">
        <v>1.6E-2</v>
      </c>
      <c r="ED18">
        <v>0.96779999999999999</v>
      </c>
      <c r="EE18" s="5">
        <f t="shared" si="16"/>
        <v>9.5001413928497627</v>
      </c>
    </row>
    <row r="19" spans="3:135" x14ac:dyDescent="0.35">
      <c r="C19" s="2">
        <v>18</v>
      </c>
      <c r="D19" s="3">
        <v>43803</v>
      </c>
      <c r="E19" s="1">
        <v>64.347892999999999</v>
      </c>
      <c r="F19" s="1">
        <f t="shared" si="0"/>
        <v>59.956857964909076</v>
      </c>
      <c r="Q19" s="2">
        <v>18</v>
      </c>
      <c r="R19" s="3">
        <v>43803</v>
      </c>
      <c r="S19" s="1">
        <v>170.055115</v>
      </c>
      <c r="T19" s="1">
        <f t="shared" si="1"/>
        <v>161.08468687280848</v>
      </c>
      <c r="AC19" s="5"/>
      <c r="AD19" s="5">
        <f t="shared" si="2"/>
        <v>4.3910350350909226</v>
      </c>
      <c r="AU19" s="5">
        <f t="shared" si="3"/>
        <v>4.3910350350909226</v>
      </c>
      <c r="BH19" s="5">
        <v>-15.420032431993874</v>
      </c>
      <c r="BI19">
        <f>STANDARDIZE(BH19,AVERAGE($BH$2:$BH$253),_xlfn.STDEV.S($BH$2:$BH$253))</f>
        <v>-1.5764081732084558</v>
      </c>
      <c r="BJ19" s="16"/>
      <c r="BK19">
        <f t="shared" si="11"/>
        <v>18</v>
      </c>
      <c r="BL19">
        <f t="shared" si="4"/>
        <v>6.9444444444444448E-2</v>
      </c>
      <c r="BM19" s="5">
        <f t="shared" si="5"/>
        <v>-1.4799413890351922</v>
      </c>
      <c r="CA19" s="5"/>
      <c r="CD19" s="5"/>
      <c r="CH19" s="5">
        <f t="shared" si="6"/>
        <v>8.9704281271915249</v>
      </c>
      <c r="CW19" s="5">
        <f t="shared" si="7"/>
        <v>8.9704281271915249</v>
      </c>
      <c r="DK19" s="5">
        <v>-27.414057774654879</v>
      </c>
      <c r="DL19" s="5">
        <f t="shared" si="8"/>
        <v>-2.0553225235032491</v>
      </c>
      <c r="DN19">
        <f t="shared" si="15"/>
        <v>18</v>
      </c>
      <c r="DO19" s="8">
        <f t="shared" si="9"/>
        <v>6.9444444444444448E-2</v>
      </c>
      <c r="DP19">
        <f t="shared" si="10"/>
        <v>-1.4799413890351922</v>
      </c>
    </row>
    <row r="20" spans="3:135" x14ac:dyDescent="0.35">
      <c r="C20" s="2">
        <v>19</v>
      </c>
      <c r="D20" s="3">
        <v>43804</v>
      </c>
      <c r="E20" s="1">
        <v>65.291945999999996</v>
      </c>
      <c r="F20" s="1">
        <f t="shared" si="0"/>
        <v>60.200430333263469</v>
      </c>
      <c r="Q20" s="2">
        <v>19</v>
      </c>
      <c r="R20" s="3">
        <v>43804</v>
      </c>
      <c r="S20" s="1">
        <v>170.84053</v>
      </c>
      <c r="T20" s="1">
        <f t="shared" si="1"/>
        <v>161.05329761551391</v>
      </c>
      <c r="AC20" s="5"/>
      <c r="AD20" s="5">
        <f t="shared" si="2"/>
        <v>5.0915156667365267</v>
      </c>
      <c r="AU20" s="5">
        <f t="shared" si="3"/>
        <v>5.0915156667365267</v>
      </c>
      <c r="BH20" s="5">
        <v>-15.336424643386778</v>
      </c>
      <c r="BI20">
        <f>STANDARDIZE(BH20,AVERAGE($BH$2:$BH$253),_xlfn.STDEV.S($BH$2:$BH$253))</f>
        <v>-1.5679969454917499</v>
      </c>
      <c r="BJ20" s="16"/>
      <c r="BK20">
        <f t="shared" si="11"/>
        <v>19</v>
      </c>
      <c r="BL20">
        <f t="shared" si="4"/>
        <v>7.3412698412698416E-2</v>
      </c>
      <c r="BM20" s="5">
        <f t="shared" si="5"/>
        <v>-1.450836487412636</v>
      </c>
      <c r="BX20" s="10" t="s">
        <v>89</v>
      </c>
      <c r="BY20">
        <v>252</v>
      </c>
      <c r="BZ20">
        <f>SUM(BZ3:BZ18)</f>
        <v>0.99999999999999989</v>
      </c>
      <c r="CA20" s="5">
        <f>SUM(CA3:CA18)</f>
        <v>4.1841545558012996</v>
      </c>
      <c r="CB20" s="5">
        <f>SUM(CB3:CB18)</f>
        <v>6349.0846759844317</v>
      </c>
      <c r="CD20" s="5"/>
      <c r="CH20" s="5">
        <f t="shared" si="6"/>
        <v>9.7872323844860887</v>
      </c>
      <c r="CW20" s="5">
        <f t="shared" si="7"/>
        <v>9.7872323844860887</v>
      </c>
      <c r="DK20" s="5">
        <v>-26.788834429825641</v>
      </c>
      <c r="DL20" s="5">
        <f t="shared" si="8"/>
        <v>-2.0354046530796448</v>
      </c>
      <c r="DN20">
        <f t="shared" si="15"/>
        <v>19</v>
      </c>
      <c r="DO20" s="8">
        <f t="shared" si="9"/>
        <v>7.3412698412698416E-2</v>
      </c>
      <c r="DP20">
        <f t="shared" si="10"/>
        <v>-1.450836487412636</v>
      </c>
      <c r="EA20" s="10" t="s">
        <v>89</v>
      </c>
      <c r="EB20">
        <v>252</v>
      </c>
      <c r="EC20">
        <f>SUM(EC3:EC18)</f>
        <v>0.999</v>
      </c>
      <c r="ED20">
        <f>SUM(ED3:ED18)</f>
        <v>6.1923999999999992</v>
      </c>
      <c r="EE20" s="5">
        <f>SUM(EE3:EE18)</f>
        <v>21376.747887207403</v>
      </c>
    </row>
    <row r="21" spans="3:135" x14ac:dyDescent="0.35">
      <c r="C21" s="2">
        <v>20</v>
      </c>
      <c r="D21" s="3">
        <v>43805</v>
      </c>
      <c r="E21" s="1">
        <v>66.553130999999993</v>
      </c>
      <c r="F21" s="1">
        <f t="shared" si="0"/>
        <v>60.444002701617862</v>
      </c>
      <c r="Q21" s="2">
        <v>20</v>
      </c>
      <c r="R21" s="3">
        <v>43805</v>
      </c>
      <c r="S21" s="1">
        <v>172.26414500000001</v>
      </c>
      <c r="T21" s="1">
        <f t="shared" si="1"/>
        <v>161.02190835821935</v>
      </c>
      <c r="AC21" s="5"/>
      <c r="AD21" s="5">
        <f t="shared" si="2"/>
        <v>6.1091282983821316</v>
      </c>
      <c r="AU21" s="5">
        <f t="shared" si="3"/>
        <v>6.1091282983821316</v>
      </c>
      <c r="BH21" s="5">
        <v>-15.106852011741168</v>
      </c>
      <c r="BI21">
        <f>STANDARDIZE(BH21,AVERAGE($BH$2:$BH$253),_xlfn.STDEV.S($BH$2:$BH$253))</f>
        <v>-1.5449011584309407</v>
      </c>
      <c r="BJ21" s="16"/>
      <c r="BK21">
        <f t="shared" si="11"/>
        <v>20</v>
      </c>
      <c r="BL21">
        <f t="shared" si="4"/>
        <v>7.7380952380952384E-2</v>
      </c>
      <c r="BM21" s="5">
        <f t="shared" si="5"/>
        <v>-1.4229111803109864</v>
      </c>
      <c r="CD21" s="5"/>
      <c r="CH21" s="5">
        <f t="shared" si="6"/>
        <v>11.242236641780664</v>
      </c>
      <c r="CW21" s="5">
        <f t="shared" si="7"/>
        <v>11.242236641780664</v>
      </c>
      <c r="DK21" s="5">
        <v>-26.68046059958553</v>
      </c>
      <c r="DL21" s="5">
        <f t="shared" si="8"/>
        <v>-2.0506661205028944</v>
      </c>
      <c r="DN21">
        <f t="shared" si="15"/>
        <v>20</v>
      </c>
      <c r="DO21" s="8">
        <f t="shared" si="9"/>
        <v>7.7380952380952384E-2</v>
      </c>
      <c r="DP21">
        <f t="shared" si="10"/>
        <v>-1.4229111803109864</v>
      </c>
    </row>
    <row r="22" spans="3:135" x14ac:dyDescent="0.35">
      <c r="C22" s="2">
        <v>21</v>
      </c>
      <c r="D22" s="3">
        <v>43808</v>
      </c>
      <c r="E22" s="1">
        <v>65.621384000000006</v>
      </c>
      <c r="F22" s="1">
        <f t="shared" si="0"/>
        <v>60.687575069972254</v>
      </c>
      <c r="Q22" s="2">
        <v>21</v>
      </c>
      <c r="R22" s="3">
        <v>43808</v>
      </c>
      <c r="S22" s="1">
        <v>171.31179800000001</v>
      </c>
      <c r="T22" s="1">
        <f t="shared" si="1"/>
        <v>160.99051910092479</v>
      </c>
      <c r="AC22" s="5"/>
      <c r="AD22" s="5">
        <f t="shared" si="2"/>
        <v>4.9338089300277517</v>
      </c>
      <c r="AU22" s="5">
        <f t="shared" si="3"/>
        <v>4.9338089300277517</v>
      </c>
      <c r="BH22" s="5">
        <v>-15.104865644653344</v>
      </c>
      <c r="BI22">
        <f>STANDARDIZE(BH22,AVERAGE($BH$2:$BH$253),_xlfn.STDEV.S($BH$2:$BH$253))</f>
        <v>-1.5447013231502449</v>
      </c>
      <c r="BJ22" s="16"/>
      <c r="BK22">
        <f t="shared" si="11"/>
        <v>21</v>
      </c>
      <c r="BL22">
        <f t="shared" si="4"/>
        <v>8.1349206349206352E-2</v>
      </c>
      <c r="BM22" s="5">
        <f t="shared" si="5"/>
        <v>-1.3960534082549905</v>
      </c>
      <c r="CD22" s="5"/>
      <c r="CH22" s="5">
        <f t="shared" si="6"/>
        <v>10.321278899075224</v>
      </c>
      <c r="CW22" s="5">
        <f t="shared" si="7"/>
        <v>10.321278899075224</v>
      </c>
      <c r="DK22" s="5">
        <v>-26.509474289243968</v>
      </c>
      <c r="DL22" s="5">
        <f t="shared" si="8"/>
        <v>-2.0620427774428993</v>
      </c>
      <c r="DN22">
        <f t="shared" si="15"/>
        <v>21</v>
      </c>
      <c r="DO22" s="8">
        <f t="shared" si="9"/>
        <v>8.1349206349206352E-2</v>
      </c>
      <c r="DP22">
        <f t="shared" si="10"/>
        <v>-1.3960534082549905</v>
      </c>
    </row>
    <row r="23" spans="3:135" x14ac:dyDescent="0.35">
      <c r="C23" s="2">
        <v>22</v>
      </c>
      <c r="D23" s="3">
        <v>43809</v>
      </c>
      <c r="E23" s="1">
        <v>66.004897999999997</v>
      </c>
      <c r="F23" s="1">
        <f t="shared" si="0"/>
        <v>60.931147438326647</v>
      </c>
      <c r="Q23" s="2">
        <v>22</v>
      </c>
      <c r="R23" s="3">
        <v>43809</v>
      </c>
      <c r="S23" s="1">
        <v>170.86998</v>
      </c>
      <c r="T23" s="1">
        <f t="shared" si="1"/>
        <v>160.95912984363025</v>
      </c>
      <c r="AC23" s="5"/>
      <c r="AD23" s="5">
        <f t="shared" si="2"/>
        <v>5.07375056167335</v>
      </c>
      <c r="AU23" s="5">
        <f t="shared" si="3"/>
        <v>5.07375056167335</v>
      </c>
      <c r="BH23" s="5">
        <v>-15.056880958576315</v>
      </c>
      <c r="BI23">
        <f>STANDARDIZE(BH23,AVERAGE($BH$2:$BH$253),_xlfn.STDEV.S($BH$2:$BH$253))</f>
        <v>-1.5398739006309716</v>
      </c>
      <c r="BJ23" s="16"/>
      <c r="BK23">
        <f t="shared" si="11"/>
        <v>22</v>
      </c>
      <c r="BL23">
        <f t="shared" si="4"/>
        <v>8.531746031746032E-2</v>
      </c>
      <c r="BM23" s="5">
        <f t="shared" si="5"/>
        <v>-1.3701665397259748</v>
      </c>
      <c r="BW23" s="5"/>
      <c r="CG23" s="5"/>
      <c r="CH23" s="5">
        <f t="shared" si="6"/>
        <v>9.9108501563697473</v>
      </c>
      <c r="CW23" s="5">
        <f t="shared" si="7"/>
        <v>9.9108501563697473</v>
      </c>
      <c r="DK23" s="5">
        <v>-26.465068856880094</v>
      </c>
      <c r="DL23" s="5">
        <f t="shared" si="8"/>
        <v>-2.0827175469849908</v>
      </c>
      <c r="DN23">
        <f t="shared" si="15"/>
        <v>22</v>
      </c>
      <c r="DO23" s="8">
        <f t="shared" si="9"/>
        <v>8.531746031746032E-2</v>
      </c>
      <c r="DP23">
        <f t="shared" si="10"/>
        <v>-1.3701665397259748</v>
      </c>
    </row>
    <row r="24" spans="3:135" x14ac:dyDescent="0.35">
      <c r="C24" s="2">
        <v>23</v>
      </c>
      <c r="D24" s="3">
        <v>43810</v>
      </c>
      <c r="E24" s="1">
        <v>66.567886000000001</v>
      </c>
      <c r="F24" s="1">
        <f t="shared" si="0"/>
        <v>61.17471980668104</v>
      </c>
      <c r="Q24" s="2">
        <v>23</v>
      </c>
      <c r="R24" s="3">
        <v>43810</v>
      </c>
      <c r="S24" s="1">
        <v>172.804092</v>
      </c>
      <c r="T24" s="1">
        <f t="shared" si="1"/>
        <v>160.92774058633569</v>
      </c>
      <c r="AC24" s="5"/>
      <c r="AD24" s="5">
        <f t="shared" si="2"/>
        <v>5.3931661933189616</v>
      </c>
      <c r="AU24" s="5">
        <f t="shared" si="3"/>
        <v>5.3931661933189616</v>
      </c>
      <c r="BH24" s="5">
        <v>-15.024537328197255</v>
      </c>
      <c r="BI24">
        <f>STANDARDIZE(BH24,AVERAGE($BH$2:$BH$253),_xlfn.STDEV.S($BH$2:$BH$253))</f>
        <v>-1.5366200214788546</v>
      </c>
      <c r="BJ24" s="16"/>
      <c r="BK24">
        <f t="shared" si="11"/>
        <v>23</v>
      </c>
      <c r="BL24">
        <f t="shared" si="4"/>
        <v>8.9285714285714288E-2</v>
      </c>
      <c r="BM24" s="5">
        <f t="shared" si="5"/>
        <v>-1.3451666341766386</v>
      </c>
      <c r="BW24" s="5"/>
      <c r="CG24" s="5"/>
      <c r="CH24" s="5">
        <f t="shared" si="6"/>
        <v>11.87635141366431</v>
      </c>
      <c r="CW24" s="5">
        <f t="shared" si="7"/>
        <v>11.87635141366431</v>
      </c>
      <c r="DK24" s="5">
        <v>-26.298212541229077</v>
      </c>
      <c r="DL24" s="5">
        <f t="shared" si="8"/>
        <v>-2.0954080212311523</v>
      </c>
      <c r="DN24">
        <f t="shared" si="15"/>
        <v>23</v>
      </c>
      <c r="DO24" s="8">
        <f t="shared" si="9"/>
        <v>8.9285714285714288E-2</v>
      </c>
      <c r="DP24">
        <f t="shared" si="10"/>
        <v>-1.3451666341766386</v>
      </c>
    </row>
    <row r="25" spans="3:135" x14ac:dyDescent="0.35">
      <c r="C25" s="2">
        <v>24</v>
      </c>
      <c r="D25" s="3">
        <v>43811</v>
      </c>
      <c r="E25" s="1">
        <v>66.737517999999994</v>
      </c>
      <c r="F25" s="1">
        <f t="shared" si="0"/>
        <v>61.418292175035432</v>
      </c>
      <c r="Q25" s="2">
        <v>24</v>
      </c>
      <c r="R25" s="3">
        <v>43811</v>
      </c>
      <c r="S25" s="1">
        <v>174.15898100000001</v>
      </c>
      <c r="T25" s="1">
        <f t="shared" si="1"/>
        <v>160.89635132904112</v>
      </c>
      <c r="AC25" s="5"/>
      <c r="AD25" s="5">
        <f t="shared" si="2"/>
        <v>5.3192258249645619</v>
      </c>
      <c r="AU25" s="5">
        <f t="shared" si="3"/>
        <v>5.3192258249645619</v>
      </c>
      <c r="BH25" s="5">
        <v>-14.694614749716507</v>
      </c>
      <c r="BI25">
        <f>STANDARDIZE(BH25,AVERAGE($BH$2:$BH$253),_xlfn.STDEV.S($BH$2:$BH$253))</f>
        <v>-1.503428688677011</v>
      </c>
      <c r="BJ25" s="16"/>
      <c r="BK25">
        <f t="shared" si="11"/>
        <v>24</v>
      </c>
      <c r="BL25">
        <f t="shared" si="4"/>
        <v>9.3253968253968256E-2</v>
      </c>
      <c r="BM25" s="5">
        <f t="shared" si="5"/>
        <v>-1.3209802893126328</v>
      </c>
      <c r="BW25" s="5"/>
      <c r="CG25" s="5"/>
      <c r="CH25" s="5">
        <f t="shared" si="6"/>
        <v>13.262629670958887</v>
      </c>
      <c r="CW25" s="5">
        <f t="shared" si="7"/>
        <v>13.262629670958887</v>
      </c>
      <c r="DK25" s="5">
        <v>-26.176627260065743</v>
      </c>
      <c r="DL25" s="5">
        <f t="shared" si="8"/>
        <v>-2.111763045823694</v>
      </c>
      <c r="DN25">
        <f t="shared" si="15"/>
        <v>24</v>
      </c>
      <c r="DO25" s="8">
        <f t="shared" si="9"/>
        <v>9.3253968253968256E-2</v>
      </c>
      <c r="DP25">
        <f t="shared" si="10"/>
        <v>-1.3209802893126328</v>
      </c>
    </row>
    <row r="26" spans="3:135" x14ac:dyDescent="0.35">
      <c r="C26" s="2">
        <v>25</v>
      </c>
      <c r="D26" s="3">
        <v>43812</v>
      </c>
      <c r="E26" s="1">
        <v>67.644706999999997</v>
      </c>
      <c r="F26" s="1">
        <f t="shared" si="0"/>
        <v>61.661864543389818</v>
      </c>
      <c r="Q26" s="2">
        <v>25</v>
      </c>
      <c r="R26" s="3">
        <v>43812</v>
      </c>
      <c r="S26" s="1">
        <v>173.756439</v>
      </c>
      <c r="T26" s="1">
        <f t="shared" si="1"/>
        <v>160.86496207174656</v>
      </c>
      <c r="AC26" s="5"/>
      <c r="AD26" s="5">
        <f t="shared" si="2"/>
        <v>5.9828424566101788</v>
      </c>
      <c r="AU26" s="5">
        <f t="shared" si="3"/>
        <v>5.9828424566101788</v>
      </c>
      <c r="BH26" s="5">
        <v>-14.365207221867522</v>
      </c>
      <c r="BI26">
        <f>STANDARDIZE(BH26,AVERAGE($BH$2:$BH$253),_xlfn.STDEV.S($BH$2:$BH$253))</f>
        <v>-1.4702891717193796</v>
      </c>
      <c r="BJ26" s="16"/>
      <c r="BK26">
        <f t="shared" si="11"/>
        <v>25</v>
      </c>
      <c r="BL26">
        <f t="shared" si="4"/>
        <v>9.7222222222222224E-2</v>
      </c>
      <c r="BM26" s="5">
        <f t="shared" si="5"/>
        <v>-1.2975429286165541</v>
      </c>
      <c r="BW26" s="5"/>
      <c r="CG26" s="5"/>
      <c r="CH26" s="5">
        <f t="shared" si="6"/>
        <v>12.891476928253439</v>
      </c>
      <c r="CW26" s="5">
        <f t="shared" si="7"/>
        <v>12.891476928253439</v>
      </c>
      <c r="DK26" s="5">
        <v>-25.87120963407321</v>
      </c>
      <c r="DL26" s="5">
        <f t="shared" si="8"/>
        <v>-2.1154154593198924</v>
      </c>
      <c r="DN26">
        <f t="shared" si="15"/>
        <v>25</v>
      </c>
      <c r="DO26" s="8">
        <f t="shared" si="9"/>
        <v>9.7222222222222224E-2</v>
      </c>
      <c r="DP26">
        <f t="shared" si="10"/>
        <v>-1.2975429286165541</v>
      </c>
    </row>
    <row r="27" spans="3:135" x14ac:dyDescent="0.35">
      <c r="C27" s="2">
        <v>26</v>
      </c>
      <c r="D27" s="3">
        <v>43815</v>
      </c>
      <c r="E27" s="1">
        <v>68.802634999999995</v>
      </c>
      <c r="F27" s="1">
        <f t="shared" si="0"/>
        <v>61.905436911744211</v>
      </c>
      <c r="Q27" s="2">
        <v>26</v>
      </c>
      <c r="R27" s="3">
        <v>43815</v>
      </c>
      <c r="S27" s="1">
        <v>173.18699599999999</v>
      </c>
      <c r="T27" s="1">
        <f t="shared" si="1"/>
        <v>160.83357281445203</v>
      </c>
      <c r="AC27" s="5"/>
      <c r="AD27" s="5">
        <f t="shared" si="2"/>
        <v>6.8971980882557844</v>
      </c>
      <c r="AU27" s="5">
        <f t="shared" si="3"/>
        <v>6.8971980882557844</v>
      </c>
      <c r="BH27" s="5">
        <v>-14.054197380095559</v>
      </c>
      <c r="BI27">
        <f>STANDARDIZE(BH27,AVERAGE($BH$2:$BH$253),_xlfn.STDEV.S($BH$2:$BH$253))</f>
        <v>-1.4390005245148225</v>
      </c>
      <c r="BJ27" s="16"/>
      <c r="BK27">
        <f t="shared" si="11"/>
        <v>26</v>
      </c>
      <c r="BL27">
        <f t="shared" si="4"/>
        <v>0.10119047619047619</v>
      </c>
      <c r="BM27" s="5">
        <f t="shared" si="5"/>
        <v>-1.2747974249655289</v>
      </c>
      <c r="BW27" s="5"/>
      <c r="CG27" s="5"/>
      <c r="CH27" s="5">
        <f t="shared" si="6"/>
        <v>12.353423185547967</v>
      </c>
      <c r="CW27" s="5">
        <f t="shared" si="7"/>
        <v>12.353423185547967</v>
      </c>
      <c r="DK27" s="5">
        <v>-25.393849119484116</v>
      </c>
      <c r="DL27" s="5">
        <f t="shared" si="8"/>
        <v>-2.1066174355803642</v>
      </c>
      <c r="DN27">
        <f t="shared" si="15"/>
        <v>26</v>
      </c>
      <c r="DO27" s="8">
        <f t="shared" si="9"/>
        <v>0.10119047619047619</v>
      </c>
      <c r="DP27">
        <f t="shared" si="10"/>
        <v>-1.2747974249655289</v>
      </c>
    </row>
    <row r="28" spans="3:135" x14ac:dyDescent="0.35">
      <c r="C28" s="2">
        <v>27</v>
      </c>
      <c r="D28" s="3">
        <v>43816</v>
      </c>
      <c r="E28" s="1">
        <v>68.937850999999995</v>
      </c>
      <c r="F28" s="1">
        <f t="shared" si="0"/>
        <v>62.149009280098603</v>
      </c>
      <c r="Q28" s="2">
        <v>27</v>
      </c>
      <c r="R28" s="3">
        <v>43816</v>
      </c>
      <c r="S28" s="1">
        <v>173.481537</v>
      </c>
      <c r="T28" s="1">
        <f t="shared" si="1"/>
        <v>160.80218355715746</v>
      </c>
      <c r="AC28" s="5"/>
      <c r="AD28" s="5">
        <f t="shared" si="2"/>
        <v>6.7888417199013915</v>
      </c>
      <c r="AU28" s="5">
        <f t="shared" si="3"/>
        <v>6.7888417199013915</v>
      </c>
      <c r="BH28" s="5">
        <v>-14.045341063639484</v>
      </c>
      <c r="BI28">
        <f>STANDARDIZE(BH28,AVERAGE($BH$2:$BH$253),_xlfn.STDEV.S($BH$2:$BH$253))</f>
        <v>-1.4381095489767262</v>
      </c>
      <c r="BJ28" s="16"/>
      <c r="BK28">
        <f t="shared" si="11"/>
        <v>27</v>
      </c>
      <c r="BL28">
        <f t="shared" si="4"/>
        <v>0.10515873015873016</v>
      </c>
      <c r="BM28" s="5">
        <f t="shared" si="5"/>
        <v>-1.2526929839120384</v>
      </c>
      <c r="BW28" s="5"/>
      <c r="CG28" s="5"/>
      <c r="CH28" s="5">
        <f t="shared" si="6"/>
        <v>12.67935344284254</v>
      </c>
      <c r="CW28" s="5">
        <f t="shared" si="7"/>
        <v>12.67935344284254</v>
      </c>
      <c r="DK28" s="5">
        <v>-25.159128716298426</v>
      </c>
      <c r="DL28" s="5">
        <f t="shared" si="8"/>
        <v>-2.1151724283288127</v>
      </c>
      <c r="DN28">
        <f t="shared" si="15"/>
        <v>27</v>
      </c>
      <c r="DO28" s="8">
        <f t="shared" si="9"/>
        <v>0.10515873015873016</v>
      </c>
      <c r="DP28">
        <f t="shared" si="10"/>
        <v>-1.2526929839120384</v>
      </c>
    </row>
    <row r="29" spans="3:135" x14ac:dyDescent="0.35">
      <c r="C29" s="2">
        <v>28</v>
      </c>
      <c r="D29" s="3">
        <v>43817</v>
      </c>
      <c r="E29" s="1">
        <v>68.773132000000004</v>
      </c>
      <c r="F29" s="1">
        <f t="shared" si="0"/>
        <v>62.392581648452996</v>
      </c>
      <c r="Q29" s="2">
        <v>28</v>
      </c>
      <c r="R29" s="3">
        <v>43817</v>
      </c>
      <c r="S29" s="1">
        <v>171.45906099999999</v>
      </c>
      <c r="T29" s="1">
        <f t="shared" si="1"/>
        <v>160.7707942998629</v>
      </c>
      <c r="AC29" s="5"/>
      <c r="AD29" s="5">
        <f t="shared" si="2"/>
        <v>6.3805503515470079</v>
      </c>
      <c r="AU29" s="5">
        <f t="shared" si="3"/>
        <v>6.3805503515470079</v>
      </c>
      <c r="BH29" s="5">
        <v>-13.8510546952851</v>
      </c>
      <c r="BI29">
        <f>STANDARDIZE(BH29,AVERAGE($BH$2:$BH$253),_xlfn.STDEV.S($BH$2:$BH$253))</f>
        <v>-1.4185636799410055</v>
      </c>
      <c r="BJ29" s="16"/>
      <c r="BK29">
        <f t="shared" si="11"/>
        <v>28</v>
      </c>
      <c r="BL29">
        <f t="shared" si="4"/>
        <v>0.10912698412698413</v>
      </c>
      <c r="BM29" s="5">
        <f t="shared" si="5"/>
        <v>-1.2311842297805575</v>
      </c>
      <c r="BW29" s="5"/>
      <c r="CG29" s="5"/>
      <c r="CH29" s="5">
        <f t="shared" si="6"/>
        <v>10.688266700137092</v>
      </c>
      <c r="CW29" s="5">
        <f t="shared" si="7"/>
        <v>10.688266700137092</v>
      </c>
      <c r="DK29" s="5">
        <v>-25.146887084996422</v>
      </c>
      <c r="DL29" s="5">
        <f t="shared" si="8"/>
        <v>-2.1404337472011781</v>
      </c>
      <c r="DN29">
        <f t="shared" si="15"/>
        <v>28</v>
      </c>
      <c r="DO29" s="8">
        <f t="shared" si="9"/>
        <v>0.10912698412698413</v>
      </c>
      <c r="DP29">
        <f t="shared" si="10"/>
        <v>-1.2311842297805575</v>
      </c>
    </row>
    <row r="30" spans="3:135" x14ac:dyDescent="0.35">
      <c r="C30" s="2">
        <v>29</v>
      </c>
      <c r="D30" s="3">
        <v>43818</v>
      </c>
      <c r="E30" s="1">
        <v>68.841965000000002</v>
      </c>
      <c r="F30" s="1">
        <f t="shared" si="0"/>
        <v>62.636154016807389</v>
      </c>
      <c r="Q30" s="2">
        <v>29</v>
      </c>
      <c r="R30" s="3">
        <v>43818</v>
      </c>
      <c r="S30" s="1">
        <v>173.28518700000001</v>
      </c>
      <c r="T30" s="1">
        <f t="shared" si="1"/>
        <v>160.73940504256836</v>
      </c>
      <c r="AC30" s="5"/>
      <c r="AD30" s="5">
        <f t="shared" si="2"/>
        <v>6.2058109831926132</v>
      </c>
      <c r="AU30" s="5">
        <f t="shared" si="3"/>
        <v>6.2058109831926132</v>
      </c>
      <c r="BH30" s="5">
        <v>-13.565697537057062</v>
      </c>
      <c r="BI30">
        <f>STANDARDIZE(BH30,AVERAGE($BH$2:$BH$253),_xlfn.STDEV.S($BH$2:$BH$253))</f>
        <v>-1.389855779894426</v>
      </c>
      <c r="BJ30" s="16"/>
      <c r="BK30">
        <f t="shared" si="11"/>
        <v>29</v>
      </c>
      <c r="BL30">
        <f t="shared" si="4"/>
        <v>0.1130952380952381</v>
      </c>
      <c r="BM30" s="5">
        <f t="shared" si="5"/>
        <v>-1.2102304517744085</v>
      </c>
      <c r="BW30" s="5"/>
      <c r="CG30" s="5"/>
      <c r="CH30" s="5">
        <f t="shared" si="6"/>
        <v>12.545781957431643</v>
      </c>
      <c r="CW30" s="5">
        <f t="shared" si="7"/>
        <v>12.545781957431643</v>
      </c>
      <c r="DK30" s="5">
        <v>-25.128737172531117</v>
      </c>
      <c r="DL30" s="5">
        <f t="shared" si="8"/>
        <v>-2.1662133330929851</v>
      </c>
      <c r="DN30">
        <f t="shared" si="15"/>
        <v>29</v>
      </c>
      <c r="DO30" s="8">
        <f t="shared" si="9"/>
        <v>0.1130952380952381</v>
      </c>
      <c r="DP30">
        <f t="shared" si="10"/>
        <v>-1.2102304517744085</v>
      </c>
    </row>
    <row r="31" spans="3:135" x14ac:dyDescent="0.35">
      <c r="C31" s="2">
        <v>30</v>
      </c>
      <c r="D31" s="3">
        <v>43819</v>
      </c>
      <c r="E31" s="1">
        <v>68.699387000000002</v>
      </c>
      <c r="F31" s="1">
        <f t="shared" si="0"/>
        <v>62.879726385161781</v>
      </c>
      <c r="Q31" s="2">
        <v>30</v>
      </c>
      <c r="R31" s="3">
        <v>43819</v>
      </c>
      <c r="S31" s="1">
        <v>173.19682299999999</v>
      </c>
      <c r="T31" s="1">
        <f t="shared" si="1"/>
        <v>160.7080157852738</v>
      </c>
      <c r="AC31" s="5"/>
      <c r="AD31" s="5">
        <f t="shared" si="2"/>
        <v>5.8196606148382202</v>
      </c>
      <c r="AU31" s="5">
        <f t="shared" si="3"/>
        <v>5.8196606148382202</v>
      </c>
      <c r="BH31" s="5">
        <v>-13.408760800348276</v>
      </c>
      <c r="BI31">
        <f>STANDARDIZE(BH31,AVERAGE($BH$2:$BH$253),_xlfn.STDEV.S($BH$2:$BH$253))</f>
        <v>-1.3740674107536319</v>
      </c>
      <c r="BJ31" s="16"/>
      <c r="BK31">
        <f t="shared" si="11"/>
        <v>30</v>
      </c>
      <c r="BL31">
        <f t="shared" si="4"/>
        <v>0.11706349206349206</v>
      </c>
      <c r="BM31" s="5">
        <f t="shared" si="5"/>
        <v>-1.189794977493698</v>
      </c>
      <c r="BW31" s="5"/>
      <c r="CG31" s="5"/>
      <c r="CH31" s="5">
        <f t="shared" si="6"/>
        <v>12.488807214726194</v>
      </c>
      <c r="CW31" s="5">
        <f t="shared" si="7"/>
        <v>12.488807214726194</v>
      </c>
      <c r="DK31" s="5">
        <v>-24.921239002771216</v>
      </c>
      <c r="DL31" s="5">
        <f t="shared" si="8"/>
        <v>-2.1787643179464533</v>
      </c>
      <c r="DN31">
        <f t="shared" si="15"/>
        <v>30</v>
      </c>
      <c r="DO31" s="8">
        <f t="shared" si="9"/>
        <v>0.11706349206349206</v>
      </c>
      <c r="DP31">
        <f t="shared" si="10"/>
        <v>-1.189794977493698</v>
      </c>
    </row>
    <row r="32" spans="3:135" x14ac:dyDescent="0.35">
      <c r="C32" s="2">
        <v>31</v>
      </c>
      <c r="D32" s="3">
        <v>43822</v>
      </c>
      <c r="E32" s="1">
        <v>69.820442</v>
      </c>
      <c r="F32" s="1">
        <f t="shared" si="0"/>
        <v>63.123298753516174</v>
      </c>
      <c r="Q32" s="2">
        <v>31</v>
      </c>
      <c r="R32" s="3">
        <v>43822</v>
      </c>
      <c r="S32" s="1">
        <v>173.21646100000001</v>
      </c>
      <c r="T32" s="1">
        <f t="shared" si="1"/>
        <v>160.67662652797924</v>
      </c>
      <c r="AC32" s="5"/>
      <c r="AD32" s="5">
        <f t="shared" si="2"/>
        <v>6.6971432464838259</v>
      </c>
      <c r="AU32" s="5">
        <f t="shared" si="3"/>
        <v>6.6971432464838259</v>
      </c>
      <c r="BH32" s="5">
        <v>-12.801365905411444</v>
      </c>
      <c r="BI32">
        <f>STANDARDIZE(BH32,AVERAGE($BH$2:$BH$253),_xlfn.STDEV.S($BH$2:$BH$253))</f>
        <v>-1.3129614197880406</v>
      </c>
      <c r="BJ32" s="16"/>
      <c r="BK32">
        <f t="shared" si="11"/>
        <v>31</v>
      </c>
      <c r="BL32">
        <f t="shared" si="4"/>
        <v>0.12103174603174603</v>
      </c>
      <c r="BM32" s="5">
        <f t="shared" si="5"/>
        <v>-1.1698446487773884</v>
      </c>
      <c r="BW32" s="5"/>
      <c r="CG32" s="5"/>
      <c r="CH32" s="5">
        <f t="shared" si="6"/>
        <v>12.539834472020772</v>
      </c>
      <c r="CW32" s="5">
        <f t="shared" si="7"/>
        <v>12.539834472020772</v>
      </c>
      <c r="DK32" s="5">
        <v>-24.690062114174651</v>
      </c>
      <c r="DL32" s="5">
        <f t="shared" si="8"/>
        <v>-2.1899569685859177</v>
      </c>
      <c r="DN32">
        <f t="shared" si="15"/>
        <v>31</v>
      </c>
      <c r="DO32" s="8">
        <f t="shared" si="9"/>
        <v>0.12103174603174603</v>
      </c>
      <c r="DP32">
        <f t="shared" si="10"/>
        <v>-1.1698446487773884</v>
      </c>
    </row>
    <row r="33" spans="3:120" x14ac:dyDescent="0.35">
      <c r="C33" s="2">
        <v>32</v>
      </c>
      <c r="D33" s="3">
        <v>43823</v>
      </c>
      <c r="E33" s="1">
        <v>69.886818000000005</v>
      </c>
      <c r="F33" s="1">
        <f t="shared" si="0"/>
        <v>63.366871121870567</v>
      </c>
      <c r="Q33" s="2">
        <v>32</v>
      </c>
      <c r="R33" s="3">
        <v>43823</v>
      </c>
      <c r="S33" s="1">
        <v>173.098648</v>
      </c>
      <c r="T33" s="1">
        <f t="shared" si="1"/>
        <v>160.64523727068467</v>
      </c>
      <c r="AC33" s="5"/>
      <c r="AD33" s="5">
        <f t="shared" si="2"/>
        <v>6.5199468781294385</v>
      </c>
      <c r="AU33" s="5">
        <f t="shared" si="3"/>
        <v>6.5199468781294385</v>
      </c>
      <c r="BH33" s="5">
        <v>-12.675093853513133</v>
      </c>
      <c r="BI33">
        <f>STANDARDIZE(BH33,AVERAGE($BH$2:$BH$253),_xlfn.STDEV.S($BH$2:$BH$253))</f>
        <v>-1.3002580221684288</v>
      </c>
      <c r="BJ33" s="16"/>
      <c r="BK33">
        <f t="shared" si="11"/>
        <v>32</v>
      </c>
      <c r="BL33">
        <f t="shared" si="4"/>
        <v>0.125</v>
      </c>
      <c r="BM33" s="5">
        <f t="shared" si="5"/>
        <v>-1.1503493803760083</v>
      </c>
      <c r="BW33" s="5"/>
      <c r="CG33" s="5"/>
      <c r="CH33" s="5">
        <f t="shared" si="6"/>
        <v>12.453410729315323</v>
      </c>
      <c r="CW33" s="5">
        <f t="shared" si="7"/>
        <v>12.453410729315323</v>
      </c>
      <c r="DK33" s="5">
        <v>-24.395706371469203</v>
      </c>
      <c r="DL33" s="5">
        <f t="shared" si="8"/>
        <v>-2.1966971601375489</v>
      </c>
      <c r="DN33">
        <f t="shared" si="15"/>
        <v>32</v>
      </c>
      <c r="DO33" s="8">
        <f t="shared" si="9"/>
        <v>0.125</v>
      </c>
      <c r="DP33">
        <f t="shared" si="10"/>
        <v>-1.1503493803760083</v>
      </c>
    </row>
    <row r="34" spans="3:120" x14ac:dyDescent="0.35">
      <c r="C34" s="2">
        <v>33</v>
      </c>
      <c r="D34" s="3">
        <v>43825</v>
      </c>
      <c r="E34" s="1">
        <v>71.273392000000001</v>
      </c>
      <c r="F34" s="1">
        <f t="shared" si="0"/>
        <v>63.610443490224952</v>
      </c>
      <c r="Q34" s="2">
        <v>33</v>
      </c>
      <c r="R34" s="3">
        <v>43825</v>
      </c>
      <c r="S34" s="1">
        <v>173.658264</v>
      </c>
      <c r="T34" s="1">
        <f t="shared" si="1"/>
        <v>160.61384801339014</v>
      </c>
      <c r="AC34" s="5"/>
      <c r="AD34" s="5">
        <f t="shared" si="2"/>
        <v>7.6629485097750489</v>
      </c>
      <c r="AU34" s="5">
        <f t="shared" si="3"/>
        <v>7.6629485097750489</v>
      </c>
      <c r="BH34" s="5">
        <v>-12.156513168702659</v>
      </c>
      <c r="BI34">
        <f>STANDARDIZE(BH34,AVERAGE($BH$2:$BH$253),_xlfn.STDEV.S($BH$2:$BH$253))</f>
        <v>-1.2480870426210051</v>
      </c>
      <c r="BJ34" s="16"/>
      <c r="BK34">
        <f t="shared" si="11"/>
        <v>33</v>
      </c>
      <c r="BL34">
        <f t="shared" si="4"/>
        <v>0.12896825396825398</v>
      </c>
      <c r="BM34" s="5">
        <f t="shared" si="5"/>
        <v>-1.1312817861712798</v>
      </c>
      <c r="BW34" s="5"/>
      <c r="CG34" s="5"/>
      <c r="CH34" s="5">
        <f t="shared" si="6"/>
        <v>13.044415986609863</v>
      </c>
      <c r="CW34" s="5">
        <f t="shared" si="7"/>
        <v>13.044415986609863</v>
      </c>
      <c r="DK34" s="5">
        <v>-24.268169915236541</v>
      </c>
      <c r="DL34" s="5">
        <f t="shared" si="8"/>
        <v>-2.2164859890310971</v>
      </c>
      <c r="DN34">
        <f t="shared" si="15"/>
        <v>33</v>
      </c>
      <c r="DO34" s="8">
        <f t="shared" si="9"/>
        <v>0.12896825396825398</v>
      </c>
      <c r="DP34">
        <f t="shared" si="10"/>
        <v>-1.1312817861712798</v>
      </c>
    </row>
    <row r="35" spans="3:120" x14ac:dyDescent="0.35">
      <c r="C35" s="2">
        <v>34</v>
      </c>
      <c r="D35" s="3">
        <v>43826</v>
      </c>
      <c r="E35" s="1">
        <v>71.246352999999999</v>
      </c>
      <c r="F35" s="1">
        <f t="shared" si="0"/>
        <v>63.854015858579345</v>
      </c>
      <c r="Q35" s="2">
        <v>34</v>
      </c>
      <c r="R35" s="3">
        <v>43826</v>
      </c>
      <c r="S35" s="1">
        <v>173.26556400000001</v>
      </c>
      <c r="T35" s="1">
        <f t="shared" si="1"/>
        <v>160.58245875609558</v>
      </c>
      <c r="AC35" s="5"/>
      <c r="AD35" s="5">
        <f t="shared" si="2"/>
        <v>7.3923371414206542</v>
      </c>
      <c r="AU35" s="5">
        <f t="shared" si="3"/>
        <v>7.3923371414206542</v>
      </c>
      <c r="BH35" s="5">
        <v>-11.960648273765841</v>
      </c>
      <c r="BI35">
        <f>STANDARDIZE(BH35,AVERAGE($BH$2:$BH$253),_xlfn.STDEV.S($BH$2:$BH$253))</f>
        <v>-1.2283823684456805</v>
      </c>
      <c r="BJ35" s="16"/>
      <c r="BK35">
        <f t="shared" si="11"/>
        <v>34</v>
      </c>
      <c r="BL35">
        <f t="shared" si="4"/>
        <v>0.13293650793650794</v>
      </c>
      <c r="BM35" s="5">
        <f t="shared" si="5"/>
        <v>-1.1126168608589178</v>
      </c>
      <c r="BW35" s="5"/>
      <c r="CG35" s="5"/>
      <c r="CH35" s="5">
        <f t="shared" si="6"/>
        <v>12.683105243904436</v>
      </c>
      <c r="CW35" s="5">
        <f t="shared" si="7"/>
        <v>12.683105243904436</v>
      </c>
      <c r="DK35" s="5">
        <v>-24.216053944414767</v>
      </c>
      <c r="DL35" s="5">
        <f t="shared" si="8"/>
        <v>-2.2429227160489691</v>
      </c>
      <c r="DN35">
        <f t="shared" si="15"/>
        <v>34</v>
      </c>
      <c r="DO35" s="8">
        <f t="shared" si="9"/>
        <v>0.13293650793650794</v>
      </c>
      <c r="DP35">
        <f t="shared" si="10"/>
        <v>-1.1126168608589178</v>
      </c>
    </row>
    <row r="36" spans="3:120" x14ac:dyDescent="0.35">
      <c r="C36" s="2">
        <v>35</v>
      </c>
      <c r="D36" s="3">
        <v>43829</v>
      </c>
      <c r="E36" s="1">
        <v>71.669212000000002</v>
      </c>
      <c r="F36" s="1">
        <f t="shared" si="0"/>
        <v>64.097588226933738</v>
      </c>
      <c r="Q36" s="2">
        <v>35</v>
      </c>
      <c r="R36" s="3">
        <v>43829</v>
      </c>
      <c r="S36" s="1">
        <v>173.20661899999999</v>
      </c>
      <c r="T36" s="1">
        <f t="shared" si="1"/>
        <v>160.55106949880101</v>
      </c>
      <c r="AC36" s="5"/>
      <c r="AD36" s="5">
        <f t="shared" si="2"/>
        <v>7.5716237730662641</v>
      </c>
      <c r="AU36" s="5">
        <f t="shared" si="3"/>
        <v>7.5716237730662641</v>
      </c>
      <c r="BH36" s="5">
        <v>-11.78626111680434</v>
      </c>
      <c r="BI36">
        <f>STANDARDIZE(BH36,AVERAGE($BH$2:$BH$253),_xlfn.STDEV.S($BH$2:$BH$253))</f>
        <v>-1.2108384277134936</v>
      </c>
      <c r="BJ36" s="16"/>
      <c r="BK36">
        <f t="shared" si="11"/>
        <v>35</v>
      </c>
      <c r="BL36">
        <f t="shared" si="4"/>
        <v>0.13690476190476192</v>
      </c>
      <c r="BM36" s="5">
        <f t="shared" si="5"/>
        <v>-1.0943317074660934</v>
      </c>
      <c r="BW36" s="5"/>
      <c r="CG36" s="5"/>
      <c r="CH36" s="5">
        <f t="shared" si="6"/>
        <v>12.655549501198976</v>
      </c>
      <c r="CW36" s="5">
        <f t="shared" si="7"/>
        <v>12.655549501198976</v>
      </c>
      <c r="DK36" s="5">
        <v>-23.040227061127666</v>
      </c>
      <c r="DL36" s="5">
        <f t="shared" si="8"/>
        <v>-2.1821492425844435</v>
      </c>
      <c r="DN36">
        <f t="shared" si="15"/>
        <v>35</v>
      </c>
      <c r="DO36" s="8">
        <f t="shared" si="9"/>
        <v>0.13690476190476192</v>
      </c>
      <c r="DP36">
        <f t="shared" si="10"/>
        <v>-1.0943317074660934</v>
      </c>
    </row>
    <row r="37" spans="3:120" x14ac:dyDescent="0.35">
      <c r="C37" s="2">
        <v>36</v>
      </c>
      <c r="D37" s="3">
        <v>43830</v>
      </c>
      <c r="E37" s="1">
        <v>72.192863000000003</v>
      </c>
      <c r="F37" s="1">
        <f t="shared" si="0"/>
        <v>64.34116059528813</v>
      </c>
      <c r="Q37" s="2">
        <v>36</v>
      </c>
      <c r="R37" s="3">
        <v>43830</v>
      </c>
      <c r="S37" s="1">
        <v>173.776062</v>
      </c>
      <c r="T37" s="1">
        <f t="shared" si="1"/>
        <v>160.51968024150645</v>
      </c>
      <c r="AC37" s="5"/>
      <c r="AD37" s="5">
        <f t="shared" si="2"/>
        <v>7.8517024047118724</v>
      </c>
      <c r="AU37" s="5">
        <f t="shared" si="3"/>
        <v>7.8517024047118724</v>
      </c>
      <c r="BH37" s="5">
        <v>-11.472903485158739</v>
      </c>
      <c r="BI37">
        <f>STANDARDIZE(BH37,AVERAGE($BH$2:$BH$253),_xlfn.STDEV.S($BH$2:$BH$253))</f>
        <v>-1.1793135848675118</v>
      </c>
      <c r="BJ37" s="16"/>
      <c r="BK37">
        <f t="shared" si="11"/>
        <v>36</v>
      </c>
      <c r="BL37">
        <f t="shared" si="4"/>
        <v>0.14087301587301587</v>
      </c>
      <c r="BM37" s="5">
        <f t="shared" si="5"/>
        <v>-1.0764053029751872</v>
      </c>
      <c r="BW37" s="5"/>
      <c r="CG37" s="5"/>
      <c r="CH37" s="5">
        <f t="shared" si="6"/>
        <v>13.256381758493546</v>
      </c>
      <c r="CW37" s="5">
        <f t="shared" si="7"/>
        <v>13.256381758493546</v>
      </c>
      <c r="DK37" s="5">
        <v>-22.582207342290957</v>
      </c>
      <c r="DL37" s="5">
        <f t="shared" si="8"/>
        <v>-2.1753468271721594</v>
      </c>
      <c r="DN37">
        <f t="shared" si="15"/>
        <v>36</v>
      </c>
      <c r="DO37" s="8">
        <f t="shared" si="9"/>
        <v>0.14087301587301587</v>
      </c>
      <c r="DP37">
        <f t="shared" si="10"/>
        <v>-1.0764053029751872</v>
      </c>
    </row>
    <row r="38" spans="3:120" x14ac:dyDescent="0.35">
      <c r="C38" s="2">
        <v>37</v>
      </c>
      <c r="D38" s="3">
        <v>43832</v>
      </c>
      <c r="E38" s="1">
        <v>73.840041999999997</v>
      </c>
      <c r="F38" s="1">
        <f t="shared" si="0"/>
        <v>64.584732963642523</v>
      </c>
      <c r="Q38" s="2">
        <v>37</v>
      </c>
      <c r="R38" s="3">
        <v>43832</v>
      </c>
      <c r="S38" s="1">
        <v>177.49704</v>
      </c>
      <c r="T38" s="1">
        <f t="shared" si="1"/>
        <v>160.48829098421191</v>
      </c>
      <c r="AC38" s="5"/>
      <c r="AD38" s="5">
        <f t="shared" si="2"/>
        <v>9.2553090363574739</v>
      </c>
      <c r="AU38" s="5">
        <f t="shared" si="3"/>
        <v>9.2553090363574739</v>
      </c>
      <c r="BH38" s="5">
        <v>-11.447674642120234</v>
      </c>
      <c r="BI38">
        <f>STANDARDIZE(BH38,AVERAGE($BH$2:$BH$253),_xlfn.STDEV.S($BH$2:$BH$253))</f>
        <v>-1.1767754775050134</v>
      </c>
      <c r="BJ38" s="16"/>
      <c r="BK38">
        <f t="shared" si="11"/>
        <v>37</v>
      </c>
      <c r="BL38">
        <f t="shared" si="4"/>
        <v>0.14484126984126985</v>
      </c>
      <c r="BM38" s="5">
        <f t="shared" si="5"/>
        <v>-1.0588182958080339</v>
      </c>
      <c r="BW38" s="5"/>
      <c r="CG38" s="5"/>
      <c r="CH38" s="5">
        <f t="shared" si="6"/>
        <v>17.008749015788084</v>
      </c>
      <c r="CW38" s="5">
        <f t="shared" si="7"/>
        <v>17.008749015788084</v>
      </c>
      <c r="DK38" s="5">
        <v>-22.403551628763751</v>
      </c>
      <c r="DL38" s="5">
        <f t="shared" si="8"/>
        <v>-2.1904604352612136</v>
      </c>
      <c r="DN38">
        <f t="shared" si="15"/>
        <v>37</v>
      </c>
      <c r="DO38" s="8">
        <f t="shared" si="9"/>
        <v>0.14484126984126985</v>
      </c>
      <c r="DP38">
        <f t="shared" si="10"/>
        <v>-1.0588182958080339</v>
      </c>
    </row>
    <row r="39" spans="3:120" x14ac:dyDescent="0.35">
      <c r="C39" s="2">
        <v>38</v>
      </c>
      <c r="D39" s="3">
        <v>43833</v>
      </c>
      <c r="E39" s="1">
        <v>73.122153999999995</v>
      </c>
      <c r="F39" s="1">
        <f t="shared" si="0"/>
        <v>64.828305331996916</v>
      </c>
      <c r="Q39" s="2">
        <v>38</v>
      </c>
      <c r="R39" s="3">
        <v>43833</v>
      </c>
      <c r="S39" s="1">
        <v>175.602203</v>
      </c>
      <c r="T39" s="1">
        <f t="shared" si="1"/>
        <v>160.45690172691735</v>
      </c>
      <c r="AC39" s="5"/>
      <c r="AD39" s="5">
        <f t="shared" si="2"/>
        <v>8.2938486680030792</v>
      </c>
      <c r="AU39" s="5">
        <f t="shared" si="3"/>
        <v>8.2938486680030792</v>
      </c>
      <c r="BH39" s="5">
        <v>-10.924859010474634</v>
      </c>
      <c r="BI39">
        <f>STANDARDIZE(BH39,AVERAGE($BH$2:$BH$253),_xlfn.STDEV.S($BH$2:$BH$253))</f>
        <v>-1.1241784479113939</v>
      </c>
      <c r="BJ39" s="16"/>
      <c r="BK39">
        <f t="shared" si="11"/>
        <v>38</v>
      </c>
      <c r="BL39">
        <f t="shared" si="4"/>
        <v>0.14880952380952381</v>
      </c>
      <c r="BM39" s="5">
        <f t="shared" si="5"/>
        <v>-1.0415528300904833</v>
      </c>
      <c r="BW39" s="5"/>
      <c r="CG39" s="5"/>
      <c r="CH39" s="5">
        <f t="shared" si="6"/>
        <v>15.145301273082652</v>
      </c>
      <c r="CW39" s="5">
        <f t="shared" si="7"/>
        <v>15.145301273082652</v>
      </c>
      <c r="DK39" s="5">
        <v>-22.262599798523638</v>
      </c>
      <c r="DL39" s="5">
        <f t="shared" si="8"/>
        <v>-2.2091826097907101</v>
      </c>
      <c r="DN39">
        <f t="shared" si="15"/>
        <v>38</v>
      </c>
      <c r="DO39" s="8">
        <f t="shared" si="9"/>
        <v>0.14880952380952381</v>
      </c>
      <c r="DP39">
        <f t="shared" si="10"/>
        <v>-1.0415528300904833</v>
      </c>
    </row>
    <row r="40" spans="3:120" x14ac:dyDescent="0.35">
      <c r="C40" s="2">
        <v>39</v>
      </c>
      <c r="D40" s="3">
        <v>43836</v>
      </c>
      <c r="E40" s="1">
        <v>73.704819000000001</v>
      </c>
      <c r="F40" s="1">
        <f t="shared" si="0"/>
        <v>65.071877700351308</v>
      </c>
      <c r="Q40" s="2">
        <v>39</v>
      </c>
      <c r="R40" s="3">
        <v>43836</v>
      </c>
      <c r="S40" s="1">
        <v>174.276794</v>
      </c>
      <c r="T40" s="1">
        <f t="shared" si="1"/>
        <v>160.42551246962279</v>
      </c>
      <c r="AC40" s="5"/>
      <c r="AD40" s="5">
        <f t="shared" si="2"/>
        <v>8.6329412996486923</v>
      </c>
      <c r="AU40" s="5">
        <f t="shared" si="3"/>
        <v>8.6329412996486923</v>
      </c>
      <c r="BH40" s="5">
        <v>-10.897043748449946</v>
      </c>
      <c r="BI40">
        <f>STANDARDIZE(BH40,AVERAGE($BH$2:$BH$253),_xlfn.STDEV.S($BH$2:$BH$253))</f>
        <v>-1.1213801380076482</v>
      </c>
      <c r="BJ40" s="16"/>
      <c r="BK40">
        <f t="shared" si="11"/>
        <v>39</v>
      </c>
      <c r="BL40">
        <f t="shared" si="4"/>
        <v>0.15277777777777779</v>
      </c>
      <c r="BM40" s="5">
        <f t="shared" si="5"/>
        <v>-1.024592392540099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f t="shared" si="6"/>
        <v>13.851281530377207</v>
      </c>
      <c r="CW40" s="5">
        <f t="shared" si="7"/>
        <v>13.851281530377207</v>
      </c>
      <c r="DK40" s="5">
        <v>-22.209755283934555</v>
      </c>
      <c r="DL40" s="5">
        <f t="shared" si="8"/>
        <v>-2.2358214935008167</v>
      </c>
      <c r="DN40">
        <f t="shared" si="15"/>
        <v>39</v>
      </c>
      <c r="DO40" s="8">
        <f t="shared" si="9"/>
        <v>0.15277777777777779</v>
      </c>
      <c r="DP40">
        <f t="shared" si="10"/>
        <v>-1.024592392540099</v>
      </c>
    </row>
    <row r="41" spans="3:120" x14ac:dyDescent="0.35">
      <c r="C41" s="2">
        <v>40</v>
      </c>
      <c r="D41" s="3">
        <v>43837</v>
      </c>
      <c r="E41" s="1">
        <v>73.358185000000006</v>
      </c>
      <c r="F41" s="1">
        <f t="shared" si="0"/>
        <v>65.315450068705701</v>
      </c>
      <c r="Q41" s="2">
        <v>40</v>
      </c>
      <c r="R41" s="3">
        <v>43837</v>
      </c>
      <c r="S41" s="1">
        <v>174.37496899999999</v>
      </c>
      <c r="T41" s="1">
        <f t="shared" si="1"/>
        <v>160.39412321232822</v>
      </c>
      <c r="AC41" s="5"/>
      <c r="AD41" s="5">
        <f t="shared" si="2"/>
        <v>8.0427349312943051</v>
      </c>
      <c r="AU41" s="5">
        <f t="shared" si="3"/>
        <v>8.0427349312943051</v>
      </c>
      <c r="BH41" s="5">
        <v>-10.580171220600974</v>
      </c>
      <c r="BI41">
        <f>STANDARDIZE(BH41,AVERAGE($BH$2:$BH$253),_xlfn.STDEV.S($BH$2:$BH$253))</f>
        <v>-1.0895016846564771</v>
      </c>
      <c r="BJ41" s="16"/>
      <c r="BK41">
        <f t="shared" si="11"/>
        <v>40</v>
      </c>
      <c r="BL41">
        <f t="shared" si="4"/>
        <v>0.15674603174603174</v>
      </c>
      <c r="BM41" s="5">
        <f t="shared" si="5"/>
        <v>-1.0079216785556244</v>
      </c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>
        <f t="shared" si="6"/>
        <v>13.980845787671768</v>
      </c>
      <c r="CW41" s="5">
        <f t="shared" si="7"/>
        <v>13.980845787671768</v>
      </c>
      <c r="DK41" s="5">
        <v>-22.161894230887555</v>
      </c>
      <c r="DL41" s="5">
        <f t="shared" si="8"/>
        <v>-2.264000224903596</v>
      </c>
      <c r="DN41">
        <f t="shared" si="15"/>
        <v>40</v>
      </c>
      <c r="DO41" s="8">
        <f t="shared" si="9"/>
        <v>0.15674603174603174</v>
      </c>
      <c r="DP41">
        <f t="shared" si="10"/>
        <v>-1.0079216785556244</v>
      </c>
    </row>
    <row r="42" spans="3:120" x14ac:dyDescent="0.35">
      <c r="C42" s="2">
        <v>41</v>
      </c>
      <c r="D42" s="3">
        <v>43838</v>
      </c>
      <c r="E42" s="1">
        <v>74.538239000000004</v>
      </c>
      <c r="F42" s="1">
        <f t="shared" si="0"/>
        <v>65.559022437060094</v>
      </c>
      <c r="Q42" s="2">
        <v>41</v>
      </c>
      <c r="R42" s="3">
        <v>43838</v>
      </c>
      <c r="S42" s="1">
        <v>174.522232</v>
      </c>
      <c r="T42" s="1">
        <f t="shared" si="1"/>
        <v>160.36273395503369</v>
      </c>
      <c r="AC42" s="5"/>
      <c r="AD42" s="5">
        <f t="shared" si="2"/>
        <v>8.9792165629399108</v>
      </c>
      <c r="AU42" s="5">
        <f t="shared" si="3"/>
        <v>8.9792165629399108</v>
      </c>
      <c r="BH42" s="5">
        <v>-10.223815535790493</v>
      </c>
      <c r="BI42">
        <f>STANDARDIZE(BH42,AVERAGE($BH$2:$BH$253),_xlfn.STDEV.S($BH$2:$BH$253))</f>
        <v>-1.053651091511747</v>
      </c>
      <c r="BJ42" s="16"/>
      <c r="BK42">
        <f t="shared" si="11"/>
        <v>41</v>
      </c>
      <c r="BL42">
        <f t="shared" si="4"/>
        <v>0.16071428571428573</v>
      </c>
      <c r="BM42" s="5">
        <f t="shared" si="5"/>
        <v>-0.99152647467733057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>
        <f t="shared" si="6"/>
        <v>14.159498044966313</v>
      </c>
      <c r="CW42" s="5">
        <f t="shared" si="7"/>
        <v>14.159498044966313</v>
      </c>
      <c r="DK42" s="5">
        <v>-21.661230201709344</v>
      </c>
      <c r="DL42" s="5">
        <f t="shared" si="8"/>
        <v>-2.2557950778455242</v>
      </c>
      <c r="DN42">
        <f t="shared" si="15"/>
        <v>41</v>
      </c>
      <c r="DO42" s="8">
        <f t="shared" si="9"/>
        <v>0.16071428571428573</v>
      </c>
      <c r="DP42">
        <f t="shared" si="10"/>
        <v>-0.99152647467733057</v>
      </c>
    </row>
    <row r="43" spans="3:120" x14ac:dyDescent="0.35">
      <c r="C43" s="2">
        <v>42</v>
      </c>
      <c r="D43" s="3">
        <v>43839</v>
      </c>
      <c r="E43" s="1">
        <v>76.121498000000003</v>
      </c>
      <c r="F43" s="1">
        <f t="shared" si="0"/>
        <v>65.802594805414486</v>
      </c>
      <c r="Q43" s="2">
        <v>42</v>
      </c>
      <c r="R43" s="3">
        <v>43839</v>
      </c>
      <c r="S43" s="1">
        <v>175.80838</v>
      </c>
      <c r="T43" s="1">
        <f t="shared" si="1"/>
        <v>160.33134469773913</v>
      </c>
      <c r="AC43" s="5"/>
      <c r="AD43" s="5">
        <f t="shared" si="2"/>
        <v>10.318903194585516</v>
      </c>
      <c r="AU43" s="5">
        <f t="shared" si="3"/>
        <v>10.318903194585516</v>
      </c>
      <c r="BH43" s="5">
        <v>-10.107965483892187</v>
      </c>
      <c r="BI43">
        <f>STANDARDIZE(BH43,AVERAGE($BH$2:$BH$253),_xlfn.STDEV.S($BH$2:$BH$253))</f>
        <v>-1.0419961825165085</v>
      </c>
      <c r="BJ43" s="16"/>
      <c r="BK43">
        <f t="shared" si="11"/>
        <v>42</v>
      </c>
      <c r="BL43">
        <f t="shared" si="4"/>
        <v>0.16468253968253968</v>
      </c>
      <c r="BM43" s="5">
        <f t="shared" si="5"/>
        <v>-0.97539355506375336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>
        <f t="shared" si="6"/>
        <v>15.477035302260873</v>
      </c>
      <c r="CW43" s="5">
        <f t="shared" si="7"/>
        <v>15.477035302260873</v>
      </c>
      <c r="DK43" s="5">
        <v>-20.931566745476658</v>
      </c>
      <c r="DL43" s="5">
        <f t="shared" si="8"/>
        <v>-2.2277980329695652</v>
      </c>
      <c r="DN43">
        <f t="shared" si="15"/>
        <v>42</v>
      </c>
      <c r="DO43" s="8">
        <f t="shared" si="9"/>
        <v>0.16468253968253968</v>
      </c>
      <c r="DP43">
        <f t="shared" si="10"/>
        <v>-0.97539355506375336</v>
      </c>
    </row>
    <row r="44" spans="3:120" x14ac:dyDescent="0.35">
      <c r="C44" s="2">
        <v>43</v>
      </c>
      <c r="D44" s="3">
        <v>43840</v>
      </c>
      <c r="E44" s="1">
        <v>76.293578999999994</v>
      </c>
      <c r="F44" s="1">
        <f t="shared" si="0"/>
        <v>66.046167173768879</v>
      </c>
      <c r="Q44" s="2">
        <v>43</v>
      </c>
      <c r="R44" s="3">
        <v>43840</v>
      </c>
      <c r="S44" s="1">
        <v>175.42546100000001</v>
      </c>
      <c r="T44" s="1">
        <f t="shared" si="1"/>
        <v>160.29995544044456</v>
      </c>
      <c r="AC44" s="5"/>
      <c r="AD44" s="5">
        <f t="shared" si="2"/>
        <v>10.247411826231115</v>
      </c>
      <c r="AU44" s="5">
        <f t="shared" si="3"/>
        <v>10.247411826231115</v>
      </c>
      <c r="BH44" s="5">
        <v>-10.106956009208062</v>
      </c>
      <c r="BI44">
        <f>STANDARDIZE(BH44,AVERAGE($BH$2:$BH$253),_xlfn.STDEV.S($BH$2:$BH$253))</f>
        <v>-1.0418946259320816</v>
      </c>
      <c r="BJ44" s="16"/>
      <c r="BK44">
        <f t="shared" si="11"/>
        <v>43</v>
      </c>
      <c r="BL44">
        <f t="shared" si="4"/>
        <v>0.16865079365079366</v>
      </c>
      <c r="BM44" s="5">
        <f t="shared" si="5"/>
        <v>-0.95951059001725081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>
        <f t="shared" si="6"/>
        <v>15.12550555955545</v>
      </c>
      <c r="CW44" s="5">
        <f t="shared" si="7"/>
        <v>15.12550555955545</v>
      </c>
      <c r="DK44" s="5">
        <v>-20.527700026639991</v>
      </c>
      <c r="DL44" s="5">
        <f t="shared" si="8"/>
        <v>-2.2258567386315442</v>
      </c>
      <c r="DN44">
        <f t="shared" si="15"/>
        <v>43</v>
      </c>
      <c r="DO44" s="8">
        <f t="shared" si="9"/>
        <v>0.16865079365079366</v>
      </c>
      <c r="DP44">
        <f t="shared" si="10"/>
        <v>-0.95951059001725081</v>
      </c>
    </row>
    <row r="45" spans="3:120" x14ac:dyDescent="0.35">
      <c r="C45" s="2">
        <v>44</v>
      </c>
      <c r="D45" s="3">
        <v>43843</v>
      </c>
      <c r="E45" s="1">
        <v>77.923537999999994</v>
      </c>
      <c r="F45" s="1">
        <f t="shared" si="0"/>
        <v>66.289739542123272</v>
      </c>
      <c r="Q45" s="2">
        <v>44</v>
      </c>
      <c r="R45" s="3">
        <v>43843</v>
      </c>
      <c r="S45" s="1">
        <v>177.96829199999999</v>
      </c>
      <c r="T45" s="1">
        <f t="shared" si="1"/>
        <v>160.26856618315</v>
      </c>
      <c r="AC45" s="5"/>
      <c r="AD45" s="5">
        <f t="shared" si="2"/>
        <v>11.633798457876722</v>
      </c>
      <c r="AU45" s="5">
        <f t="shared" si="3"/>
        <v>11.633798457876722</v>
      </c>
      <c r="BH45" s="5">
        <v>-9.9531815395901617</v>
      </c>
      <c r="BI45">
        <f>STANDARDIZE(BH45,AVERAGE($BH$2:$BH$253),_xlfn.STDEV.S($BH$2:$BH$253))</f>
        <v>-1.0264243916091751</v>
      </c>
      <c r="BJ45" s="16"/>
      <c r="BK45">
        <f t="shared" si="11"/>
        <v>44</v>
      </c>
      <c r="BL45">
        <f t="shared" si="4"/>
        <v>0.17261904761904762</v>
      </c>
      <c r="BM45" s="5">
        <f t="shared" si="5"/>
        <v>-0.94386606490653602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>
        <f t="shared" si="6"/>
        <v>17.699725816849991</v>
      </c>
      <c r="CW45" s="5">
        <f t="shared" si="7"/>
        <v>17.699725816849991</v>
      </c>
      <c r="DK45" s="5">
        <v>-19.933023657941987</v>
      </c>
      <c r="DL45" s="5">
        <f t="shared" si="8"/>
        <v>-2.2073455255919967</v>
      </c>
      <c r="DN45">
        <f t="shared" si="15"/>
        <v>44</v>
      </c>
      <c r="DO45" s="8">
        <f t="shared" si="9"/>
        <v>0.17261904761904762</v>
      </c>
      <c r="DP45">
        <f t="shared" si="10"/>
        <v>-0.94386606490653602</v>
      </c>
    </row>
    <row r="46" spans="3:120" x14ac:dyDescent="0.35">
      <c r="C46" s="2">
        <v>45</v>
      </c>
      <c r="D46" s="3">
        <v>43844</v>
      </c>
      <c r="E46" s="1">
        <v>76.871323000000004</v>
      </c>
      <c r="F46" s="1">
        <f t="shared" si="0"/>
        <v>66.533311910477664</v>
      </c>
      <c r="Q46" s="2">
        <v>45</v>
      </c>
      <c r="R46" s="3">
        <v>43844</v>
      </c>
      <c r="S46" s="1">
        <v>177.16322299999999</v>
      </c>
      <c r="T46" s="1">
        <f t="shared" si="1"/>
        <v>160.23717692585547</v>
      </c>
      <c r="AC46" s="5"/>
      <c r="AD46" s="5">
        <f t="shared" si="2"/>
        <v>10.33801108952234</v>
      </c>
      <c r="AU46" s="5">
        <f t="shared" si="3"/>
        <v>10.33801108952234</v>
      </c>
      <c r="BH46" s="5">
        <v>-9.9030181674361017</v>
      </c>
      <c r="BI46">
        <f>STANDARDIZE(BH46,AVERAGE($BH$2:$BH$253),_xlfn.STDEV.S($BH$2:$BH$253))</f>
        <v>-1.0213777858651996</v>
      </c>
      <c r="BJ46" s="16"/>
      <c r="BK46">
        <f t="shared" si="11"/>
        <v>45</v>
      </c>
      <c r="BL46">
        <f t="shared" si="4"/>
        <v>0.1765873015873016</v>
      </c>
      <c r="BM46" s="5">
        <f t="shared" si="5"/>
        <v>-0.92844920809329989</v>
      </c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>
        <f t="shared" si="6"/>
        <v>16.926046074144523</v>
      </c>
      <c r="CW46" s="5">
        <f t="shared" si="7"/>
        <v>16.926046074144523</v>
      </c>
      <c r="DK46" s="5">
        <v>-19.514705973592982</v>
      </c>
      <c r="DL46" s="5">
        <f t="shared" si="8"/>
        <v>-2.2030097726817748</v>
      </c>
      <c r="DN46">
        <f t="shared" si="15"/>
        <v>45</v>
      </c>
      <c r="DO46" s="8">
        <f t="shared" si="9"/>
        <v>0.1765873015873016</v>
      </c>
      <c r="DP46">
        <f t="shared" si="10"/>
        <v>-0.92844920809329989</v>
      </c>
    </row>
    <row r="47" spans="3:120" x14ac:dyDescent="0.35">
      <c r="C47" s="2">
        <v>46</v>
      </c>
      <c r="D47" s="3">
        <v>43845</v>
      </c>
      <c r="E47" s="1">
        <v>76.541884999999994</v>
      </c>
      <c r="F47" s="1">
        <f t="shared" si="0"/>
        <v>66.776884278832057</v>
      </c>
      <c r="Q47" s="2">
        <v>46</v>
      </c>
      <c r="R47" s="3">
        <v>43845</v>
      </c>
      <c r="S47" s="1">
        <v>177.43812600000001</v>
      </c>
      <c r="T47" s="1">
        <f t="shared" si="1"/>
        <v>160.2057876685609</v>
      </c>
      <c r="AC47" s="5"/>
      <c r="AD47" s="5">
        <f t="shared" si="2"/>
        <v>9.7650007211679366</v>
      </c>
      <c r="AU47" s="5">
        <f t="shared" si="3"/>
        <v>9.7650007211679366</v>
      </c>
      <c r="BH47" s="5">
        <v>-9.8807048522465806</v>
      </c>
      <c r="BI47">
        <f>STANDARDIZE(BH47,AVERAGE($BH$2:$BH$253),_xlfn.STDEV.S($BH$2:$BH$253))</f>
        <v>-1.0191329905141866</v>
      </c>
      <c r="BJ47" s="16"/>
      <c r="BK47">
        <f t="shared" si="11"/>
        <v>46</v>
      </c>
      <c r="BL47">
        <f t="shared" si="4"/>
        <v>0.18055555555555555</v>
      </c>
      <c r="BM47" s="5">
        <f t="shared" si="5"/>
        <v>-0.91324992668360727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f t="shared" si="6"/>
        <v>17.232338331439109</v>
      </c>
      <c r="CW47" s="5">
        <f t="shared" si="7"/>
        <v>17.232338331439109</v>
      </c>
      <c r="DK47" s="5">
        <v>-19.22589459427607</v>
      </c>
      <c r="DL47" s="5">
        <f t="shared" si="8"/>
        <v>-2.2096055826604459</v>
      </c>
      <c r="DN47">
        <f t="shared" si="15"/>
        <v>46</v>
      </c>
      <c r="DO47" s="8">
        <f t="shared" si="9"/>
        <v>0.18055555555555555</v>
      </c>
      <c r="DP47">
        <f t="shared" si="10"/>
        <v>-0.91324992668360727</v>
      </c>
    </row>
    <row r="48" spans="3:120" x14ac:dyDescent="0.35">
      <c r="C48" s="2">
        <v>47</v>
      </c>
      <c r="D48" s="3">
        <v>43846</v>
      </c>
      <c r="E48" s="1">
        <v>77.500693999999996</v>
      </c>
      <c r="F48" s="1">
        <f t="shared" si="0"/>
        <v>67.02045664718645</v>
      </c>
      <c r="Q48" s="2">
        <v>47</v>
      </c>
      <c r="R48" s="3">
        <v>43846</v>
      </c>
      <c r="S48" s="1">
        <v>178.94026199999999</v>
      </c>
      <c r="T48" s="1">
        <f t="shared" si="1"/>
        <v>160.17439841126634</v>
      </c>
      <c r="AC48" s="5"/>
      <c r="AD48" s="5">
        <f t="shared" si="2"/>
        <v>10.480237352813546</v>
      </c>
      <c r="AU48" s="5">
        <f t="shared" si="3"/>
        <v>10.480237352813546</v>
      </c>
      <c r="BH48" s="5">
        <v>-9.794535430727322</v>
      </c>
      <c r="BI48">
        <f>STANDARDIZE(BH48,AVERAGE($BH$2:$BH$253),_xlfn.STDEV.S($BH$2:$BH$253))</f>
        <v>-1.0104640538195282</v>
      </c>
      <c r="BJ48" s="16"/>
      <c r="BK48">
        <f t="shared" si="11"/>
        <v>47</v>
      </c>
      <c r="BL48">
        <f t="shared" si="4"/>
        <v>0.18452380952380953</v>
      </c>
      <c r="BM48" s="5">
        <f t="shared" si="5"/>
        <v>-0.89825874910156867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>
        <f t="shared" si="6"/>
        <v>18.765863588733652</v>
      </c>
      <c r="CW48" s="5">
        <f t="shared" si="7"/>
        <v>18.765863588733652</v>
      </c>
      <c r="DK48" s="5">
        <v>-19.149452108865205</v>
      </c>
      <c r="DL48" s="5">
        <f t="shared" si="8"/>
        <v>-2.2350643930914673</v>
      </c>
      <c r="DN48">
        <f t="shared" si="15"/>
        <v>47</v>
      </c>
      <c r="DO48" s="8">
        <f t="shared" si="9"/>
        <v>0.18452380952380953</v>
      </c>
      <c r="DP48">
        <f t="shared" si="10"/>
        <v>-0.89825874910156867</v>
      </c>
    </row>
    <row r="49" spans="3:120" x14ac:dyDescent="0.35">
      <c r="C49" s="2">
        <v>48</v>
      </c>
      <c r="D49" s="3">
        <v>43847</v>
      </c>
      <c r="E49" s="1">
        <v>78.358695999999995</v>
      </c>
      <c r="F49" s="1">
        <f t="shared" si="0"/>
        <v>67.264029015540842</v>
      </c>
      <c r="Q49" s="2">
        <v>48</v>
      </c>
      <c r="R49" s="3">
        <v>43847</v>
      </c>
      <c r="S49" s="1">
        <v>179.89259300000001</v>
      </c>
      <c r="T49" s="1">
        <f t="shared" si="1"/>
        <v>160.14300915397178</v>
      </c>
      <c r="AC49" s="5"/>
      <c r="AD49" s="5">
        <f t="shared" si="2"/>
        <v>11.094666984459153</v>
      </c>
      <c r="AU49" s="5">
        <f t="shared" si="3"/>
        <v>11.094666984459153</v>
      </c>
      <c r="BH49" s="5">
        <v>-9.7145869573097485</v>
      </c>
      <c r="BI49">
        <f>STANDARDIZE(BH49,AVERAGE($BH$2:$BH$253),_xlfn.STDEV.S($BH$2:$BH$253))</f>
        <v>-1.0024209656488989</v>
      </c>
      <c r="BJ49" s="16"/>
      <c r="BK49">
        <f t="shared" si="11"/>
        <v>48</v>
      </c>
      <c r="BL49">
        <f t="shared" si="4"/>
        <v>0.18849206349206349</v>
      </c>
      <c r="BM49" s="5">
        <f t="shared" si="5"/>
        <v>-0.88346677362987858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f t="shared" si="6"/>
        <v>19.74958384602823</v>
      </c>
      <c r="CW49" s="5">
        <f t="shared" si="7"/>
        <v>19.74958384602823</v>
      </c>
      <c r="DK49" s="5">
        <v>-19.014697769345418</v>
      </c>
      <c r="DL49" s="5">
        <f t="shared" si="8"/>
        <v>-2.2564501705977169</v>
      </c>
      <c r="DN49">
        <f t="shared" si="15"/>
        <v>48</v>
      </c>
      <c r="DO49" s="8">
        <f t="shared" si="9"/>
        <v>0.18849206349206349</v>
      </c>
      <c r="DP49">
        <f t="shared" si="10"/>
        <v>-0.88346677362987858</v>
      </c>
    </row>
    <row r="50" spans="3:120" x14ac:dyDescent="0.35">
      <c r="C50" s="2">
        <v>49</v>
      </c>
      <c r="D50" s="3">
        <v>43851</v>
      </c>
      <c r="E50" s="1">
        <v>77.827667000000005</v>
      </c>
      <c r="F50" s="1">
        <f t="shared" si="0"/>
        <v>67.507601383895221</v>
      </c>
      <c r="Q50" s="2">
        <v>49</v>
      </c>
      <c r="R50" s="3">
        <v>43851</v>
      </c>
      <c r="S50" s="1">
        <v>177.634491</v>
      </c>
      <c r="T50" s="1">
        <f t="shared" si="1"/>
        <v>160.11161989667724</v>
      </c>
      <c r="AC50" s="5"/>
      <c r="AD50" s="5">
        <f t="shared" si="2"/>
        <v>10.320065616104785</v>
      </c>
      <c r="AU50" s="5">
        <f t="shared" si="3"/>
        <v>10.320065616104785</v>
      </c>
      <c r="BH50" s="5">
        <v>-9.6943267990817219</v>
      </c>
      <c r="BI50">
        <f>STANDARDIZE(BH50,AVERAGE($BH$2:$BH$253),_xlfn.STDEV.S($BH$2:$BH$253))</f>
        <v>-1.0003827248668917</v>
      </c>
      <c r="BJ50" s="16"/>
      <c r="BK50">
        <f t="shared" si="11"/>
        <v>49</v>
      </c>
      <c r="BL50">
        <f t="shared" si="4"/>
        <v>0.19246031746031747</v>
      </c>
      <c r="BM50" s="5">
        <f t="shared" si="5"/>
        <v>-0.8688656221847797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f t="shared" si="6"/>
        <v>17.522871103322757</v>
      </c>
      <c r="CW50" s="5">
        <f t="shared" si="7"/>
        <v>17.522871103322757</v>
      </c>
      <c r="DK50" s="5">
        <v>-17.844928886058312</v>
      </c>
      <c r="DL50" s="5">
        <f t="shared" si="8"/>
        <v>-2.185807259210566</v>
      </c>
      <c r="DN50">
        <f t="shared" si="15"/>
        <v>49</v>
      </c>
      <c r="DO50" s="8">
        <f t="shared" si="9"/>
        <v>0.19246031746031747</v>
      </c>
      <c r="DP50">
        <f t="shared" si="10"/>
        <v>-0.8688656221847797</v>
      </c>
    </row>
    <row r="51" spans="3:120" x14ac:dyDescent="0.35">
      <c r="C51" s="2">
        <v>50</v>
      </c>
      <c r="D51" s="3">
        <v>43852</v>
      </c>
      <c r="E51" s="1">
        <v>78.105475999999996</v>
      </c>
      <c r="F51" s="1">
        <f t="shared" si="0"/>
        <v>67.751173752249613</v>
      </c>
      <c r="Q51" s="2">
        <v>50</v>
      </c>
      <c r="R51" s="3">
        <v>43852</v>
      </c>
      <c r="S51" s="1">
        <v>176.770523</v>
      </c>
      <c r="T51" s="1">
        <f t="shared" si="1"/>
        <v>160.08023063938268</v>
      </c>
      <c r="AC51" s="5"/>
      <c r="AD51" s="5">
        <f t="shared" si="2"/>
        <v>10.354302247750383</v>
      </c>
      <c r="AU51" s="5">
        <f t="shared" si="3"/>
        <v>10.354302247750383</v>
      </c>
      <c r="BH51" s="5">
        <v>-9.493327904144877</v>
      </c>
      <c r="BI51">
        <f>STANDARDIZE(BH51,AVERAGE($BH$2:$BH$253),_xlfn.STDEV.S($BH$2:$BH$253))</f>
        <v>-0.98016155284110107</v>
      </c>
      <c r="BJ51" s="16"/>
      <c r="BK51">
        <f t="shared" si="11"/>
        <v>50</v>
      </c>
      <c r="BL51">
        <f t="shared" si="4"/>
        <v>0.19642857142857142</v>
      </c>
      <c r="BM51" s="5">
        <f t="shared" si="5"/>
        <v>-0.85444739869598973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f t="shared" si="6"/>
        <v>16.69029236061732</v>
      </c>
      <c r="CW51" s="5">
        <f t="shared" si="7"/>
        <v>16.69029236061732</v>
      </c>
      <c r="DK51" s="5">
        <v>-17.058800400647414</v>
      </c>
      <c r="DL51" s="5">
        <f t="shared" si="8"/>
        <v>-2.1462673829286194</v>
      </c>
      <c r="DN51">
        <f t="shared" si="15"/>
        <v>50</v>
      </c>
      <c r="DO51" s="8">
        <f t="shared" si="9"/>
        <v>0.19642857142857142</v>
      </c>
      <c r="DP51">
        <f t="shared" si="10"/>
        <v>-0.85444739869598973</v>
      </c>
    </row>
    <row r="52" spans="3:120" x14ac:dyDescent="0.35">
      <c r="C52" s="2">
        <v>51</v>
      </c>
      <c r="D52" s="3">
        <v>43853</v>
      </c>
      <c r="E52" s="1">
        <v>78.481621000000004</v>
      </c>
      <c r="F52" s="1">
        <f t="shared" si="0"/>
        <v>67.994746120604006</v>
      </c>
      <c r="Q52" s="2">
        <v>51</v>
      </c>
      <c r="R52" s="3">
        <v>43853</v>
      </c>
      <c r="S52" s="1">
        <v>176.30909700000001</v>
      </c>
      <c r="T52" s="1">
        <f t="shared" si="1"/>
        <v>160.04884138208811</v>
      </c>
      <c r="AC52" s="5"/>
      <c r="AD52" s="5">
        <f t="shared" si="2"/>
        <v>10.486874879395998</v>
      </c>
      <c r="AU52" s="5">
        <f t="shared" si="3"/>
        <v>10.486874879395998</v>
      </c>
      <c r="BH52" s="5">
        <v>-9.3657142724992752</v>
      </c>
      <c r="BI52">
        <f>STANDARDIZE(BH52,AVERAGE($BH$2:$BH$253),_xlfn.STDEV.S($BH$2:$BH$253))</f>
        <v>-0.96732318773888293</v>
      </c>
      <c r="BJ52" s="16"/>
      <c r="BK52">
        <f t="shared" si="11"/>
        <v>51</v>
      </c>
      <c r="BL52">
        <f t="shared" si="4"/>
        <v>0.20039682539682541</v>
      </c>
      <c r="BM52" s="5">
        <f t="shared" si="5"/>
        <v>-0.84020465154900881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f t="shared" si="6"/>
        <v>16.260255617911895</v>
      </c>
      <c r="CW52" s="5">
        <f t="shared" si="7"/>
        <v>16.260255617911895</v>
      </c>
      <c r="DK52" s="5">
        <v>-16.774109488182091</v>
      </c>
      <c r="DL52" s="5">
        <f t="shared" si="8"/>
        <v>-2.1505859514807297</v>
      </c>
      <c r="DN52">
        <f t="shared" si="15"/>
        <v>51</v>
      </c>
      <c r="DO52" s="8">
        <f t="shared" si="9"/>
        <v>0.20039682539682541</v>
      </c>
      <c r="DP52">
        <f t="shared" si="10"/>
        <v>-0.84020465154900881</v>
      </c>
    </row>
    <row r="53" spans="3:120" x14ac:dyDescent="0.35">
      <c r="C53" s="2">
        <v>52</v>
      </c>
      <c r="D53" s="3">
        <v>43854</v>
      </c>
      <c r="E53" s="1">
        <v>78.255439999999993</v>
      </c>
      <c r="F53" s="1">
        <f t="shared" si="0"/>
        <v>68.238318488958399</v>
      </c>
      <c r="Q53" s="2">
        <v>52</v>
      </c>
      <c r="R53" s="3">
        <v>43854</v>
      </c>
      <c r="S53" s="1">
        <v>173.903717</v>
      </c>
      <c r="T53" s="1">
        <f t="shared" si="1"/>
        <v>160.01745212479358</v>
      </c>
      <c r="AC53" s="5"/>
      <c r="AD53" s="5">
        <f t="shared" si="2"/>
        <v>10.017121511041594</v>
      </c>
      <c r="AU53" s="5">
        <f t="shared" si="3"/>
        <v>10.017121511041594</v>
      </c>
      <c r="BH53" s="5">
        <v>-9.2774986940185471</v>
      </c>
      <c r="BI53">
        <f>STANDARDIZE(BH53,AVERAGE($BH$2:$BH$253),_xlfn.STDEV.S($BH$2:$BH$253))</f>
        <v>-0.95844840069901427</v>
      </c>
      <c r="BJ53" s="16"/>
      <c r="BK53">
        <f t="shared" si="11"/>
        <v>52</v>
      </c>
      <c r="BL53">
        <f t="shared" si="4"/>
        <v>0.20436507936507936</v>
      </c>
      <c r="BM53" s="5">
        <f t="shared" si="5"/>
        <v>-0.82613033962053128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f t="shared" si="6"/>
        <v>13.886264875206422</v>
      </c>
      <c r="CW53" s="5">
        <f t="shared" si="7"/>
        <v>13.886264875206422</v>
      </c>
      <c r="DK53" s="5">
        <v>-15.832553535919629</v>
      </c>
      <c r="DL53" s="5">
        <f t="shared" si="8"/>
        <v>-2.0943295707714662</v>
      </c>
      <c r="DN53">
        <f t="shared" si="15"/>
        <v>52</v>
      </c>
      <c r="DO53" s="8">
        <f t="shared" si="9"/>
        <v>0.20436507936507936</v>
      </c>
      <c r="DP53">
        <f t="shared" si="10"/>
        <v>-0.82613033962053128</v>
      </c>
    </row>
    <row r="54" spans="3:120" x14ac:dyDescent="0.35">
      <c r="C54" s="2">
        <v>53</v>
      </c>
      <c r="D54" s="3">
        <v>43857</v>
      </c>
      <c r="E54" s="1">
        <v>75.954314999999994</v>
      </c>
      <c r="F54" s="1">
        <f t="shared" si="0"/>
        <v>68.481890857312791</v>
      </c>
      <c r="Q54" s="2">
        <v>53</v>
      </c>
      <c r="R54" s="3">
        <v>43857</v>
      </c>
      <c r="S54" s="1">
        <v>170.37908899999999</v>
      </c>
      <c r="T54" s="1">
        <f t="shared" si="1"/>
        <v>159.98606286749902</v>
      </c>
      <c r="AC54" s="5"/>
      <c r="AD54" s="5">
        <f t="shared" si="2"/>
        <v>7.4724241426872027</v>
      </c>
      <c r="AU54" s="5">
        <f t="shared" si="3"/>
        <v>7.4724241426872027</v>
      </c>
      <c r="BH54" s="5">
        <v>-9.1658516408536741</v>
      </c>
      <c r="BI54">
        <f>STANDARDIZE(BH54,AVERAGE($BH$2:$BH$253),_xlfn.STDEV.S($BH$2:$BH$253))</f>
        <v>-0.94721632766234976</v>
      </c>
      <c r="BJ54" s="16"/>
      <c r="BK54">
        <f t="shared" si="11"/>
        <v>53</v>
      </c>
      <c r="BL54">
        <f t="shared" si="4"/>
        <v>0.20833333333333334</v>
      </c>
      <c r="BM54" s="5">
        <f t="shared" si="5"/>
        <v>-0.81221780149991241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f t="shared" si="6"/>
        <v>10.393026132500978</v>
      </c>
      <c r="CW54" s="5">
        <f t="shared" si="7"/>
        <v>10.393026132500978</v>
      </c>
      <c r="DK54" s="5">
        <v>-15.031178851570644</v>
      </c>
      <c r="DL54" s="5">
        <f t="shared" si="8"/>
        <v>-2.048421224574958</v>
      </c>
      <c r="DN54">
        <f t="shared" si="15"/>
        <v>53</v>
      </c>
      <c r="DO54" s="8">
        <f t="shared" si="9"/>
        <v>0.20833333333333334</v>
      </c>
      <c r="DP54">
        <f t="shared" si="10"/>
        <v>-0.81221780149991241</v>
      </c>
    </row>
    <row r="55" spans="3:120" x14ac:dyDescent="0.35">
      <c r="C55" s="2">
        <v>54</v>
      </c>
      <c r="D55" s="3">
        <v>43858</v>
      </c>
      <c r="E55" s="1">
        <v>78.103012000000007</v>
      </c>
      <c r="F55" s="1">
        <f t="shared" si="0"/>
        <v>68.725463225667184</v>
      </c>
      <c r="Q55" s="2">
        <v>54</v>
      </c>
      <c r="R55" s="3">
        <v>43858</v>
      </c>
      <c r="S55" s="1">
        <v>172.26414500000001</v>
      </c>
      <c r="T55" s="1">
        <f t="shared" si="1"/>
        <v>159.95467361020445</v>
      </c>
      <c r="AC55" s="5"/>
      <c r="AD55" s="5">
        <f t="shared" si="2"/>
        <v>9.3775487743328227</v>
      </c>
      <c r="AU55" s="5">
        <f t="shared" si="3"/>
        <v>9.3775487743328227</v>
      </c>
      <c r="BH55" s="5">
        <v>-9.0176215889553646</v>
      </c>
      <c r="BI55">
        <f>STANDARDIZE(BH55,AVERAGE($BH$2:$BH$253),_xlfn.STDEV.S($BH$2:$BH$253))</f>
        <v>-0.93230388060750713</v>
      </c>
      <c r="BJ55" s="16"/>
      <c r="BK55">
        <f t="shared" si="11"/>
        <v>54</v>
      </c>
      <c r="BL55">
        <f t="shared" si="4"/>
        <v>0.2123015873015873</v>
      </c>
      <c r="BM55" s="5">
        <f t="shared" si="5"/>
        <v>-0.7984607275425748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>
        <f t="shared" si="6"/>
        <v>12.309471389795561</v>
      </c>
      <c r="CW55" s="5">
        <f t="shared" si="7"/>
        <v>12.309471389795561</v>
      </c>
      <c r="DK55" s="5">
        <v>-14.727235278625074</v>
      </c>
      <c r="DL55" s="5">
        <f t="shared" si="8"/>
        <v>-2.0471048623156367</v>
      </c>
      <c r="DN55">
        <f t="shared" si="15"/>
        <v>54</v>
      </c>
      <c r="DO55" s="8">
        <f t="shared" si="9"/>
        <v>0.2123015873015873</v>
      </c>
      <c r="DP55">
        <f t="shared" si="10"/>
        <v>-0.7984607275425748</v>
      </c>
    </row>
    <row r="56" spans="3:120" x14ac:dyDescent="0.35">
      <c r="C56" s="2">
        <v>55</v>
      </c>
      <c r="D56" s="3">
        <v>43859</v>
      </c>
      <c r="E56" s="1">
        <v>79.737899999999996</v>
      </c>
      <c r="F56" s="1">
        <f t="shared" si="0"/>
        <v>68.969035594021577</v>
      </c>
      <c r="Q56" s="2">
        <v>55</v>
      </c>
      <c r="R56" s="3">
        <v>43859</v>
      </c>
      <c r="S56" s="1">
        <v>172.47030599999999</v>
      </c>
      <c r="T56" s="1">
        <f t="shared" si="1"/>
        <v>159.92328435290989</v>
      </c>
      <c r="AC56" s="5"/>
      <c r="AD56" s="5">
        <f t="shared" si="2"/>
        <v>10.76886440597842</v>
      </c>
      <c r="AU56" s="5">
        <f t="shared" si="3"/>
        <v>10.76886440597842</v>
      </c>
      <c r="BH56" s="5">
        <v>-9.0128620623729319</v>
      </c>
      <c r="BI56">
        <f>STANDARDIZE(BH56,AVERAGE($BH$2:$BH$253),_xlfn.STDEV.S($BH$2:$BH$253))</f>
        <v>-0.93182505605568589</v>
      </c>
      <c r="BJ56" s="16"/>
      <c r="BK56">
        <f t="shared" si="11"/>
        <v>55</v>
      </c>
      <c r="BL56">
        <f t="shared" si="4"/>
        <v>0.21626984126984128</v>
      </c>
      <c r="BM56" s="5">
        <f t="shared" si="5"/>
        <v>-0.78485313444643534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>
        <f t="shared" si="6"/>
        <v>12.547021647090105</v>
      </c>
      <c r="CW56" s="5">
        <f t="shared" si="7"/>
        <v>12.547021647090105</v>
      </c>
      <c r="DK56" s="5">
        <v>-14.370584424516181</v>
      </c>
      <c r="DL56" s="5">
        <f t="shared" si="8"/>
        <v>-2.0406560812538608</v>
      </c>
      <c r="DN56">
        <f t="shared" si="15"/>
        <v>55</v>
      </c>
      <c r="DO56" s="8">
        <f t="shared" si="9"/>
        <v>0.21626984126984128</v>
      </c>
      <c r="DP56">
        <f t="shared" si="10"/>
        <v>-0.78485313444643534</v>
      </c>
    </row>
    <row r="57" spans="3:120" x14ac:dyDescent="0.35">
      <c r="C57" s="2">
        <v>56</v>
      </c>
      <c r="D57" s="3">
        <v>43860</v>
      </c>
      <c r="E57" s="1">
        <v>79.622337000000002</v>
      </c>
      <c r="F57" s="1">
        <f t="shared" si="0"/>
        <v>69.212607962375969</v>
      </c>
      <c r="Q57" s="2">
        <v>56</v>
      </c>
      <c r="R57" s="3">
        <v>43860</v>
      </c>
      <c r="S57" s="1">
        <v>175.09165999999999</v>
      </c>
      <c r="T57" s="1">
        <f t="shared" si="1"/>
        <v>159.89189509561535</v>
      </c>
      <c r="AC57" s="5"/>
      <c r="AD57" s="5">
        <f t="shared" si="2"/>
        <v>10.409729037624032</v>
      </c>
      <c r="AU57" s="5">
        <f t="shared" si="3"/>
        <v>10.409729037624032</v>
      </c>
      <c r="BH57" s="5">
        <v>-8.9277091155377946</v>
      </c>
      <c r="BI57">
        <f>STANDARDIZE(BH57,AVERAGE($BH$2:$BH$253),_xlfn.STDEV.S($BH$2:$BH$253))</f>
        <v>-0.92325838016924711</v>
      </c>
      <c r="BJ57" s="16"/>
      <c r="BK57">
        <f t="shared" si="11"/>
        <v>56</v>
      </c>
      <c r="BL57">
        <f t="shared" si="4"/>
        <v>0.22023809523809523</v>
      </c>
      <c r="BM57" s="5">
        <f t="shared" si="5"/>
        <v>-0.77138934208115728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>
        <f t="shared" si="6"/>
        <v>15.199764904384637</v>
      </c>
      <c r="CW57" s="5">
        <f t="shared" si="7"/>
        <v>15.199764904384637</v>
      </c>
      <c r="DK57" s="5">
        <v>-14.19278133698154</v>
      </c>
      <c r="DL57" s="5">
        <f t="shared" si="8"/>
        <v>-2.0509146019535205</v>
      </c>
      <c r="DN57">
        <f t="shared" si="15"/>
        <v>56</v>
      </c>
      <c r="DO57" s="8">
        <f t="shared" si="9"/>
        <v>0.22023809523809523</v>
      </c>
      <c r="DP57">
        <f t="shared" si="10"/>
        <v>-0.77138934208115728</v>
      </c>
    </row>
    <row r="58" spans="3:120" x14ac:dyDescent="0.35">
      <c r="C58" s="2">
        <v>57</v>
      </c>
      <c r="D58" s="3">
        <v>43861</v>
      </c>
      <c r="E58" s="1">
        <v>76.091994999999997</v>
      </c>
      <c r="F58" s="1">
        <f t="shared" si="0"/>
        <v>69.456180330730362</v>
      </c>
      <c r="Q58" s="2">
        <v>57</v>
      </c>
      <c r="R58" s="3">
        <v>43861</v>
      </c>
      <c r="S58" s="1">
        <v>170.06492600000001</v>
      </c>
      <c r="T58" s="1">
        <f t="shared" si="1"/>
        <v>159.86050583832079</v>
      </c>
      <c r="AC58" s="5"/>
      <c r="AD58" s="5">
        <f t="shared" si="2"/>
        <v>6.6358146692696351</v>
      </c>
      <c r="AU58" s="5">
        <f t="shared" si="3"/>
        <v>6.6358146692696351</v>
      </c>
      <c r="BH58" s="5">
        <v>-8.7594273788290167</v>
      </c>
      <c r="BI58">
        <f>STANDARDIZE(BH58,AVERAGE($BH$2:$BH$253),_xlfn.STDEV.S($BH$2:$BH$253))</f>
        <v>-0.90632866546680457</v>
      </c>
      <c r="BJ58" s="16"/>
      <c r="BK58">
        <f t="shared" si="11"/>
        <v>57</v>
      </c>
      <c r="BL58">
        <f t="shared" si="4"/>
        <v>0.22420634920634921</v>
      </c>
      <c r="BM58" s="5">
        <f t="shared" si="5"/>
        <v>-0.75806395233324275</v>
      </c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>
        <f t="shared" si="6"/>
        <v>10.204420161679224</v>
      </c>
      <c r="CW58" s="5">
        <f t="shared" si="7"/>
        <v>10.204420161679224</v>
      </c>
      <c r="DK58" s="5">
        <v>-13.67125514335288</v>
      </c>
      <c r="DL58" s="5">
        <f t="shared" si="8"/>
        <v>-2.0284524244566797</v>
      </c>
      <c r="DN58">
        <f t="shared" si="15"/>
        <v>57</v>
      </c>
      <c r="DO58" s="8">
        <f t="shared" si="9"/>
        <v>0.22420634920634921</v>
      </c>
      <c r="DP58">
        <f t="shared" si="10"/>
        <v>-0.75806395233324275</v>
      </c>
    </row>
    <row r="59" spans="3:120" x14ac:dyDescent="0.35">
      <c r="C59" s="2">
        <v>58</v>
      </c>
      <c r="D59" s="3">
        <v>43864</v>
      </c>
      <c r="E59" s="1">
        <v>75.883018000000007</v>
      </c>
      <c r="F59" s="1">
        <f t="shared" si="0"/>
        <v>69.699752699084755</v>
      </c>
      <c r="Q59" s="2">
        <v>58</v>
      </c>
      <c r="R59" s="3">
        <v>43864</v>
      </c>
      <c r="S59" s="1">
        <v>168.19955400000001</v>
      </c>
      <c r="T59" s="1">
        <f t="shared" si="1"/>
        <v>159.82911658102623</v>
      </c>
      <c r="AC59" s="5"/>
      <c r="AD59" s="5">
        <f t="shared" si="2"/>
        <v>6.1832653009152523</v>
      </c>
      <c r="AU59" s="5">
        <f t="shared" si="3"/>
        <v>6.1832653009152523</v>
      </c>
      <c r="BH59" s="5">
        <v>-8.4410153256641536</v>
      </c>
      <c r="BI59">
        <f>STANDARDIZE(BH59,AVERAGE($BH$2:$BH$253),_xlfn.STDEV.S($BH$2:$BH$253))</f>
        <v>-0.87429533063600884</v>
      </c>
      <c r="BJ59" s="16"/>
      <c r="BK59">
        <f t="shared" si="11"/>
        <v>58</v>
      </c>
      <c r="BL59">
        <f t="shared" si="4"/>
        <v>0.22817460317460317</v>
      </c>
      <c r="BM59" s="5">
        <f t="shared" si="5"/>
        <v>-0.74487182975869159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>
        <f t="shared" si="6"/>
        <v>8.3704374189737791</v>
      </c>
      <c r="CW59" s="5">
        <f t="shared" si="7"/>
        <v>8.3704374189737791</v>
      </c>
      <c r="DK59" s="5">
        <v>-13.661681021330509</v>
      </c>
      <c r="DL59" s="5">
        <f t="shared" si="8"/>
        <v>-2.0546056169002309</v>
      </c>
      <c r="DN59">
        <f t="shared" si="15"/>
        <v>58</v>
      </c>
      <c r="DO59" s="8">
        <f t="shared" si="9"/>
        <v>0.22817460317460317</v>
      </c>
      <c r="DP59">
        <f t="shared" si="10"/>
        <v>-0.74487182975869159</v>
      </c>
    </row>
    <row r="60" spans="3:120" x14ac:dyDescent="0.35">
      <c r="C60" s="2">
        <v>59</v>
      </c>
      <c r="D60" s="3">
        <v>43865</v>
      </c>
      <c r="E60" s="1">
        <v>78.388199</v>
      </c>
      <c r="F60" s="1">
        <f t="shared" si="0"/>
        <v>69.943325067439147</v>
      </c>
      <c r="Q60" s="2">
        <v>59</v>
      </c>
      <c r="R60" s="3">
        <v>43865</v>
      </c>
      <c r="S60" s="1">
        <v>172.01869199999999</v>
      </c>
      <c r="T60" s="1">
        <f t="shared" si="1"/>
        <v>159.79772732373166</v>
      </c>
      <c r="AC60" s="5"/>
      <c r="AD60" s="5">
        <f t="shared" si="2"/>
        <v>8.4448739325608528</v>
      </c>
      <c r="AU60" s="5">
        <f t="shared" si="3"/>
        <v>8.4448739325608528</v>
      </c>
      <c r="BH60" s="5">
        <v>-8.1583892762989478</v>
      </c>
      <c r="BI60">
        <f>STANDARDIZE(BH60,AVERAGE($BH$2:$BH$253),_xlfn.STDEV.S($BH$2:$BH$253))</f>
        <v>-0.84586218942406777</v>
      </c>
      <c r="BJ60" s="16"/>
      <c r="BK60">
        <f t="shared" si="11"/>
        <v>59</v>
      </c>
      <c r="BL60">
        <f t="shared" si="4"/>
        <v>0.23214285714285715</v>
      </c>
      <c r="BM60" s="5">
        <f t="shared" si="5"/>
        <v>-0.73180808385961749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>
        <f t="shared" si="6"/>
        <v>12.220964676268324</v>
      </c>
      <c r="CW60" s="5">
        <f t="shared" si="7"/>
        <v>12.220964676268324</v>
      </c>
      <c r="DK60" s="5">
        <v>-13.27521516722166</v>
      </c>
      <c r="DL60" s="5">
        <f t="shared" si="8"/>
        <v>-2.0449459401089132</v>
      </c>
      <c r="DN60">
        <f t="shared" si="15"/>
        <v>59</v>
      </c>
      <c r="DO60" s="8">
        <f t="shared" si="9"/>
        <v>0.23214285714285715</v>
      </c>
      <c r="DP60">
        <f t="shared" si="10"/>
        <v>-0.73180808385961749</v>
      </c>
    </row>
    <row r="61" spans="3:120" x14ac:dyDescent="0.35">
      <c r="C61" s="2">
        <v>60</v>
      </c>
      <c r="D61" s="3">
        <v>43866</v>
      </c>
      <c r="E61" s="1">
        <v>79.027405000000002</v>
      </c>
      <c r="F61" s="1">
        <f t="shared" si="0"/>
        <v>70.18689743579354</v>
      </c>
      <c r="Q61" s="2">
        <v>60</v>
      </c>
      <c r="R61" s="3">
        <v>43866</v>
      </c>
      <c r="S61" s="1">
        <v>173.677887</v>
      </c>
      <c r="T61" s="1">
        <f t="shared" si="1"/>
        <v>159.76633806643713</v>
      </c>
      <c r="AC61" s="5"/>
      <c r="AD61" s="5">
        <f t="shared" si="2"/>
        <v>8.8405075642064617</v>
      </c>
      <c r="AU61" s="5">
        <f t="shared" si="3"/>
        <v>8.8405075642064617</v>
      </c>
      <c r="BH61" s="5">
        <v>-8.0636023775624466</v>
      </c>
      <c r="BI61">
        <f>STANDARDIZE(BH61,AVERAGE($BH$2:$BH$253),_xlfn.STDEV.S($BH$2:$BH$253))</f>
        <v>-0.83632630523055396</v>
      </c>
      <c r="BJ61" s="16"/>
      <c r="BK61">
        <f t="shared" si="11"/>
        <v>60</v>
      </c>
      <c r="BL61">
        <f t="shared" si="4"/>
        <v>0.2361111111111111</v>
      </c>
      <c r="BM61" s="5">
        <f t="shared" si="5"/>
        <v>-0.71886805282271549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>
        <f t="shared" si="6"/>
        <v>13.911548933562869</v>
      </c>
      <c r="CW61" s="5">
        <f t="shared" si="7"/>
        <v>13.911548933562869</v>
      </c>
      <c r="DK61" s="5">
        <v>-13.264905822392421</v>
      </c>
      <c r="DL61" s="5">
        <f t="shared" si="8"/>
        <v>-2.0718897064272523</v>
      </c>
      <c r="DN61">
        <f t="shared" si="15"/>
        <v>60</v>
      </c>
      <c r="DO61" s="8">
        <f t="shared" si="9"/>
        <v>0.2361111111111111</v>
      </c>
      <c r="DP61">
        <f t="shared" si="10"/>
        <v>-0.71886805282271549</v>
      </c>
    </row>
    <row r="62" spans="3:120" x14ac:dyDescent="0.35">
      <c r="C62" s="2">
        <v>61</v>
      </c>
      <c r="D62" s="3">
        <v>43867</v>
      </c>
      <c r="E62" s="1">
        <v>79.951774999999998</v>
      </c>
      <c r="F62" s="1">
        <f t="shared" si="0"/>
        <v>70.430469804147933</v>
      </c>
      <c r="Q62" s="2">
        <v>61</v>
      </c>
      <c r="R62" s="3">
        <v>43867</v>
      </c>
      <c r="S62" s="1">
        <v>173.137924</v>
      </c>
      <c r="T62" s="1">
        <f t="shared" si="1"/>
        <v>159.73494880914257</v>
      </c>
      <c r="AC62" s="5"/>
      <c r="AD62" s="5">
        <f t="shared" si="2"/>
        <v>9.5213051958520651</v>
      </c>
      <c r="AU62" s="5">
        <f t="shared" si="3"/>
        <v>9.5213051958520651</v>
      </c>
      <c r="BH62" s="5">
        <v>-8.0196040130077364</v>
      </c>
      <c r="BI62">
        <f>STANDARDIZE(BH62,AVERAGE($BH$2:$BH$253),_xlfn.STDEV.S($BH$2:$BH$253))</f>
        <v>-0.83189992020593084</v>
      </c>
      <c r="BJ62" s="16"/>
      <c r="BK62">
        <f t="shared" si="11"/>
        <v>61</v>
      </c>
      <c r="BL62">
        <f t="shared" si="4"/>
        <v>0.24007936507936509</v>
      </c>
      <c r="BM62" s="5">
        <f t="shared" si="5"/>
        <v>-0.70604728857604471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>
        <f t="shared" si="6"/>
        <v>13.402975190857433</v>
      </c>
      <c r="CW62" s="5">
        <f t="shared" si="7"/>
        <v>13.402975190857433</v>
      </c>
      <c r="DK62" s="5">
        <v>-13.255693512050868</v>
      </c>
      <c r="DL62" s="5">
        <f t="shared" si="8"/>
        <v>-2.1000762845480168</v>
      </c>
      <c r="DN62">
        <f t="shared" si="15"/>
        <v>61</v>
      </c>
      <c r="DO62" s="8">
        <f t="shared" si="9"/>
        <v>0.24007936507936509</v>
      </c>
      <c r="DP62">
        <f t="shared" si="10"/>
        <v>-0.70604728857604471</v>
      </c>
    </row>
    <row r="63" spans="3:120" x14ac:dyDescent="0.35">
      <c r="C63" s="2">
        <v>62</v>
      </c>
      <c r="D63" s="3">
        <v>43868</v>
      </c>
      <c r="E63" s="1">
        <v>78.865020999999999</v>
      </c>
      <c r="F63" s="1">
        <f t="shared" si="0"/>
        <v>70.674042172502325</v>
      </c>
      <c r="Q63" s="2">
        <v>62</v>
      </c>
      <c r="R63" s="3">
        <v>43868</v>
      </c>
      <c r="S63" s="1">
        <v>172.08738700000001</v>
      </c>
      <c r="T63" s="1">
        <f t="shared" si="1"/>
        <v>159.703559551848</v>
      </c>
      <c r="AC63" s="5"/>
      <c r="AD63" s="5">
        <f t="shared" si="2"/>
        <v>8.1909788274976734</v>
      </c>
      <c r="AU63" s="5">
        <f t="shared" si="3"/>
        <v>8.1909788274976734</v>
      </c>
      <c r="BH63" s="5">
        <v>-7.9417688509800257</v>
      </c>
      <c r="BI63">
        <f>STANDARDIZE(BH63,AVERAGE($BH$2:$BH$253),_xlfn.STDEV.S($BH$2:$BH$253))</f>
        <v>-0.82406943834426616</v>
      </c>
      <c r="BJ63" s="16"/>
      <c r="BK63">
        <f t="shared" si="11"/>
        <v>62</v>
      </c>
      <c r="BL63">
        <f t="shared" si="4"/>
        <v>0.24404761904761904</v>
      </c>
      <c r="BM63" s="5">
        <f t="shared" si="5"/>
        <v>-0.69334154303681728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>
        <f t="shared" si="6"/>
        <v>12.383827448152005</v>
      </c>
      <c r="CW63" s="5">
        <f t="shared" si="7"/>
        <v>12.383827448152005</v>
      </c>
      <c r="DK63" s="5">
        <v>-12.819000079686958</v>
      </c>
      <c r="DL63" s="5">
        <f t="shared" si="8"/>
        <v>-2.0865299473566457</v>
      </c>
      <c r="DN63">
        <f t="shared" si="15"/>
        <v>62</v>
      </c>
      <c r="DO63" s="8">
        <f t="shared" si="9"/>
        <v>0.24404761904761904</v>
      </c>
      <c r="DP63">
        <f t="shared" si="10"/>
        <v>-0.69334154303681728</v>
      </c>
    </row>
    <row r="64" spans="3:120" x14ac:dyDescent="0.35">
      <c r="C64" s="2">
        <v>63</v>
      </c>
      <c r="D64" s="3">
        <v>43871</v>
      </c>
      <c r="E64" s="1">
        <v>79.239593999999997</v>
      </c>
      <c r="F64" s="1">
        <f t="shared" si="0"/>
        <v>70.917614540856718</v>
      </c>
      <c r="Q64" s="2">
        <v>63</v>
      </c>
      <c r="R64" s="3">
        <v>43871</v>
      </c>
      <c r="S64" s="1">
        <v>173.72699</v>
      </c>
      <c r="T64" s="1">
        <f t="shared" si="1"/>
        <v>159.67217029455344</v>
      </c>
      <c r="AC64" s="5"/>
      <c r="AD64" s="5">
        <f t="shared" si="2"/>
        <v>8.3219794591432787</v>
      </c>
      <c r="AU64" s="5">
        <f t="shared" si="3"/>
        <v>8.3219794591432787</v>
      </c>
      <c r="BH64" s="5">
        <v>-7.8189087459168434</v>
      </c>
      <c r="BI64">
        <f>STANDARDIZE(BH64,AVERAGE($BH$2:$BH$253),_xlfn.STDEV.S($BH$2:$BH$253))</f>
        <v>-0.81170929417347393</v>
      </c>
      <c r="BJ64" s="16"/>
      <c r="BK64">
        <f t="shared" si="11"/>
        <v>63</v>
      </c>
      <c r="BL64">
        <f t="shared" si="4"/>
        <v>0.24801587301587302</v>
      </c>
      <c r="BM64" s="5">
        <f t="shared" si="5"/>
        <v>-0.68074675543701968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>
        <f t="shared" si="6"/>
        <v>14.054819705446562</v>
      </c>
      <c r="CW64" s="5">
        <f t="shared" si="7"/>
        <v>14.054819705446562</v>
      </c>
      <c r="DK64" s="5">
        <v>-12.707452366159771</v>
      </c>
      <c r="DL64" s="5">
        <f t="shared" si="8"/>
        <v>-2.1051931694363377</v>
      </c>
      <c r="DN64">
        <f t="shared" si="15"/>
        <v>63</v>
      </c>
      <c r="DO64" s="8">
        <f t="shared" si="9"/>
        <v>0.24801587301587302</v>
      </c>
      <c r="DP64">
        <f t="shared" si="10"/>
        <v>-0.68074675543701968</v>
      </c>
    </row>
    <row r="65" spans="3:120" x14ac:dyDescent="0.35">
      <c r="C65" s="2">
        <v>64</v>
      </c>
      <c r="D65" s="3">
        <v>43872</v>
      </c>
      <c r="E65" s="1">
        <v>78.761520000000004</v>
      </c>
      <c r="F65" s="1">
        <f t="shared" si="0"/>
        <v>71.161186909211111</v>
      </c>
      <c r="Q65" s="2">
        <v>64</v>
      </c>
      <c r="R65" s="3">
        <v>43872</v>
      </c>
      <c r="S65" s="1">
        <v>175.88691700000001</v>
      </c>
      <c r="T65" s="1">
        <f t="shared" si="1"/>
        <v>159.6407810372589</v>
      </c>
      <c r="AC65" s="5"/>
      <c r="AD65" s="5">
        <f t="shared" si="2"/>
        <v>7.6003330907888937</v>
      </c>
      <c r="AU65" s="5">
        <f t="shared" si="3"/>
        <v>7.6003330907888937</v>
      </c>
      <c r="BH65" s="5">
        <v>-7.7873017471834061</v>
      </c>
      <c r="BI65">
        <f>STANDARDIZE(BH65,AVERAGE($BH$2:$BH$253),_xlfn.STDEV.S($BH$2:$BH$253))</f>
        <v>-0.80852952266871714</v>
      </c>
      <c r="BJ65" s="16"/>
      <c r="BK65">
        <f t="shared" si="11"/>
        <v>64</v>
      </c>
      <c r="BL65">
        <f t="shared" si="4"/>
        <v>0.25198412698412698</v>
      </c>
      <c r="BM65" s="5">
        <f t="shared" si="5"/>
        <v>-0.66825904062605401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f t="shared" si="6"/>
        <v>16.246135962741107</v>
      </c>
      <c r="CW65" s="5">
        <f t="shared" si="7"/>
        <v>16.246135962741107</v>
      </c>
      <c r="DK65" s="5">
        <v>-12.659297623454307</v>
      </c>
      <c r="DL65" s="5">
        <f t="shared" si="8"/>
        <v>-2.131124442839325</v>
      </c>
      <c r="DN65">
        <f t="shared" si="15"/>
        <v>64</v>
      </c>
      <c r="DO65" s="8">
        <f t="shared" si="9"/>
        <v>0.25198412698412698</v>
      </c>
      <c r="DP65">
        <f t="shared" si="10"/>
        <v>-0.66825904062605401</v>
      </c>
    </row>
    <row r="66" spans="3:120" x14ac:dyDescent="0.35">
      <c r="C66" s="2">
        <v>65</v>
      </c>
      <c r="D66" s="3">
        <v>43873</v>
      </c>
      <c r="E66" s="1">
        <v>80.631927000000005</v>
      </c>
      <c r="F66" s="1">
        <f t="shared" si="0"/>
        <v>71.404759277565503</v>
      </c>
      <c r="Q66" s="2">
        <v>65</v>
      </c>
      <c r="R66" s="3">
        <v>43873</v>
      </c>
      <c r="S66" s="1">
        <v>177.879929</v>
      </c>
      <c r="T66" s="1">
        <f t="shared" si="1"/>
        <v>159.60939177996434</v>
      </c>
      <c r="AC66" s="5"/>
      <c r="AD66" s="5">
        <f t="shared" si="2"/>
        <v>9.2271677224345012</v>
      </c>
      <c r="AU66" s="5">
        <f t="shared" si="3"/>
        <v>9.2271677224345012</v>
      </c>
      <c r="BH66" s="5">
        <v>-7.4628912193344092</v>
      </c>
      <c r="BI66">
        <f>STANDARDIZE(BH66,AVERAGE($BH$2:$BH$253),_xlfn.STDEV.S($BH$2:$BH$253))</f>
        <v>-0.7758927208958849</v>
      </c>
      <c r="BJ66" s="16"/>
      <c r="BK66">
        <f t="shared" si="11"/>
        <v>65</v>
      </c>
      <c r="BL66">
        <f t="shared" si="4"/>
        <v>0.25595238095238093</v>
      </c>
      <c r="BM66" s="5">
        <f t="shared" si="5"/>
        <v>-0.6558746782604522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>
        <f t="shared" si="6"/>
        <v>18.270537220035663</v>
      </c>
      <c r="CW66" s="5">
        <f t="shared" si="7"/>
        <v>18.270537220035663</v>
      </c>
      <c r="DK66" s="5">
        <v>-12.32862456509784</v>
      </c>
      <c r="DL66" s="5">
        <f t="shared" si="8"/>
        <v>-2.1290181076594381</v>
      </c>
      <c r="DN66">
        <f t="shared" si="15"/>
        <v>65</v>
      </c>
      <c r="DO66" s="8">
        <f t="shared" si="9"/>
        <v>0.25595238095238093</v>
      </c>
      <c r="DP66">
        <f t="shared" si="10"/>
        <v>-0.6558746782604522</v>
      </c>
    </row>
    <row r="67" spans="3:120" x14ac:dyDescent="0.35">
      <c r="C67" s="2">
        <v>66</v>
      </c>
      <c r="D67" s="3">
        <v>43874</v>
      </c>
      <c r="E67" s="1">
        <v>80.057738999999998</v>
      </c>
      <c r="F67" s="1">
        <f t="shared" ref="F67:F130" si="17">$B$5*C67+$B$6</f>
        <v>71.648331645919882</v>
      </c>
      <c r="Q67" s="2">
        <v>66</v>
      </c>
      <c r="R67" s="3">
        <v>43874</v>
      </c>
      <c r="S67" s="1">
        <v>176.839249</v>
      </c>
      <c r="T67" s="1">
        <f t="shared" ref="T67:T130" si="18">$P$5*Q67+$P$6</f>
        <v>159.57800252266978</v>
      </c>
      <c r="AC67" s="5"/>
      <c r="AD67" s="5">
        <f t="shared" ref="AD67:AD130" si="19">E67-F67</f>
        <v>8.4094073540801162</v>
      </c>
      <c r="AU67" s="5">
        <f t="shared" ref="AU67:AU130" si="20">E67-F67</f>
        <v>8.4094073540801162</v>
      </c>
      <c r="BH67" s="5">
        <v>-7.3958386864192249</v>
      </c>
      <c r="BI67">
        <f>STANDARDIZE(BH67,AVERAGE($BH$2:$BH$253),_xlfn.STDEV.S($BH$2:$BH$253))</f>
        <v>-0.76914700817309134</v>
      </c>
      <c r="BJ67" s="16"/>
      <c r="BK67">
        <f t="shared" si="11"/>
        <v>66</v>
      </c>
      <c r="BL67">
        <f t="shared" ref="BL67:BL130" si="21">(BK67-0.5)/252</f>
        <v>0.25992063492063494</v>
      </c>
      <c r="BM67" s="5">
        <f t="shared" ref="BM67:BM130" si="22">_xlfn.NORM.S.INV(BL67)</f>
        <v>-0.64359010280021778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>
        <f t="shared" ref="CH67:CH130" si="23">S67-T67</f>
        <v>17.261246477330218</v>
      </c>
      <c r="CW67" s="5">
        <f t="shared" ref="CW67:CW130" si="24">S67-T67</f>
        <v>17.261246477330218</v>
      </c>
      <c r="DK67" s="5">
        <v>-12.315574050508758</v>
      </c>
      <c r="DL67" s="5">
        <f t="shared" ref="DL67:DL130" si="25">STANDARDIZE(DK67, AVERAGE(DK67:DK318),_xlfn.STDEV.S(DK67:DK318))</f>
        <v>-2.159805952191062</v>
      </c>
      <c r="DN67">
        <f t="shared" si="15"/>
        <v>66</v>
      </c>
      <c r="DO67" s="8">
        <f t="shared" ref="DO67:DO130" si="26">(DN67-0.5)/252</f>
        <v>0.25992063492063494</v>
      </c>
      <c r="DP67">
        <f t="shared" ref="DP67:DP130" si="27">_xlfn.NORM.S.INV(DO67)</f>
        <v>-0.64359010280021778</v>
      </c>
    </row>
    <row r="68" spans="3:120" x14ac:dyDescent="0.35">
      <c r="C68" s="2">
        <v>67</v>
      </c>
      <c r="D68" s="3">
        <v>43875</v>
      </c>
      <c r="E68" s="1">
        <v>80.077461</v>
      </c>
      <c r="F68" s="1">
        <f t="shared" si="17"/>
        <v>71.891904014274274</v>
      </c>
      <c r="Q68" s="2">
        <v>67</v>
      </c>
      <c r="R68" s="3">
        <v>43875</v>
      </c>
      <c r="S68" s="1">
        <v>177.516693</v>
      </c>
      <c r="T68" s="1">
        <f t="shared" si="18"/>
        <v>159.54661326537521</v>
      </c>
      <c r="AC68" s="5"/>
      <c r="AD68" s="5">
        <f t="shared" si="19"/>
        <v>8.1855569857257251</v>
      </c>
      <c r="AU68" s="5">
        <f t="shared" si="20"/>
        <v>8.1855569857257251</v>
      </c>
      <c r="BH68" s="5">
        <v>-7.0624143180648247</v>
      </c>
      <c r="BI68">
        <f>STANDARDIZE(BH68,AVERAGE($BH$2:$BH$253),_xlfn.STDEV.S($BH$2:$BH$253))</f>
        <v>-0.7356033834073763</v>
      </c>
      <c r="BJ68" s="16"/>
      <c r="BK68">
        <f t="shared" ref="BK68:BK131" si="28">BK67+1</f>
        <v>67</v>
      </c>
      <c r="BL68">
        <f t="shared" si="21"/>
        <v>0.2638888888888889</v>
      </c>
      <c r="BM68" s="5">
        <f t="shared" si="22"/>
        <v>-0.6314018942397609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>
        <f t="shared" si="23"/>
        <v>17.97007973462479</v>
      </c>
      <c r="CW68" s="5">
        <f t="shared" si="24"/>
        <v>17.97007973462479</v>
      </c>
      <c r="DK68" s="5">
        <v>-12.26310488074887</v>
      </c>
      <c r="DL68" s="5">
        <f t="shared" si="25"/>
        <v>-2.1878725250607567</v>
      </c>
      <c r="DN68">
        <f t="shared" ref="DN68:DN131" si="29">DN67+1</f>
        <v>67</v>
      </c>
      <c r="DO68" s="8">
        <f t="shared" si="26"/>
        <v>0.2638888888888889</v>
      </c>
      <c r="DP68">
        <f t="shared" si="27"/>
        <v>-0.6314018942397609</v>
      </c>
    </row>
    <row r="69" spans="3:120" x14ac:dyDescent="0.35">
      <c r="C69" s="2">
        <v>68</v>
      </c>
      <c r="D69" s="3">
        <v>43879</v>
      </c>
      <c r="E69" s="1">
        <v>78.611198000000002</v>
      </c>
      <c r="F69" s="1">
        <f t="shared" si="17"/>
        <v>72.135476382628667</v>
      </c>
      <c r="Q69" s="2">
        <v>68</v>
      </c>
      <c r="R69" s="3">
        <v>43879</v>
      </c>
      <c r="S69" s="1">
        <v>176.151993</v>
      </c>
      <c r="T69" s="1">
        <f t="shared" si="18"/>
        <v>159.51522400808068</v>
      </c>
      <c r="AC69" s="5"/>
      <c r="AD69" s="5">
        <f t="shared" si="19"/>
        <v>6.4757216173713346</v>
      </c>
      <c r="AU69" s="5">
        <f t="shared" si="20"/>
        <v>6.4757216173713346</v>
      </c>
      <c r="BH69" s="5">
        <v>-6.7199273294638147</v>
      </c>
      <c r="BI69">
        <f>STANDARDIZE(BH69,AVERAGE($BH$2:$BH$253),_xlfn.STDEV.S($BH$2:$BH$253))</f>
        <v>-0.70114802824101052</v>
      </c>
      <c r="BJ69" s="16"/>
      <c r="BK69">
        <f t="shared" si="28"/>
        <v>68</v>
      </c>
      <c r="BL69">
        <f t="shared" si="21"/>
        <v>0.26785714285714285</v>
      </c>
      <c r="BM69" s="5">
        <f t="shared" si="22"/>
        <v>-0.61930676950877617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f t="shared" si="23"/>
        <v>16.636768991919325</v>
      </c>
      <c r="CW69" s="5">
        <f t="shared" si="24"/>
        <v>16.636768991919325</v>
      </c>
      <c r="DK69" s="5">
        <v>-12.256633740167189</v>
      </c>
      <c r="DL69" s="5">
        <f t="shared" si="25"/>
        <v>-2.2221601128691586</v>
      </c>
      <c r="DN69">
        <f t="shared" si="29"/>
        <v>68</v>
      </c>
      <c r="DO69" s="8">
        <f t="shared" si="26"/>
        <v>0.26785714285714285</v>
      </c>
      <c r="DP69">
        <f t="shared" si="27"/>
        <v>-0.61930676950877617</v>
      </c>
    </row>
    <row r="70" spans="3:120" x14ac:dyDescent="0.35">
      <c r="C70" s="2">
        <v>69</v>
      </c>
      <c r="D70" s="3">
        <v>43880</v>
      </c>
      <c r="E70" s="1">
        <v>79.749701999999999</v>
      </c>
      <c r="F70" s="1">
        <f t="shared" si="17"/>
        <v>72.37904875098306</v>
      </c>
      <c r="Q70" s="2">
        <v>69</v>
      </c>
      <c r="R70" s="3">
        <v>43880</v>
      </c>
      <c r="S70" s="1">
        <v>177.565765</v>
      </c>
      <c r="T70" s="1">
        <f t="shared" si="18"/>
        <v>159.48383475078612</v>
      </c>
      <c r="AC70" s="5"/>
      <c r="AD70" s="5">
        <f t="shared" si="19"/>
        <v>7.3706532490169394</v>
      </c>
      <c r="AU70" s="5">
        <f t="shared" si="20"/>
        <v>7.3706532490169394</v>
      </c>
      <c r="BH70" s="5">
        <v>-6.6626555876888034</v>
      </c>
      <c r="BI70">
        <f>STANDARDIZE(BH70,AVERAGE($BH$2:$BH$253),_xlfn.STDEV.S($BH$2:$BH$253))</f>
        <v>-0.69538629635182259</v>
      </c>
      <c r="BJ70" s="16"/>
      <c r="BK70">
        <f t="shared" si="28"/>
        <v>69</v>
      </c>
      <c r="BL70">
        <f t="shared" si="21"/>
        <v>0.2718253968253968</v>
      </c>
      <c r="BM70" s="5">
        <f t="shared" si="22"/>
        <v>-0.60730157448496325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>
        <f t="shared" si="23"/>
        <v>18.081930249213883</v>
      </c>
      <c r="CW70" s="5">
        <f t="shared" si="24"/>
        <v>18.081930249213883</v>
      </c>
      <c r="DK70" s="5">
        <v>-11.897104482872635</v>
      </c>
      <c r="DL70" s="5">
        <f t="shared" si="25"/>
        <v>-2.2201329092749718</v>
      </c>
      <c r="DN70">
        <f t="shared" si="29"/>
        <v>69</v>
      </c>
      <c r="DO70" s="8">
        <f t="shared" si="26"/>
        <v>0.2718253968253968</v>
      </c>
      <c r="DP70">
        <f t="shared" si="27"/>
        <v>-0.60730157448496325</v>
      </c>
    </row>
    <row r="71" spans="3:120" x14ac:dyDescent="0.35">
      <c r="C71" s="2">
        <v>70</v>
      </c>
      <c r="D71" s="3">
        <v>43881</v>
      </c>
      <c r="E71" s="1">
        <v>78.931563999999995</v>
      </c>
      <c r="F71" s="1">
        <f t="shared" si="17"/>
        <v>72.622621119337452</v>
      </c>
      <c r="Q71" s="2">
        <v>70</v>
      </c>
      <c r="R71" s="3">
        <v>43881</v>
      </c>
      <c r="S71" s="1">
        <v>177.408691</v>
      </c>
      <c r="T71" s="1">
        <f t="shared" si="18"/>
        <v>159.45244549349155</v>
      </c>
      <c r="AC71" s="5"/>
      <c r="AD71" s="5">
        <f t="shared" si="19"/>
        <v>6.3089428806625421</v>
      </c>
      <c r="AU71" s="5">
        <f t="shared" si="20"/>
        <v>6.3089428806625421</v>
      </c>
      <c r="BH71" s="5">
        <v>-6.639343901611781</v>
      </c>
      <c r="BI71">
        <f>STANDARDIZE(BH71,AVERAGE($BH$2:$BH$253),_xlfn.STDEV.S($BH$2:$BH$253))</f>
        <v>-0.69304106149606481</v>
      </c>
      <c r="BJ71" s="16"/>
      <c r="BK71">
        <f t="shared" si="28"/>
        <v>70</v>
      </c>
      <c r="BL71">
        <f t="shared" si="21"/>
        <v>0.27579365079365081</v>
      </c>
      <c r="BM71" s="5">
        <f t="shared" si="22"/>
        <v>-0.59538327656628021</v>
      </c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>
        <f t="shared" si="23"/>
        <v>17.956245506508452</v>
      </c>
      <c r="CW71" s="5">
        <f t="shared" si="24"/>
        <v>17.956245506508452</v>
      </c>
      <c r="DK71" s="5">
        <v>-11.667668793214176</v>
      </c>
      <c r="DL71" s="5">
        <f t="shared" si="25"/>
        <v>-2.2319530730049886</v>
      </c>
      <c r="DN71">
        <f t="shared" si="29"/>
        <v>70</v>
      </c>
      <c r="DO71" s="8">
        <f t="shared" si="26"/>
        <v>0.27579365079365081</v>
      </c>
      <c r="DP71">
        <f t="shared" si="27"/>
        <v>-0.59538327656628021</v>
      </c>
    </row>
    <row r="72" spans="3:120" x14ac:dyDescent="0.35">
      <c r="C72" s="2">
        <v>71</v>
      </c>
      <c r="D72" s="3">
        <v>43882</v>
      </c>
      <c r="E72" s="1">
        <v>77.144942999999998</v>
      </c>
      <c r="F72" s="1">
        <f t="shared" si="17"/>
        <v>72.866193487691845</v>
      </c>
      <c r="Q72" s="2">
        <v>71</v>
      </c>
      <c r="R72" s="3">
        <v>43882</v>
      </c>
      <c r="S72" s="1">
        <v>176.603622</v>
      </c>
      <c r="T72" s="1">
        <f t="shared" si="18"/>
        <v>159.42105623619699</v>
      </c>
      <c r="AC72" s="5"/>
      <c r="AD72" s="5">
        <f t="shared" si="19"/>
        <v>4.2787495123081527</v>
      </c>
      <c r="AU72" s="5">
        <f t="shared" si="20"/>
        <v>4.2787495123081527</v>
      </c>
      <c r="BH72" s="5">
        <v>-6.4912266383205548</v>
      </c>
      <c r="BI72">
        <f>STANDARDIZE(BH72,AVERAGE($BH$2:$BH$253),_xlfn.STDEV.S($BH$2:$BH$253))</f>
        <v>-0.67813996135846311</v>
      </c>
      <c r="BJ72" s="16"/>
      <c r="BK72">
        <f t="shared" si="28"/>
        <v>71</v>
      </c>
      <c r="BL72">
        <f t="shared" si="21"/>
        <v>0.27976190476190477</v>
      </c>
      <c r="BM72" s="5">
        <f t="shared" si="22"/>
        <v>-0.5835489577555576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>
        <f t="shared" si="23"/>
        <v>17.182565763803012</v>
      </c>
      <c r="CW72" s="5">
        <f t="shared" si="24"/>
        <v>17.182565763803012</v>
      </c>
      <c r="DK72" s="5">
        <v>-11.467643376778653</v>
      </c>
      <c r="DL72" s="5">
        <f t="shared" si="25"/>
        <v>-2.2474724504441079</v>
      </c>
      <c r="DN72">
        <f t="shared" si="29"/>
        <v>71</v>
      </c>
      <c r="DO72" s="8">
        <f t="shared" si="26"/>
        <v>0.27976190476190477</v>
      </c>
      <c r="DP72">
        <f t="shared" si="27"/>
        <v>-0.5835489577555576</v>
      </c>
    </row>
    <row r="73" spans="3:120" x14ac:dyDescent="0.35">
      <c r="C73" s="2">
        <v>72</v>
      </c>
      <c r="D73" s="3">
        <v>43885</v>
      </c>
      <c r="E73" s="1">
        <v>73.480521999999993</v>
      </c>
      <c r="F73" s="1">
        <f t="shared" si="17"/>
        <v>73.109765856046238</v>
      </c>
      <c r="Q73" s="2">
        <v>72</v>
      </c>
      <c r="R73" s="3">
        <v>43885</v>
      </c>
      <c r="S73" s="1">
        <v>172.07759100000001</v>
      </c>
      <c r="T73" s="1">
        <f t="shared" si="18"/>
        <v>159.38966697890245</v>
      </c>
      <c r="AC73" s="5"/>
      <c r="AD73" s="5">
        <f t="shared" si="19"/>
        <v>0.37075614395375567</v>
      </c>
      <c r="AU73" s="5">
        <f t="shared" si="20"/>
        <v>0.37075614395375567</v>
      </c>
      <c r="BH73" s="5">
        <v>-6.4369259611094094</v>
      </c>
      <c r="BI73">
        <f>STANDARDIZE(BH73,AVERAGE($BH$2:$BH$253),_xlfn.STDEV.S($BH$2:$BH$253))</f>
        <v>-0.67267712866304696</v>
      </c>
      <c r="BJ73" s="16"/>
      <c r="BK73">
        <f t="shared" si="28"/>
        <v>72</v>
      </c>
      <c r="BL73">
        <f t="shared" si="21"/>
        <v>0.28373015873015872</v>
      </c>
      <c r="BM73" s="5">
        <f t="shared" si="22"/>
        <v>-0.57179580821487397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>
        <f t="shared" si="23"/>
        <v>12.687924021097558</v>
      </c>
      <c r="CW73" s="5">
        <f t="shared" si="24"/>
        <v>12.687924021097558</v>
      </c>
      <c r="DK73" s="5">
        <v>-11.135731909927074</v>
      </c>
      <c r="DL73" s="5">
        <f t="shared" si="25"/>
        <v>-2.2489817232442082</v>
      </c>
      <c r="DN73">
        <f t="shared" si="29"/>
        <v>72</v>
      </c>
      <c r="DO73" s="8">
        <f t="shared" si="26"/>
        <v>0.28373015873015872</v>
      </c>
      <c r="DP73">
        <f t="shared" si="27"/>
        <v>-0.57179580821487397</v>
      </c>
    </row>
    <row r="74" spans="3:120" x14ac:dyDescent="0.35">
      <c r="C74" s="2">
        <v>73</v>
      </c>
      <c r="D74" s="3">
        <v>43886</v>
      </c>
      <c r="E74" s="1">
        <v>70.991577000000007</v>
      </c>
      <c r="F74" s="1">
        <f t="shared" si="17"/>
        <v>73.35333822440063</v>
      </c>
      <c r="Q74" s="2">
        <v>73</v>
      </c>
      <c r="R74" s="3">
        <v>43886</v>
      </c>
      <c r="S74" s="1">
        <v>164.743652</v>
      </c>
      <c r="T74" s="1">
        <f t="shared" si="18"/>
        <v>159.35827772160789</v>
      </c>
      <c r="AC74" s="5"/>
      <c r="AD74" s="5">
        <f t="shared" si="19"/>
        <v>-2.3617612244006239</v>
      </c>
      <c r="AU74" s="5">
        <f t="shared" si="20"/>
        <v>-2.3617612244006239</v>
      </c>
      <c r="BH74" s="5">
        <v>-6.2041569028783385</v>
      </c>
      <c r="BI74">
        <f>STANDARDIZE(BH74,AVERAGE($BH$2:$BH$253),_xlfn.STDEV.S($BH$2:$BH$253))</f>
        <v>-0.64925977022308801</v>
      </c>
      <c r="BJ74" s="16"/>
      <c r="BK74">
        <f t="shared" si="28"/>
        <v>73</v>
      </c>
      <c r="BL74">
        <f t="shared" si="21"/>
        <v>0.28769841269841268</v>
      </c>
      <c r="BM74" s="5">
        <f t="shared" si="22"/>
        <v>-0.56012112025115535</v>
      </c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>
        <f t="shared" si="23"/>
        <v>5.3853742783921064</v>
      </c>
      <c r="CW74" s="5">
        <f t="shared" si="24"/>
        <v>5.3853742783921064</v>
      </c>
      <c r="DK74" s="5">
        <v>-10.587644997461751</v>
      </c>
      <c r="DL74" s="5">
        <f t="shared" si="25"/>
        <v>-2.2260012897765549</v>
      </c>
      <c r="DN74">
        <f t="shared" si="29"/>
        <v>73</v>
      </c>
      <c r="DO74" s="8">
        <f t="shared" si="26"/>
        <v>0.28769841269841268</v>
      </c>
      <c r="DP74">
        <f t="shared" si="27"/>
        <v>-0.56012112025115535</v>
      </c>
    </row>
    <row r="75" spans="3:120" x14ac:dyDescent="0.35">
      <c r="C75" s="2">
        <v>74</v>
      </c>
      <c r="D75" s="3">
        <v>43887</v>
      </c>
      <c r="E75" s="1">
        <v>72.117767000000001</v>
      </c>
      <c r="F75" s="1">
        <f t="shared" si="17"/>
        <v>73.596910592755023</v>
      </c>
      <c r="Q75" s="2">
        <v>74</v>
      </c>
      <c r="R75" s="3">
        <v>43887</v>
      </c>
      <c r="S75" s="1">
        <v>164.134918</v>
      </c>
      <c r="T75" s="1">
        <f t="shared" si="18"/>
        <v>159.32688846431333</v>
      </c>
      <c r="AC75" s="5"/>
      <c r="AD75" s="5">
        <f t="shared" si="19"/>
        <v>-1.4791435927550225</v>
      </c>
      <c r="AU75" s="5">
        <f t="shared" si="20"/>
        <v>-1.4791435927550225</v>
      </c>
      <c r="BH75" s="5">
        <v>-6.1665765332573841</v>
      </c>
      <c r="BI75">
        <f>STANDARDIZE(BH75,AVERAGE($BH$2:$BH$253),_xlfn.STDEV.S($BH$2:$BH$253))</f>
        <v>-0.64547905730356225</v>
      </c>
      <c r="BJ75" s="16"/>
      <c r="BK75">
        <f t="shared" si="28"/>
        <v>74</v>
      </c>
      <c r="BL75">
        <f t="shared" si="21"/>
        <v>0.29166666666666669</v>
      </c>
      <c r="BM75" s="5">
        <f t="shared" si="22"/>
        <v>-0.54852228269809788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>
        <f t="shared" si="23"/>
        <v>4.8080295356866714</v>
      </c>
      <c r="CW75" s="5">
        <f t="shared" si="24"/>
        <v>4.8080295356866714</v>
      </c>
      <c r="DK75" s="5">
        <v>-10.109613307803301</v>
      </c>
      <c r="DL75" s="5">
        <f t="shared" si="25"/>
        <v>-2.2094497011549112</v>
      </c>
      <c r="DN75">
        <f t="shared" si="29"/>
        <v>74</v>
      </c>
      <c r="DO75" s="8">
        <f t="shared" si="26"/>
        <v>0.29166666666666669</v>
      </c>
      <c r="DP75">
        <f t="shared" si="27"/>
        <v>-0.54852228269809788</v>
      </c>
    </row>
    <row r="76" spans="3:120" x14ac:dyDescent="0.35">
      <c r="C76" s="2">
        <v>75</v>
      </c>
      <c r="D76" s="3">
        <v>43888</v>
      </c>
      <c r="E76" s="1">
        <v>67.403557000000006</v>
      </c>
      <c r="F76" s="1">
        <f t="shared" si="17"/>
        <v>73.840482961109416</v>
      </c>
      <c r="Q76" s="2">
        <v>75</v>
      </c>
      <c r="R76" s="3">
        <v>43888</v>
      </c>
      <c r="S76" s="1">
        <v>157.49176</v>
      </c>
      <c r="T76" s="1">
        <f t="shared" si="18"/>
        <v>159.29549920701876</v>
      </c>
      <c r="AC76" s="5"/>
      <c r="AD76" s="5">
        <f t="shared" si="19"/>
        <v>-6.4369259611094094</v>
      </c>
      <c r="AU76" s="5">
        <f t="shared" si="20"/>
        <v>-6.4369259611094094</v>
      </c>
      <c r="BH76" s="5">
        <v>-5.9722810547736174</v>
      </c>
      <c r="BI76">
        <f>STANDARDIZE(BH76,AVERAGE($BH$2:$BH$253),_xlfn.STDEV.S($BH$2:$BH$253))</f>
        <v>-0.62593227175786048</v>
      </c>
      <c r="BJ76" s="16"/>
      <c r="BK76">
        <f t="shared" si="28"/>
        <v>75</v>
      </c>
      <c r="BL76">
        <f t="shared" si="21"/>
        <v>0.29563492063492064</v>
      </c>
      <c r="BM76" s="5">
        <f t="shared" si="22"/>
        <v>-0.53699677566274262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>
        <f t="shared" si="23"/>
        <v>-1.803739207018765</v>
      </c>
      <c r="CW76" s="5">
        <f t="shared" si="24"/>
        <v>-1.803739207018765</v>
      </c>
      <c r="DK76" s="5">
        <v>-9.7079082255781088</v>
      </c>
      <c r="DL76" s="5">
        <f t="shared" si="25"/>
        <v>-2.200534779926917</v>
      </c>
      <c r="DN76">
        <f t="shared" si="29"/>
        <v>75</v>
      </c>
      <c r="DO76" s="8">
        <f t="shared" si="26"/>
        <v>0.29563492063492064</v>
      </c>
      <c r="DP76">
        <f t="shared" si="27"/>
        <v>-0.53699677566274262</v>
      </c>
    </row>
    <row r="77" spans="3:120" x14ac:dyDescent="0.35">
      <c r="C77" s="2">
        <v>76</v>
      </c>
      <c r="D77" s="3">
        <v>43889</v>
      </c>
      <c r="E77" s="1">
        <v>67.364127999999994</v>
      </c>
      <c r="F77" s="1">
        <f t="shared" si="17"/>
        <v>74.084055329463808</v>
      </c>
      <c r="Q77" s="2">
        <v>76</v>
      </c>
      <c r="R77" s="3">
        <v>43889</v>
      </c>
      <c r="S77" s="1">
        <v>160.077957</v>
      </c>
      <c r="T77" s="1">
        <f t="shared" si="18"/>
        <v>159.26410994972423</v>
      </c>
      <c r="AC77" s="5"/>
      <c r="AD77" s="5">
        <f t="shared" si="19"/>
        <v>-6.7199273294638147</v>
      </c>
      <c r="AU77" s="5">
        <f t="shared" si="20"/>
        <v>-6.7199273294638147</v>
      </c>
      <c r="BH77" s="5">
        <v>-5.9603630611063778</v>
      </c>
      <c r="BI77">
        <f>STANDARDIZE(BH77,AVERAGE($BH$2:$BH$253),_xlfn.STDEV.S($BH$2:$BH$253))</f>
        <v>-0.6247332810856816</v>
      </c>
      <c r="BJ77" s="16"/>
      <c r="BK77">
        <f t="shared" si="28"/>
        <v>76</v>
      </c>
      <c r="BL77">
        <f t="shared" si="21"/>
        <v>0.29960317460317459</v>
      </c>
      <c r="BM77" s="5">
        <f t="shared" si="22"/>
        <v>-0.52554216560793954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>
        <f t="shared" si="23"/>
        <v>0.81384705027576842</v>
      </c>
      <c r="CW77" s="5">
        <f t="shared" si="24"/>
        <v>0.81384705027576842</v>
      </c>
      <c r="DK77" s="5">
        <v>-9.5948332547563098</v>
      </c>
      <c r="DL77" s="5">
        <f t="shared" si="25"/>
        <v>-2.2245321496401651</v>
      </c>
      <c r="DN77">
        <f t="shared" si="29"/>
        <v>76</v>
      </c>
      <c r="DO77" s="8">
        <f t="shared" si="26"/>
        <v>0.29960317460317459</v>
      </c>
      <c r="DP77">
        <f t="shared" si="27"/>
        <v>-0.52554216560793954</v>
      </c>
    </row>
    <row r="78" spans="3:120" x14ac:dyDescent="0.35">
      <c r="C78" s="2">
        <v>77</v>
      </c>
      <c r="D78" s="3">
        <v>43892</v>
      </c>
      <c r="E78" s="1">
        <v>73.635773</v>
      </c>
      <c r="F78" s="1">
        <f t="shared" si="17"/>
        <v>74.327627697818201</v>
      </c>
      <c r="Q78" s="2">
        <v>77</v>
      </c>
      <c r="R78" s="3">
        <v>43892</v>
      </c>
      <c r="S78" s="1">
        <v>162.12127699999999</v>
      </c>
      <c r="T78" s="1">
        <f t="shared" si="18"/>
        <v>159.23272069242967</v>
      </c>
      <c r="AC78" s="5"/>
      <c r="AD78" s="5">
        <f t="shared" si="19"/>
        <v>-0.69185469781820075</v>
      </c>
      <c r="AU78" s="5">
        <f t="shared" si="20"/>
        <v>-0.69185469781820075</v>
      </c>
      <c r="BH78" s="5">
        <v>-5.47269390794456</v>
      </c>
      <c r="BI78">
        <f>STANDARDIZE(BH78,AVERAGE($BH$2:$BH$253),_xlfn.STDEV.S($BH$2:$BH$253))</f>
        <v>-0.57567210669039348</v>
      </c>
      <c r="BJ78" s="16"/>
      <c r="BK78">
        <f t="shared" si="28"/>
        <v>77</v>
      </c>
      <c r="BL78">
        <f t="shared" si="21"/>
        <v>0.30357142857142855</v>
      </c>
      <c r="BM78" s="5">
        <f t="shared" si="22"/>
        <v>-0.51415610074453411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>
        <f t="shared" si="23"/>
        <v>2.888556307570326</v>
      </c>
      <c r="CW78" s="5">
        <f t="shared" si="24"/>
        <v>2.888556307570326</v>
      </c>
      <c r="DK78" s="5">
        <v>-9.4505761380434308</v>
      </c>
      <c r="DL78" s="5">
        <f t="shared" si="25"/>
        <v>-2.2460330306144831</v>
      </c>
      <c r="DN78">
        <f t="shared" si="29"/>
        <v>77</v>
      </c>
      <c r="DO78" s="8">
        <f t="shared" si="26"/>
        <v>0.30357142857142855</v>
      </c>
      <c r="DP78">
        <f t="shared" si="27"/>
        <v>-0.51415610074453411</v>
      </c>
    </row>
    <row r="79" spans="3:120" x14ac:dyDescent="0.35">
      <c r="C79" s="2">
        <v>78</v>
      </c>
      <c r="D79" s="3">
        <v>43893</v>
      </c>
      <c r="E79" s="1">
        <v>71.297156999999999</v>
      </c>
      <c r="F79" s="1">
        <f t="shared" si="17"/>
        <v>74.571200066172594</v>
      </c>
      <c r="Q79" s="2">
        <v>78</v>
      </c>
      <c r="R79" s="3">
        <v>43893</v>
      </c>
      <c r="S79" s="1">
        <v>159.80157500000001</v>
      </c>
      <c r="T79" s="1">
        <f t="shared" si="18"/>
        <v>159.2013314351351</v>
      </c>
      <c r="AC79" s="5"/>
      <c r="AD79" s="5">
        <f t="shared" si="19"/>
        <v>-3.2740430661725952</v>
      </c>
      <c r="AU79" s="5">
        <f t="shared" si="20"/>
        <v>-3.2740430661725952</v>
      </c>
      <c r="BH79" s="5">
        <v>-5.4392431142712354</v>
      </c>
      <c r="BI79">
        <f>STANDARDIZE(BH79,AVERAGE($BH$2:$BH$253),_xlfn.STDEV.S($BH$2:$BH$253))</f>
        <v>-0.57230684314762592</v>
      </c>
      <c r="BJ79" s="16"/>
      <c r="BK79">
        <f t="shared" si="28"/>
        <v>78</v>
      </c>
      <c r="BL79">
        <f t="shared" si="21"/>
        <v>0.30753968253968256</v>
      </c>
      <c r="BM79" s="5">
        <f t="shared" si="22"/>
        <v>-0.50283630670944168</v>
      </c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f t="shared" si="23"/>
        <v>0.60024356486491115</v>
      </c>
      <c r="CW79" s="5">
        <f t="shared" si="24"/>
        <v>0.60024356486491115</v>
      </c>
      <c r="DK79" s="5">
        <v>-9.3725753953379751</v>
      </c>
      <c r="DL79" s="5">
        <f t="shared" si="25"/>
        <v>-2.2764812845044364</v>
      </c>
      <c r="DN79">
        <f t="shared" si="29"/>
        <v>78</v>
      </c>
      <c r="DO79" s="8">
        <f t="shared" si="26"/>
        <v>0.30753968253968256</v>
      </c>
      <c r="DP79">
        <f t="shared" si="27"/>
        <v>-0.50283630670944168</v>
      </c>
    </row>
    <row r="80" spans="3:120" x14ac:dyDescent="0.35">
      <c r="C80" s="2">
        <v>79</v>
      </c>
      <c r="D80" s="3">
        <v>43894</v>
      </c>
      <c r="E80" s="1">
        <v>74.604240000000004</v>
      </c>
      <c r="F80" s="1">
        <f t="shared" si="17"/>
        <v>74.814772434526986</v>
      </c>
      <c r="Q80" s="2">
        <v>79</v>
      </c>
      <c r="R80" s="3">
        <v>43894</v>
      </c>
      <c r="S80" s="1">
        <v>168.98161300000001</v>
      </c>
      <c r="T80" s="1">
        <f t="shared" si="18"/>
        <v>159.16994217784057</v>
      </c>
      <c r="AC80" s="5"/>
      <c r="AD80" s="5">
        <f t="shared" si="19"/>
        <v>-0.21053243452698212</v>
      </c>
      <c r="AU80" s="5">
        <f t="shared" si="20"/>
        <v>-0.21053243452698212</v>
      </c>
      <c r="BH80" s="5">
        <v>-5.2160506927519918</v>
      </c>
      <c r="BI80">
        <f>STANDARDIZE(BH80,AVERAGE($BH$2:$BH$253),_xlfn.STDEV.S($BH$2:$BH$253))</f>
        <v>-0.54985292691186016</v>
      </c>
      <c r="BJ80" s="16"/>
      <c r="BK80">
        <f t="shared" si="28"/>
        <v>79</v>
      </c>
      <c r="BL80">
        <f t="shared" si="21"/>
        <v>0.31150793650793651</v>
      </c>
      <c r="BM80" s="5">
        <f t="shared" si="22"/>
        <v>-0.49158058250786868</v>
      </c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f t="shared" si="23"/>
        <v>9.8116708221594422</v>
      </c>
      <c r="CW80" s="5">
        <f t="shared" si="24"/>
        <v>9.8116708221594422</v>
      </c>
      <c r="DK80" s="5">
        <v>-9.3410479046176249</v>
      </c>
      <c r="DL80" s="5">
        <f t="shared" si="25"/>
        <v>-2.3141509156251248</v>
      </c>
      <c r="DN80">
        <f t="shared" si="29"/>
        <v>79</v>
      </c>
      <c r="DO80" s="8">
        <f t="shared" si="26"/>
        <v>0.31150793650793651</v>
      </c>
      <c r="DP80">
        <f t="shared" si="27"/>
        <v>-0.49158058250786868</v>
      </c>
    </row>
    <row r="81" spans="3:120" x14ac:dyDescent="0.35">
      <c r="C81" s="2">
        <v>80</v>
      </c>
      <c r="D81" s="3">
        <v>43895</v>
      </c>
      <c r="E81" s="1">
        <v>72.184303</v>
      </c>
      <c r="F81" s="1">
        <f t="shared" si="17"/>
        <v>75.058344802881379</v>
      </c>
      <c r="Q81" s="2">
        <v>80</v>
      </c>
      <c r="R81" s="3">
        <v>43895</v>
      </c>
      <c r="S81" s="1">
        <v>162.79248000000001</v>
      </c>
      <c r="T81" s="1">
        <f t="shared" si="18"/>
        <v>159.138552920546</v>
      </c>
      <c r="AC81" s="5"/>
      <c r="AD81" s="5">
        <f t="shared" si="19"/>
        <v>-2.8740418028813792</v>
      </c>
      <c r="AU81" s="5">
        <f t="shared" si="20"/>
        <v>-2.8740418028813792</v>
      </c>
      <c r="BH81" s="5">
        <v>-5.0073593243975978</v>
      </c>
      <c r="BI81">
        <f>STANDARDIZE(BH81,AVERAGE($BH$2:$BH$253),_xlfn.STDEV.S($BH$2:$BH$253))</f>
        <v>-0.52885786591355077</v>
      </c>
      <c r="BJ81" s="16"/>
      <c r="BK81">
        <f t="shared" si="28"/>
        <v>80</v>
      </c>
      <c r="BL81">
        <f t="shared" si="21"/>
        <v>0.31547619047619047</v>
      </c>
      <c r="BM81" s="5">
        <f t="shared" si="22"/>
        <v>-0.48038679669982853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>
        <f t="shared" si="23"/>
        <v>3.6539270794540073</v>
      </c>
      <c r="CW81" s="5">
        <f t="shared" si="24"/>
        <v>3.6539270794540073</v>
      </c>
      <c r="DK81" s="5">
        <v>-9.046216764035961</v>
      </c>
      <c r="DL81" s="5">
        <f t="shared" si="25"/>
        <v>-2.3217310610479198</v>
      </c>
      <c r="DN81">
        <f t="shared" si="29"/>
        <v>80</v>
      </c>
      <c r="DO81" s="8">
        <f t="shared" si="26"/>
        <v>0.31547619047619047</v>
      </c>
      <c r="DP81">
        <f t="shared" si="27"/>
        <v>-0.48038679669982853</v>
      </c>
    </row>
    <row r="82" spans="3:120" x14ac:dyDescent="0.35">
      <c r="C82" s="2">
        <v>81</v>
      </c>
      <c r="D82" s="3">
        <v>43896</v>
      </c>
      <c r="E82" s="1">
        <v>71.225684999999999</v>
      </c>
      <c r="F82" s="1">
        <f t="shared" si="17"/>
        <v>75.301917171235772</v>
      </c>
      <c r="Q82" s="2">
        <v>81</v>
      </c>
      <c r="R82" s="3">
        <v>43896</v>
      </c>
      <c r="S82" s="1">
        <v>161.913971</v>
      </c>
      <c r="T82" s="1">
        <f t="shared" si="18"/>
        <v>159.10716366325144</v>
      </c>
      <c r="AC82" s="5"/>
      <c r="AD82" s="5">
        <f t="shared" si="19"/>
        <v>-4.0762321712357732</v>
      </c>
      <c r="AU82" s="5">
        <f t="shared" si="20"/>
        <v>-4.0762321712357732</v>
      </c>
      <c r="BH82" s="5">
        <v>-4.9535950066749592</v>
      </c>
      <c r="BI82">
        <f>STANDARDIZE(BH82,AVERAGE($BH$2:$BH$253),_xlfn.STDEV.S($BH$2:$BH$253))</f>
        <v>-0.52344899280576407</v>
      </c>
      <c r="BJ82" s="16"/>
      <c r="BK82">
        <f t="shared" si="28"/>
        <v>81</v>
      </c>
      <c r="BL82">
        <f t="shared" si="21"/>
        <v>0.31944444444444442</v>
      </c>
      <c r="BM82" s="5">
        <f t="shared" si="22"/>
        <v>-0.46925288381280222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>
        <f t="shared" si="23"/>
        <v>2.8068073367485624</v>
      </c>
      <c r="CW82" s="5">
        <f t="shared" si="24"/>
        <v>2.8068073367485624</v>
      </c>
      <c r="DK82" s="5">
        <v>-8.6382936526325125</v>
      </c>
      <c r="DL82" s="5">
        <f t="shared" si="25"/>
        <v>-2.3154790141836377</v>
      </c>
      <c r="DN82">
        <f t="shared" si="29"/>
        <v>81</v>
      </c>
      <c r="DO82" s="8">
        <f t="shared" si="26"/>
        <v>0.31944444444444442</v>
      </c>
      <c r="DP82">
        <f t="shared" si="27"/>
        <v>-0.46925288381280222</v>
      </c>
    </row>
    <row r="83" spans="3:120" x14ac:dyDescent="0.35">
      <c r="C83" s="2">
        <v>82</v>
      </c>
      <c r="D83" s="3">
        <v>43899</v>
      </c>
      <c r="E83" s="1">
        <v>65.592308000000003</v>
      </c>
      <c r="F83" s="1">
        <f t="shared" si="17"/>
        <v>75.545489539590164</v>
      </c>
      <c r="Q83" s="2">
        <v>82</v>
      </c>
      <c r="R83" s="3">
        <v>43899</v>
      </c>
      <c r="S83" s="1">
        <v>150.88806199999999</v>
      </c>
      <c r="T83" s="1">
        <f t="shared" si="18"/>
        <v>159.07577440595688</v>
      </c>
      <c r="AC83" s="5"/>
      <c r="AD83" s="5">
        <f t="shared" si="19"/>
        <v>-9.9531815395901617</v>
      </c>
      <c r="AU83" s="5">
        <f t="shared" si="20"/>
        <v>-9.9531815395901617</v>
      </c>
      <c r="BH83" s="5">
        <v>-4.6956452699661639</v>
      </c>
      <c r="BI83">
        <f>STANDARDIZE(BH83,AVERAGE($BH$2:$BH$253),_xlfn.STDEV.S($BH$2:$BH$253))</f>
        <v>-0.49749837252183238</v>
      </c>
      <c r="BJ83" s="16"/>
      <c r="BK83">
        <f t="shared" si="28"/>
        <v>82</v>
      </c>
      <c r="BL83">
        <f t="shared" si="21"/>
        <v>0.32341269841269843</v>
      </c>
      <c r="BM83" s="5">
        <f t="shared" si="22"/>
        <v>-0.45817684096392136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>
        <f t="shared" si="23"/>
        <v>-8.1877124059568871</v>
      </c>
      <c r="CW83" s="5">
        <f t="shared" si="24"/>
        <v>-8.1877124059568871</v>
      </c>
      <c r="DK83" s="5">
        <v>-8.1877124059568871</v>
      </c>
      <c r="DL83" s="5">
        <f t="shared" si="25"/>
        <v>-2.3031443436941537</v>
      </c>
      <c r="DN83">
        <f t="shared" si="29"/>
        <v>82</v>
      </c>
      <c r="DO83" s="8">
        <f t="shared" si="26"/>
        <v>0.32341269841269843</v>
      </c>
      <c r="DP83">
        <f t="shared" si="27"/>
        <v>-0.45817684096392136</v>
      </c>
    </row>
    <row r="84" spans="3:120" x14ac:dyDescent="0.35">
      <c r="C84" s="2">
        <v>83</v>
      </c>
      <c r="D84" s="3">
        <v>43900</v>
      </c>
      <c r="E84" s="1">
        <v>70.316367999999997</v>
      </c>
      <c r="F84" s="1">
        <f t="shared" si="17"/>
        <v>75.789061907944557</v>
      </c>
      <c r="Q84" s="2">
        <v>83</v>
      </c>
      <c r="R84" s="3">
        <v>43900</v>
      </c>
      <c r="S84" s="1">
        <v>159.60415599999999</v>
      </c>
      <c r="T84" s="1">
        <f t="shared" si="18"/>
        <v>159.04438514866234</v>
      </c>
      <c r="AC84" s="5"/>
      <c r="AD84" s="5">
        <f t="shared" si="19"/>
        <v>-5.47269390794456</v>
      </c>
      <c r="AU84" s="5">
        <f t="shared" si="20"/>
        <v>-5.47269390794456</v>
      </c>
      <c r="BH84" s="5">
        <v>-4.6417249560432055</v>
      </c>
      <c r="BI84">
        <f>STANDARDIZE(BH84,AVERAGE($BH$2:$BH$253),_xlfn.STDEV.S($BH$2:$BH$253))</f>
        <v>-0.49207380566606251</v>
      </c>
      <c r="BJ84" s="16"/>
      <c r="BK84">
        <f t="shared" si="28"/>
        <v>83</v>
      </c>
      <c r="BL84">
        <f t="shared" si="21"/>
        <v>0.32738095238095238</v>
      </c>
      <c r="BM84" s="5">
        <f t="shared" si="22"/>
        <v>-0.44715672467644574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>
        <f t="shared" si="23"/>
        <v>0.55977085133764604</v>
      </c>
      <c r="CW84" s="5">
        <f t="shared" si="24"/>
        <v>0.55977085133764604</v>
      </c>
      <c r="DK84" s="5">
        <v>-8.1791851619121871</v>
      </c>
      <c r="DL84" s="5">
        <f t="shared" si="25"/>
        <v>-2.3459093517766334</v>
      </c>
      <c r="DN84">
        <f t="shared" si="29"/>
        <v>83</v>
      </c>
      <c r="DO84" s="8">
        <f t="shared" si="26"/>
        <v>0.32738095238095238</v>
      </c>
      <c r="DP84">
        <f t="shared" si="27"/>
        <v>-0.44715672467644574</v>
      </c>
    </row>
    <row r="85" spans="3:120" x14ac:dyDescent="0.35">
      <c r="C85" s="2">
        <v>84</v>
      </c>
      <c r="D85" s="3">
        <v>43901</v>
      </c>
      <c r="E85" s="1">
        <v>67.874245000000002</v>
      </c>
      <c r="F85" s="1">
        <f t="shared" si="17"/>
        <v>76.03263427629895</v>
      </c>
      <c r="Q85" s="2">
        <v>84</v>
      </c>
      <c r="R85" s="3">
        <v>43901</v>
      </c>
      <c r="S85" s="1">
        <v>151.411224</v>
      </c>
      <c r="T85" s="1">
        <f t="shared" si="18"/>
        <v>159.01299589136778</v>
      </c>
      <c r="AC85" s="5"/>
      <c r="AD85" s="5">
        <f t="shared" si="19"/>
        <v>-8.1583892762989478</v>
      </c>
      <c r="AU85" s="5">
        <f t="shared" si="20"/>
        <v>-8.1583892762989478</v>
      </c>
      <c r="BH85" s="5">
        <v>-4.5676753762959095</v>
      </c>
      <c r="BI85">
        <f>STANDARDIZE(BH85,AVERAGE($BH$2:$BH$253),_xlfn.STDEV.S($BH$2:$BH$253))</f>
        <v>-0.48462416624899979</v>
      </c>
      <c r="BJ85" s="16"/>
      <c r="BK85">
        <f t="shared" si="28"/>
        <v>84</v>
      </c>
      <c r="BL85">
        <f t="shared" si="21"/>
        <v>0.33134920634920634</v>
      </c>
      <c r="BM85" s="5">
        <f t="shared" si="22"/>
        <v>-0.43619064787655393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>
        <f t="shared" si="23"/>
        <v>-7.6017718913677754</v>
      </c>
      <c r="CW85" s="5">
        <f t="shared" si="24"/>
        <v>-7.6017718913677754</v>
      </c>
      <c r="DK85" s="5">
        <v>-7.6155136765012799</v>
      </c>
      <c r="DL85" s="5">
        <f t="shared" si="25"/>
        <v>-2.3196344373338968</v>
      </c>
      <c r="DN85">
        <f t="shared" si="29"/>
        <v>84</v>
      </c>
      <c r="DO85" s="8">
        <f t="shared" si="26"/>
        <v>0.33134920634920634</v>
      </c>
      <c r="DP85">
        <f t="shared" si="27"/>
        <v>-0.43619064787655393</v>
      </c>
    </row>
    <row r="86" spans="3:120" x14ac:dyDescent="0.35">
      <c r="C86" s="2">
        <v>85</v>
      </c>
      <c r="D86" s="3">
        <v>43902</v>
      </c>
      <c r="E86" s="1">
        <v>61.171340999999998</v>
      </c>
      <c r="F86" s="1">
        <f t="shared" si="17"/>
        <v>76.276206644653342</v>
      </c>
      <c r="Q86" s="2">
        <v>85</v>
      </c>
      <c r="R86" s="3">
        <v>43902</v>
      </c>
      <c r="S86" s="1">
        <v>133.11039700000001</v>
      </c>
      <c r="T86" s="1">
        <f t="shared" si="18"/>
        <v>158.98160663407322</v>
      </c>
      <c r="AC86" s="5"/>
      <c r="AD86" s="5">
        <f t="shared" si="19"/>
        <v>-15.104865644653344</v>
      </c>
      <c r="AU86" s="5">
        <f t="shared" si="20"/>
        <v>-15.104865644653344</v>
      </c>
      <c r="BH86" s="5">
        <v>-4.4174022712327314</v>
      </c>
      <c r="BI86">
        <f>STANDARDIZE(BH86,AVERAGE($BH$2:$BH$253),_xlfn.STDEV.S($BH$2:$BH$253))</f>
        <v>-0.46950618110143461</v>
      </c>
      <c r="BJ86" s="16"/>
      <c r="BK86">
        <f t="shared" si="28"/>
        <v>85</v>
      </c>
      <c r="BL86">
        <f t="shared" si="21"/>
        <v>0.33531746031746029</v>
      </c>
      <c r="BM86" s="5">
        <f t="shared" si="22"/>
        <v>-0.42527677705760725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>
        <f t="shared" si="23"/>
        <v>-25.87120963407321</v>
      </c>
      <c r="CW86" s="5">
        <f t="shared" si="24"/>
        <v>-25.87120963407321</v>
      </c>
      <c r="DK86" s="5">
        <v>-7.6017718913677754</v>
      </c>
      <c r="DL86" s="5">
        <f t="shared" si="25"/>
        <v>-2.3630998550740849</v>
      </c>
      <c r="DN86">
        <f t="shared" si="29"/>
        <v>85</v>
      </c>
      <c r="DO86" s="8">
        <f t="shared" si="26"/>
        <v>0.33531746031746029</v>
      </c>
      <c r="DP86">
        <f t="shared" si="27"/>
        <v>-0.42527677705760725</v>
      </c>
    </row>
    <row r="87" spans="3:120" x14ac:dyDescent="0.35">
      <c r="C87" s="2">
        <v>86</v>
      </c>
      <c r="D87" s="3">
        <v>43903</v>
      </c>
      <c r="E87" s="1">
        <v>68.500174999999999</v>
      </c>
      <c r="F87" s="1">
        <f t="shared" si="17"/>
        <v>76.519779013007735</v>
      </c>
      <c r="Q87" s="2">
        <v>86</v>
      </c>
      <c r="R87" s="3">
        <v>43903</v>
      </c>
      <c r="S87" s="1">
        <v>147.482574</v>
      </c>
      <c r="T87" s="1">
        <f t="shared" si="18"/>
        <v>158.95021737677865</v>
      </c>
      <c r="AC87" s="5"/>
      <c r="AD87" s="5">
        <f t="shared" si="19"/>
        <v>-8.0196040130077364</v>
      </c>
      <c r="AU87" s="5">
        <f t="shared" si="20"/>
        <v>-8.0196040130077364</v>
      </c>
      <c r="BH87" s="5">
        <v>-4.3241030079415168</v>
      </c>
      <c r="BI87">
        <f>STANDARDIZE(BH87,AVERAGE($BH$2:$BH$253),_xlfn.STDEV.S($BH$2:$BH$253))</f>
        <v>-0.46011995809018885</v>
      </c>
      <c r="BJ87" s="16"/>
      <c r="BK87">
        <f t="shared" si="28"/>
        <v>86</v>
      </c>
      <c r="BL87">
        <f t="shared" si="21"/>
        <v>0.3392857142857143</v>
      </c>
      <c r="BM87" s="5">
        <f t="shared" si="22"/>
        <v>-0.41441332960007643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>
        <f t="shared" si="23"/>
        <v>-11.467643376778653</v>
      </c>
      <c r="CW87" s="5">
        <f t="shared" si="24"/>
        <v>-11.467643376778653</v>
      </c>
      <c r="DK87" s="5">
        <v>-7.4725927056795172</v>
      </c>
      <c r="DL87" s="5">
        <f t="shared" si="25"/>
        <v>-2.393901883144355</v>
      </c>
      <c r="DN87">
        <f t="shared" si="29"/>
        <v>86</v>
      </c>
      <c r="DO87" s="8">
        <f t="shared" si="26"/>
        <v>0.3392857142857143</v>
      </c>
      <c r="DP87">
        <f t="shared" si="27"/>
        <v>-0.41441332960007643</v>
      </c>
    </row>
    <row r="88" spans="3:120" x14ac:dyDescent="0.35">
      <c r="C88" s="2">
        <v>87</v>
      </c>
      <c r="D88" s="3">
        <v>43906</v>
      </c>
      <c r="E88" s="1">
        <v>59.687832</v>
      </c>
      <c r="F88" s="1">
        <f t="shared" si="17"/>
        <v>76.763351381362128</v>
      </c>
      <c r="Q88" s="2">
        <v>87</v>
      </c>
      <c r="R88" s="3">
        <v>43906</v>
      </c>
      <c r="S88" s="1">
        <v>133.524979</v>
      </c>
      <c r="T88" s="1">
        <f t="shared" si="18"/>
        <v>158.91882811948412</v>
      </c>
      <c r="AC88" s="5"/>
      <c r="AD88" s="5">
        <f t="shared" si="19"/>
        <v>-17.075519381362128</v>
      </c>
      <c r="AU88" s="5">
        <f t="shared" si="20"/>
        <v>-17.075519381362128</v>
      </c>
      <c r="BH88" s="5">
        <v>-4.2393095813560393</v>
      </c>
      <c r="BI88">
        <f>STANDARDIZE(BH88,AVERAGE($BH$2:$BH$253),_xlfn.STDEV.S($BH$2:$BH$253))</f>
        <v>-0.45158945116287497</v>
      </c>
      <c r="BJ88" s="16"/>
      <c r="BK88">
        <f t="shared" si="28"/>
        <v>87</v>
      </c>
      <c r="BL88">
        <f t="shared" si="21"/>
        <v>0.34325396825396826</v>
      </c>
      <c r="BM88" s="5">
        <f t="shared" si="22"/>
        <v>-0.40359857123625476</v>
      </c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>
        <f t="shared" si="23"/>
        <v>-25.393849119484116</v>
      </c>
      <c r="CW88" s="5">
        <f t="shared" si="24"/>
        <v>-25.393849119484116</v>
      </c>
      <c r="DK88" s="5">
        <v>-7.3753084192067604</v>
      </c>
      <c r="DL88" s="5">
        <f t="shared" si="25"/>
        <v>-2.430789239624322</v>
      </c>
      <c r="DN88">
        <f t="shared" si="29"/>
        <v>87</v>
      </c>
      <c r="DO88" s="8">
        <f t="shared" si="26"/>
        <v>0.34325396825396826</v>
      </c>
      <c r="DP88">
        <f t="shared" si="27"/>
        <v>-0.40359857123625476</v>
      </c>
    </row>
    <row r="89" spans="3:120" x14ac:dyDescent="0.35">
      <c r="C89" s="2">
        <v>88</v>
      </c>
      <c r="D89" s="3">
        <v>43907</v>
      </c>
      <c r="E89" s="1">
        <v>62.312308999999999</v>
      </c>
      <c r="F89" s="1">
        <f t="shared" si="17"/>
        <v>77.006923749716506</v>
      </c>
      <c r="Q89" s="2">
        <v>88</v>
      </c>
      <c r="R89" s="3">
        <v>43907</v>
      </c>
      <c r="S89" s="1">
        <v>130.09974700000001</v>
      </c>
      <c r="T89" s="1">
        <f t="shared" si="18"/>
        <v>158.88743886218955</v>
      </c>
      <c r="AC89" s="5"/>
      <c r="AD89" s="5">
        <f t="shared" si="19"/>
        <v>-14.694614749716507</v>
      </c>
      <c r="AU89" s="5">
        <f t="shared" si="20"/>
        <v>-14.694614749716507</v>
      </c>
      <c r="BH89" s="5">
        <v>-4.1151751661695641</v>
      </c>
      <c r="BI89">
        <f>STANDARDIZE(BH89,AVERAGE($BH$2:$BH$253),_xlfn.STDEV.S($BH$2:$BH$253))</f>
        <v>-0.43910110706229999</v>
      </c>
      <c r="BJ89" s="16"/>
      <c r="BK89">
        <f t="shared" si="28"/>
        <v>88</v>
      </c>
      <c r="BL89">
        <f t="shared" si="21"/>
        <v>0.34722222222222221</v>
      </c>
      <c r="BM89" s="5">
        <f t="shared" si="22"/>
        <v>-0.39283081364972938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>
        <f t="shared" si="23"/>
        <v>-28.787691862189547</v>
      </c>
      <c r="CW89" s="5">
        <f t="shared" si="24"/>
        <v>-28.787691862189547</v>
      </c>
      <c r="DK89" s="5">
        <v>-6.1186784483849408</v>
      </c>
      <c r="DL89" s="5">
        <f t="shared" si="25"/>
        <v>-2.311648500789484</v>
      </c>
      <c r="DN89">
        <f t="shared" si="29"/>
        <v>88</v>
      </c>
      <c r="DO89" s="8">
        <f t="shared" si="26"/>
        <v>0.34722222222222221</v>
      </c>
      <c r="DP89">
        <f t="shared" si="27"/>
        <v>-0.39283081364972938</v>
      </c>
    </row>
    <row r="90" spans="3:120" x14ac:dyDescent="0.35">
      <c r="C90" s="2">
        <v>89</v>
      </c>
      <c r="D90" s="3">
        <v>43908</v>
      </c>
      <c r="E90" s="1">
        <v>60.786911000000003</v>
      </c>
      <c r="F90" s="1">
        <f t="shared" si="17"/>
        <v>77.250496118070899</v>
      </c>
      <c r="Q90" s="2">
        <v>89</v>
      </c>
      <c r="R90" s="3">
        <v>43908</v>
      </c>
      <c r="S90" s="1">
        <v>118.067001</v>
      </c>
      <c r="T90" s="1">
        <f t="shared" si="18"/>
        <v>158.85604960489499</v>
      </c>
      <c r="AC90" s="5"/>
      <c r="AD90" s="5">
        <f t="shared" si="19"/>
        <v>-16.463585118070895</v>
      </c>
      <c r="AU90" s="5">
        <f t="shared" si="20"/>
        <v>-16.463585118070895</v>
      </c>
      <c r="BH90" s="5">
        <v>-4.0762321712357732</v>
      </c>
      <c r="BI90">
        <f>STANDARDIZE(BH90,AVERAGE($BH$2:$BH$253),_xlfn.STDEV.S($BH$2:$BH$253))</f>
        <v>-0.4351833094047402</v>
      </c>
      <c r="BJ90" s="16"/>
      <c r="BK90">
        <f t="shared" si="28"/>
        <v>89</v>
      </c>
      <c r="BL90">
        <f t="shared" si="21"/>
        <v>0.35119047619047616</v>
      </c>
      <c r="BM90" s="5">
        <f t="shared" si="22"/>
        <v>-0.3821084122003639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>
        <f t="shared" si="23"/>
        <v>-40.789048604894987</v>
      </c>
      <c r="CW90" s="5">
        <f t="shared" si="24"/>
        <v>-40.789048604894987</v>
      </c>
      <c r="DK90" s="5">
        <v>-5.8392766473230608</v>
      </c>
      <c r="DL90" s="5">
        <f t="shared" si="25"/>
        <v>-2.3189331098714954</v>
      </c>
      <c r="DN90">
        <f t="shared" si="29"/>
        <v>89</v>
      </c>
      <c r="DO90" s="8">
        <f t="shared" si="26"/>
        <v>0.35119047619047616</v>
      </c>
      <c r="DP90">
        <f t="shared" si="27"/>
        <v>-0.3821084122003639</v>
      </c>
    </row>
    <row r="91" spans="3:120" x14ac:dyDescent="0.35">
      <c r="C91" s="2">
        <v>90</v>
      </c>
      <c r="D91" s="3">
        <v>43909</v>
      </c>
      <c r="E91" s="1">
        <v>60.321156000000002</v>
      </c>
      <c r="F91" s="1">
        <f t="shared" si="17"/>
        <v>77.494068486425292</v>
      </c>
      <c r="Q91" s="2">
        <v>90</v>
      </c>
      <c r="R91" s="3">
        <v>43909</v>
      </c>
      <c r="S91" s="1">
        <v>117.42538500000001</v>
      </c>
      <c r="T91" s="1">
        <f t="shared" si="18"/>
        <v>158.82466034760043</v>
      </c>
      <c r="AC91" s="5"/>
      <c r="AD91" s="5">
        <f t="shared" si="19"/>
        <v>-17.17291248642529</v>
      </c>
      <c r="AU91" s="5">
        <f t="shared" si="20"/>
        <v>-17.17291248642529</v>
      </c>
      <c r="BH91" s="5">
        <v>-4.0512093750293445</v>
      </c>
      <c r="BI91">
        <f>STANDARDIZE(BH91,AVERAGE($BH$2:$BH$253),_xlfn.STDEV.S($BH$2:$BH$253))</f>
        <v>-0.43266593105390161</v>
      </c>
      <c r="BJ91" s="16"/>
      <c r="BK91">
        <f t="shared" si="28"/>
        <v>90</v>
      </c>
      <c r="BL91">
        <f t="shared" si="21"/>
        <v>0.35515873015873017</v>
      </c>
      <c r="BM91" s="5">
        <f t="shared" si="22"/>
        <v>-0.37142976376624032</v>
      </c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f t="shared" si="23"/>
        <v>-41.399275347600422</v>
      </c>
      <c r="CW91" s="5">
        <f t="shared" si="24"/>
        <v>-41.399275347600422</v>
      </c>
      <c r="DK91" s="5">
        <v>-5.2063705067413935</v>
      </c>
      <c r="DL91" s="5">
        <f t="shared" si="25"/>
        <v>-2.2767579834581309</v>
      </c>
      <c r="DN91">
        <f t="shared" si="29"/>
        <v>90</v>
      </c>
      <c r="DO91" s="8">
        <f t="shared" si="26"/>
        <v>0.35515873015873017</v>
      </c>
      <c r="DP91">
        <f t="shared" si="27"/>
        <v>-0.37142976376624032</v>
      </c>
    </row>
    <row r="92" spans="3:120" x14ac:dyDescent="0.35">
      <c r="C92" s="2">
        <v>91</v>
      </c>
      <c r="D92" s="3">
        <v>43910</v>
      </c>
      <c r="E92" s="1">
        <v>56.491633999999998</v>
      </c>
      <c r="F92" s="1">
        <f t="shared" si="17"/>
        <v>77.737640854779684</v>
      </c>
      <c r="Q92" s="2">
        <v>91</v>
      </c>
      <c r="R92" s="3">
        <v>43910</v>
      </c>
      <c r="S92" s="1">
        <v>111.048721</v>
      </c>
      <c r="T92" s="1">
        <f t="shared" si="18"/>
        <v>158.79327109030589</v>
      </c>
      <c r="AC92" s="5"/>
      <c r="AD92" s="5">
        <f t="shared" si="19"/>
        <v>-21.246006854779687</v>
      </c>
      <c r="AU92" s="5">
        <f t="shared" si="20"/>
        <v>-21.246006854779687</v>
      </c>
      <c r="BH92" s="5">
        <v>-3.9244854294607734</v>
      </c>
      <c r="BI92">
        <f>STANDARDIZE(BH92,AVERAGE($BH$2:$BH$253),_xlfn.STDEV.S($BH$2:$BH$253))</f>
        <v>-0.41991707139507534</v>
      </c>
      <c r="BJ92" s="16"/>
      <c r="BK92">
        <f t="shared" si="28"/>
        <v>91</v>
      </c>
      <c r="BL92">
        <f t="shared" si="21"/>
        <v>0.35912698412698413</v>
      </c>
      <c r="BM92" s="5">
        <f t="shared" si="22"/>
        <v>-0.36079330469465853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>
        <f t="shared" si="23"/>
        <v>-47.744550090305893</v>
      </c>
      <c r="CW92" s="5">
        <f t="shared" si="24"/>
        <v>-47.744550090305893</v>
      </c>
      <c r="DK92" s="5">
        <v>-4.8443231910904103</v>
      </c>
      <c r="DL92" s="5">
        <f t="shared" si="25"/>
        <v>-2.2699152897477028</v>
      </c>
      <c r="DN92">
        <f t="shared" si="29"/>
        <v>91</v>
      </c>
      <c r="DO92" s="8">
        <f t="shared" si="26"/>
        <v>0.35912698412698413</v>
      </c>
      <c r="DP92">
        <f t="shared" si="27"/>
        <v>-0.36079330469465853</v>
      </c>
    </row>
    <row r="93" spans="3:120" x14ac:dyDescent="0.35">
      <c r="C93" s="2">
        <v>92</v>
      </c>
      <c r="D93" s="3">
        <v>43913</v>
      </c>
      <c r="E93" s="1">
        <v>55.291519000000001</v>
      </c>
      <c r="F93" s="1">
        <f t="shared" si="17"/>
        <v>77.981213223134077</v>
      </c>
      <c r="Q93" s="2">
        <v>92</v>
      </c>
      <c r="R93" s="3">
        <v>43913</v>
      </c>
      <c r="S93" s="1">
        <v>102.520172</v>
      </c>
      <c r="T93" s="1">
        <f t="shared" si="18"/>
        <v>158.76188183301133</v>
      </c>
      <c r="AC93" s="5"/>
      <c r="AD93" s="5">
        <f t="shared" si="19"/>
        <v>-22.689694223134076</v>
      </c>
      <c r="AU93" s="5">
        <f t="shared" si="20"/>
        <v>-22.689694223134076</v>
      </c>
      <c r="BH93" s="5">
        <v>-3.9086406395871336</v>
      </c>
      <c r="BI93">
        <f>STANDARDIZE(BH93,AVERAGE($BH$2:$BH$253),_xlfn.STDEV.S($BH$2:$BH$253))</f>
        <v>-0.41832303167735424</v>
      </c>
      <c r="BJ93" s="16"/>
      <c r="BK93">
        <f t="shared" si="28"/>
        <v>92</v>
      </c>
      <c r="BL93">
        <f t="shared" si="21"/>
        <v>0.36309523809523808</v>
      </c>
      <c r="BM93" s="5">
        <f t="shared" si="22"/>
        <v>-0.35019750885487144</v>
      </c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>
        <f t="shared" si="23"/>
        <v>-56.241709833011328</v>
      </c>
      <c r="CW93" s="5">
        <f t="shared" si="24"/>
        <v>-56.241709833011328</v>
      </c>
      <c r="DK93" s="5">
        <v>-4.7046259682835228</v>
      </c>
      <c r="DL93" s="5">
        <f t="shared" si="25"/>
        <v>-2.2943475563609534</v>
      </c>
      <c r="DN93">
        <f t="shared" si="29"/>
        <v>92</v>
      </c>
      <c r="DO93" s="8">
        <f t="shared" si="26"/>
        <v>0.36309523809523808</v>
      </c>
      <c r="DP93">
        <f t="shared" si="27"/>
        <v>-0.35019750885487144</v>
      </c>
    </row>
    <row r="94" spans="3:120" x14ac:dyDescent="0.35">
      <c r="C94" s="2">
        <v>93</v>
      </c>
      <c r="D94" s="3">
        <v>43914</v>
      </c>
      <c r="E94" s="1">
        <v>60.838661000000002</v>
      </c>
      <c r="F94" s="1">
        <f t="shared" si="17"/>
        <v>78.22478559148847</v>
      </c>
      <c r="Q94" s="2">
        <v>93</v>
      </c>
      <c r="R94" s="3">
        <v>43914</v>
      </c>
      <c r="S94" s="1">
        <v>117.96828499999999</v>
      </c>
      <c r="T94" s="1">
        <f t="shared" si="18"/>
        <v>158.73049257571677</v>
      </c>
      <c r="AC94" s="5"/>
      <c r="AD94" s="5">
        <f t="shared" si="19"/>
        <v>-17.386124591488468</v>
      </c>
      <c r="AU94" s="5">
        <f t="shared" si="20"/>
        <v>-17.386124591488468</v>
      </c>
      <c r="BH94" s="5">
        <v>-3.4781034826256274</v>
      </c>
      <c r="BI94">
        <f>STANDARDIZE(BH94,AVERAGE($BH$2:$BH$253),_xlfn.STDEV.S($BH$2:$BH$253))</f>
        <v>-0.37500953029144413</v>
      </c>
      <c r="BJ94" s="16"/>
      <c r="BK94">
        <f t="shared" si="28"/>
        <v>93</v>
      </c>
      <c r="BL94">
        <f t="shared" si="21"/>
        <v>0.36706349206349204</v>
      </c>
      <c r="BM94" s="5">
        <f t="shared" si="22"/>
        <v>-0.33964088578577573</v>
      </c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>
        <f t="shared" si="23"/>
        <v>-40.762207575716772</v>
      </c>
      <c r="CW94" s="5">
        <f t="shared" si="24"/>
        <v>-40.762207575716772</v>
      </c>
      <c r="DK94" s="5">
        <v>-4.0577953900285308</v>
      </c>
      <c r="DL94" s="5">
        <f t="shared" si="25"/>
        <v>-2.2460251987475823</v>
      </c>
      <c r="DN94">
        <f t="shared" si="29"/>
        <v>93</v>
      </c>
      <c r="DO94" s="8">
        <f t="shared" si="26"/>
        <v>0.36706349206349204</v>
      </c>
      <c r="DP94">
        <f t="shared" si="27"/>
        <v>-0.33964088578577573</v>
      </c>
    </row>
    <row r="95" spans="3:120" x14ac:dyDescent="0.35">
      <c r="C95" s="2">
        <v>94</v>
      </c>
      <c r="D95" s="3">
        <v>43915</v>
      </c>
      <c r="E95" s="1">
        <v>60.503517000000002</v>
      </c>
      <c r="F95" s="1">
        <f t="shared" si="17"/>
        <v>78.468357959842862</v>
      </c>
      <c r="Q95" s="2">
        <v>94</v>
      </c>
      <c r="R95" s="3">
        <v>43915</v>
      </c>
      <c r="S95" s="1">
        <v>127.977478</v>
      </c>
      <c r="T95" s="1">
        <f t="shared" si="18"/>
        <v>158.6991033184222</v>
      </c>
      <c r="AC95" s="5"/>
      <c r="AD95" s="5">
        <f t="shared" si="19"/>
        <v>-17.96484095984286</v>
      </c>
      <c r="AU95" s="5">
        <f t="shared" si="20"/>
        <v>-17.96484095984286</v>
      </c>
      <c r="BH95" s="5">
        <v>-3.2740430661725952</v>
      </c>
      <c r="BI95">
        <f>STANDARDIZE(BH95,AVERAGE($BH$2:$BH$253),_xlfn.STDEV.S($BH$2:$BH$253))</f>
        <v>-0.35448035879501494</v>
      </c>
      <c r="BJ95" s="16"/>
      <c r="BK95">
        <f t="shared" si="28"/>
        <v>94</v>
      </c>
      <c r="BL95">
        <f t="shared" si="21"/>
        <v>0.37103174603174605</v>
      </c>
      <c r="BM95" s="5">
        <f t="shared" si="22"/>
        <v>-0.32912197893226108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>
        <f t="shared" si="23"/>
        <v>-30.721625318422198</v>
      </c>
      <c r="CW95" s="5">
        <f t="shared" si="24"/>
        <v>-30.721625318422198</v>
      </c>
      <c r="DK95" s="5">
        <v>-4.0314422494468545</v>
      </c>
      <c r="DL95" s="5">
        <f t="shared" si="25"/>
        <v>-2.2859823889407664</v>
      </c>
      <c r="DN95">
        <f t="shared" si="29"/>
        <v>94</v>
      </c>
      <c r="DO95" s="8">
        <f t="shared" si="26"/>
        <v>0.37103174603174605</v>
      </c>
      <c r="DP95">
        <f t="shared" si="27"/>
        <v>-0.32912197893226108</v>
      </c>
    </row>
    <row r="96" spans="3:120" x14ac:dyDescent="0.35">
      <c r="C96" s="2">
        <v>95</v>
      </c>
      <c r="D96" s="3">
        <v>43916</v>
      </c>
      <c r="E96" s="1">
        <v>63.687393</v>
      </c>
      <c r="F96" s="1">
        <f t="shared" si="17"/>
        <v>78.711930328197255</v>
      </c>
      <c r="Q96" s="2">
        <v>95</v>
      </c>
      <c r="R96" s="3">
        <v>43916</v>
      </c>
      <c r="S96" s="1">
        <v>135.627487</v>
      </c>
      <c r="T96" s="1">
        <f t="shared" si="18"/>
        <v>158.66771406112767</v>
      </c>
      <c r="AC96" s="5"/>
      <c r="AD96" s="5">
        <f t="shared" si="19"/>
        <v>-15.024537328197255</v>
      </c>
      <c r="AU96" s="5">
        <f t="shared" si="20"/>
        <v>-15.024537328197255</v>
      </c>
      <c r="BH96" s="5">
        <v>-3.1679515345239508</v>
      </c>
      <c r="BI96">
        <f>STANDARDIZE(BH96,AVERAGE($BH$2:$BH$253),_xlfn.STDEV.S($BH$2:$BH$253))</f>
        <v>-0.34380719010609795</v>
      </c>
      <c r="BJ96" s="16"/>
      <c r="BK96">
        <f t="shared" si="28"/>
        <v>95</v>
      </c>
      <c r="BL96">
        <f t="shared" si="21"/>
        <v>0.375</v>
      </c>
      <c r="BM96" s="5">
        <f t="shared" si="22"/>
        <v>-0.3186393639643752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>
        <f t="shared" si="23"/>
        <v>-23.040227061127666</v>
      </c>
      <c r="CW96" s="5">
        <f t="shared" si="24"/>
        <v>-23.040227061127666</v>
      </c>
      <c r="DK96" s="5">
        <v>-3.7820246818107535</v>
      </c>
      <c r="DL96" s="5">
        <f t="shared" si="25"/>
        <v>-2.2948696369171389</v>
      </c>
      <c r="DN96">
        <f t="shared" si="29"/>
        <v>95</v>
      </c>
      <c r="DO96" s="8">
        <f t="shared" si="26"/>
        <v>0.375</v>
      </c>
      <c r="DP96">
        <f t="shared" si="27"/>
        <v>-0.3186393639643752</v>
      </c>
    </row>
    <row r="97" spans="3:120" x14ac:dyDescent="0.35">
      <c r="C97" s="2">
        <v>96</v>
      </c>
      <c r="D97" s="3">
        <v>43917</v>
      </c>
      <c r="E97" s="1">
        <v>61.050593999999997</v>
      </c>
      <c r="F97" s="1">
        <f t="shared" si="17"/>
        <v>78.955502696551648</v>
      </c>
      <c r="Q97" s="2">
        <v>96</v>
      </c>
      <c r="R97" s="3">
        <v>43917</v>
      </c>
      <c r="S97" s="1">
        <v>129.57659899999999</v>
      </c>
      <c r="T97" s="1">
        <f t="shared" si="18"/>
        <v>158.63632480383311</v>
      </c>
      <c r="AC97" s="5"/>
      <c r="AD97" s="5">
        <f t="shared" si="19"/>
        <v>-17.904908696551651</v>
      </c>
      <c r="AU97" s="5">
        <f t="shared" si="20"/>
        <v>-17.904908696551651</v>
      </c>
      <c r="BH97" s="5">
        <v>-2.9173611130047021</v>
      </c>
      <c r="BI97">
        <f>STANDARDIZE(BH97,AVERAGE($BH$2:$BH$253),_xlfn.STDEV.S($BH$2:$BH$253))</f>
        <v>-0.31859694194454324</v>
      </c>
      <c r="BJ97" s="16"/>
      <c r="BK97">
        <f t="shared" si="28"/>
        <v>96</v>
      </c>
      <c r="BL97">
        <f t="shared" si="21"/>
        <v>0.37896825396825395</v>
      </c>
      <c r="BM97" s="5">
        <f t="shared" si="22"/>
        <v>-0.30819164717386466</v>
      </c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>
        <f t="shared" si="23"/>
        <v>-29.059725803833118</v>
      </c>
      <c r="CW97" s="5">
        <f t="shared" si="24"/>
        <v>-29.059725803833118</v>
      </c>
      <c r="DK97" s="5">
        <v>-3.6604057348577328</v>
      </c>
      <c r="DL97" s="5">
        <f t="shared" si="25"/>
        <v>-2.3234804518286807</v>
      </c>
      <c r="DN97">
        <f t="shared" si="29"/>
        <v>96</v>
      </c>
      <c r="DO97" s="8">
        <f t="shared" si="26"/>
        <v>0.37896825396825395</v>
      </c>
      <c r="DP97">
        <f t="shared" si="27"/>
        <v>-0.30819164717386466</v>
      </c>
    </row>
    <row r="98" spans="3:120" x14ac:dyDescent="0.35">
      <c r="C98" s="2">
        <v>97</v>
      </c>
      <c r="D98" s="3">
        <v>43920</v>
      </c>
      <c r="E98" s="1">
        <v>62.792850000000001</v>
      </c>
      <c r="F98" s="1">
        <f t="shared" si="17"/>
        <v>79.19907506490604</v>
      </c>
      <c r="Q98" s="2">
        <v>97</v>
      </c>
      <c r="R98" s="3">
        <v>43920</v>
      </c>
      <c r="S98" s="1">
        <v>130.05038500000001</v>
      </c>
      <c r="T98" s="1">
        <f t="shared" si="18"/>
        <v>158.60493554653854</v>
      </c>
      <c r="AC98" s="5"/>
      <c r="AD98" s="5">
        <f t="shared" si="19"/>
        <v>-16.406225064906039</v>
      </c>
      <c r="AU98" s="5">
        <f t="shared" si="20"/>
        <v>-16.406225064906039</v>
      </c>
      <c r="BH98" s="5">
        <v>-2.8740418028813792</v>
      </c>
      <c r="BI98">
        <f>STANDARDIZE(BH98,AVERAGE($BH$2:$BH$253),_xlfn.STDEV.S($BH$2:$BH$253))</f>
        <v>-0.3142388721038234</v>
      </c>
      <c r="BJ98" s="16"/>
      <c r="BK98">
        <f t="shared" si="28"/>
        <v>97</v>
      </c>
      <c r="BL98">
        <f t="shared" si="21"/>
        <v>0.38293650793650796</v>
      </c>
      <c r="BM98" s="5">
        <f t="shared" si="22"/>
        <v>-0.29777746394303445</v>
      </c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f t="shared" si="23"/>
        <v>-28.554550546538536</v>
      </c>
      <c r="CW98" s="5">
        <f t="shared" si="24"/>
        <v>-28.554550546538536</v>
      </c>
      <c r="DK98" s="5">
        <v>-3.2281639629740653</v>
      </c>
      <c r="DL98" s="5">
        <f t="shared" si="25"/>
        <v>-2.3058060853202904</v>
      </c>
      <c r="DN98">
        <f t="shared" si="29"/>
        <v>97</v>
      </c>
      <c r="DO98" s="8">
        <f t="shared" si="26"/>
        <v>0.38293650793650796</v>
      </c>
      <c r="DP98">
        <f t="shared" si="27"/>
        <v>-0.29777746394303445</v>
      </c>
    </row>
    <row r="99" spans="3:120" x14ac:dyDescent="0.35">
      <c r="C99" s="2">
        <v>98</v>
      </c>
      <c r="D99" s="3">
        <v>43921</v>
      </c>
      <c r="E99" s="1">
        <v>62.664707</v>
      </c>
      <c r="F99" s="1">
        <f t="shared" si="17"/>
        <v>79.442647433260433</v>
      </c>
      <c r="Q99" s="2">
        <v>98</v>
      </c>
      <c r="R99" s="3">
        <v>43921</v>
      </c>
      <c r="S99" s="1">
        <v>132.06407200000001</v>
      </c>
      <c r="T99" s="1">
        <f t="shared" si="18"/>
        <v>158.57354628924398</v>
      </c>
      <c r="AC99" s="5"/>
      <c r="AD99" s="5">
        <f t="shared" si="19"/>
        <v>-16.777940433260433</v>
      </c>
      <c r="AU99" s="5">
        <f t="shared" si="20"/>
        <v>-16.777940433260433</v>
      </c>
      <c r="BH99" s="5">
        <v>-2.3848097446503118</v>
      </c>
      <c r="BI99">
        <f>STANDARDIZE(BH99,AVERAGE($BH$2:$BH$253),_xlfn.STDEV.S($BH$2:$BH$253))</f>
        <v>-0.26502046414625513</v>
      </c>
      <c r="BJ99" s="16"/>
      <c r="BK99">
        <f t="shared" si="28"/>
        <v>98</v>
      </c>
      <c r="BL99">
        <f t="shared" si="21"/>
        <v>0.38690476190476192</v>
      </c>
      <c r="BM99" s="5">
        <f t="shared" si="22"/>
        <v>-0.28739547728120973</v>
      </c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>
        <f t="shared" si="23"/>
        <v>-26.509474289243968</v>
      </c>
      <c r="CW99" s="5">
        <f t="shared" si="24"/>
        <v>-26.509474289243968</v>
      </c>
      <c r="DK99" s="5">
        <v>-2.3844922202686405</v>
      </c>
      <c r="DL99" s="5">
        <f t="shared" si="25"/>
        <v>-2.2220240772597117</v>
      </c>
      <c r="DN99">
        <f t="shared" si="29"/>
        <v>98</v>
      </c>
      <c r="DO99" s="8">
        <f t="shared" si="26"/>
        <v>0.38690476190476192</v>
      </c>
      <c r="DP99">
        <f t="shared" si="27"/>
        <v>-0.28739547728120973</v>
      </c>
    </row>
    <row r="100" spans="3:120" x14ac:dyDescent="0.35">
      <c r="C100" s="2">
        <v>99</v>
      </c>
      <c r="D100" s="3">
        <v>43922</v>
      </c>
      <c r="E100" s="1">
        <v>59.367474000000001</v>
      </c>
      <c r="F100" s="1">
        <f t="shared" si="17"/>
        <v>79.686219801614826</v>
      </c>
      <c r="Q100" s="2">
        <v>99</v>
      </c>
      <c r="R100" s="3">
        <v>43922</v>
      </c>
      <c r="S100" s="1">
        <v>128.03671299999999</v>
      </c>
      <c r="T100" s="1">
        <f t="shared" si="18"/>
        <v>158.54215703194944</v>
      </c>
      <c r="AC100" s="5"/>
      <c r="AD100" s="5">
        <f t="shared" si="19"/>
        <v>-20.318745801614824</v>
      </c>
      <c r="AU100" s="5">
        <f t="shared" si="20"/>
        <v>-20.318745801614824</v>
      </c>
      <c r="BH100" s="5">
        <v>-2.3617612244006239</v>
      </c>
      <c r="BI100">
        <f>STANDARDIZE(BH100,AVERAGE($BH$2:$BH$253),_xlfn.STDEV.S($BH$2:$BH$253))</f>
        <v>-0.26270170466722764</v>
      </c>
      <c r="BJ100" s="16"/>
      <c r="BK100">
        <f t="shared" si="28"/>
        <v>99</v>
      </c>
      <c r="BL100">
        <f t="shared" si="21"/>
        <v>0.39087301587301587</v>
      </c>
      <c r="BM100" s="5">
        <f t="shared" si="22"/>
        <v>-0.27704437642439755</v>
      </c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f t="shared" si="23"/>
        <v>-30.505444031949452</v>
      </c>
      <c r="CW100" s="5">
        <f t="shared" si="24"/>
        <v>-30.505444031949452</v>
      </c>
      <c r="DK100" s="5">
        <v>-2.2667264775631679</v>
      </c>
      <c r="DL100" s="5">
        <f t="shared" si="25"/>
        <v>-2.2473502447549967</v>
      </c>
      <c r="DN100">
        <f t="shared" si="29"/>
        <v>99</v>
      </c>
      <c r="DO100" s="8">
        <f t="shared" si="26"/>
        <v>0.39087301587301587</v>
      </c>
      <c r="DP100">
        <f t="shared" si="27"/>
        <v>-0.27704437642439755</v>
      </c>
    </row>
    <row r="101" spans="3:120" x14ac:dyDescent="0.35">
      <c r="C101" s="2">
        <v>100</v>
      </c>
      <c r="D101" s="3">
        <v>43923</v>
      </c>
      <c r="E101" s="1">
        <v>60.35812</v>
      </c>
      <c r="F101" s="1">
        <f t="shared" si="17"/>
        <v>79.929792169969218</v>
      </c>
      <c r="Q101" s="2">
        <v>100</v>
      </c>
      <c r="R101" s="3">
        <v>43923</v>
      </c>
      <c r="S101" s="1">
        <v>131.09671</v>
      </c>
      <c r="T101" s="1">
        <f t="shared" si="18"/>
        <v>158.51076777465488</v>
      </c>
      <c r="AC101" s="5"/>
      <c r="AD101" s="5">
        <f t="shared" si="19"/>
        <v>-19.571672169969219</v>
      </c>
      <c r="AU101" s="5">
        <f t="shared" si="20"/>
        <v>-19.571672169969219</v>
      </c>
      <c r="BH101" s="5">
        <v>-2.2597937978151634</v>
      </c>
      <c r="BI101">
        <f>STANDARDIZE(BH101,AVERAGE($BH$2:$BH$253),_xlfn.STDEV.S($BH$2:$BH$253))</f>
        <v>-0.25244343496549804</v>
      </c>
      <c r="BJ101" s="16"/>
      <c r="BK101">
        <f t="shared" si="28"/>
        <v>100</v>
      </c>
      <c r="BL101">
        <f t="shared" si="21"/>
        <v>0.39484126984126983</v>
      </c>
      <c r="BM101" s="5">
        <f t="shared" si="22"/>
        <v>-0.26672287549404339</v>
      </c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>
        <f t="shared" si="23"/>
        <v>-27.414057774654879</v>
      </c>
      <c r="CW101" s="5">
        <f t="shared" si="24"/>
        <v>-27.414057774654879</v>
      </c>
      <c r="DK101" s="5">
        <v>-2.2573769337958538</v>
      </c>
      <c r="DL101" s="5">
        <f t="shared" si="25"/>
        <v>-2.2915465379060151</v>
      </c>
      <c r="DN101">
        <f t="shared" si="29"/>
        <v>100</v>
      </c>
      <c r="DO101" s="8">
        <f t="shared" si="26"/>
        <v>0.39484126984126983</v>
      </c>
      <c r="DP101">
        <f t="shared" si="27"/>
        <v>-0.26672287549404339</v>
      </c>
    </row>
    <row r="102" spans="3:120" x14ac:dyDescent="0.35">
      <c r="C102" s="2">
        <v>101</v>
      </c>
      <c r="D102" s="3">
        <v>43924</v>
      </c>
      <c r="E102" s="1">
        <v>59.490692000000003</v>
      </c>
      <c r="F102" s="1">
        <f t="shared" si="17"/>
        <v>80.173364538323611</v>
      </c>
      <c r="Q102" s="2">
        <v>101</v>
      </c>
      <c r="R102" s="3">
        <v>43924</v>
      </c>
      <c r="S102" s="1">
        <v>125.805862</v>
      </c>
      <c r="T102" s="1">
        <f t="shared" si="18"/>
        <v>158.47937851736032</v>
      </c>
      <c r="AC102" s="5"/>
      <c r="AD102" s="5">
        <f t="shared" si="19"/>
        <v>-20.682672538323608</v>
      </c>
      <c r="AU102" s="5">
        <f t="shared" si="20"/>
        <v>-20.682672538323608</v>
      </c>
      <c r="BH102" s="5">
        <v>-2.2229673724962424</v>
      </c>
      <c r="BI102">
        <f>STANDARDIZE(BH102,AVERAGE($BH$2:$BH$253),_xlfn.STDEV.S($BH$2:$BH$253))</f>
        <v>-0.24873857140541322</v>
      </c>
      <c r="BJ102" s="16"/>
      <c r="BK102">
        <f t="shared" si="28"/>
        <v>101</v>
      </c>
      <c r="BL102">
        <f t="shared" si="21"/>
        <v>0.39880952380952384</v>
      </c>
      <c r="BM102" s="5">
        <f t="shared" si="22"/>
        <v>-0.256429712211035</v>
      </c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>
        <f t="shared" si="23"/>
        <v>-32.673516517360312</v>
      </c>
      <c r="CW102" s="5">
        <f t="shared" si="24"/>
        <v>-32.673516517360312</v>
      </c>
      <c r="DK102" s="5">
        <v>-2.1276437109889628</v>
      </c>
      <c r="DL102" s="5">
        <f t="shared" si="25"/>
        <v>-2.3188945465090831</v>
      </c>
      <c r="DN102">
        <f t="shared" si="29"/>
        <v>101</v>
      </c>
      <c r="DO102" s="8">
        <f t="shared" si="26"/>
        <v>0.39880952380952384</v>
      </c>
      <c r="DP102">
        <f t="shared" si="27"/>
        <v>-0.256429712211035</v>
      </c>
    </row>
    <row r="103" spans="3:120" x14ac:dyDescent="0.35">
      <c r="C103" s="2">
        <v>102</v>
      </c>
      <c r="D103" s="3">
        <v>43927</v>
      </c>
      <c r="E103" s="1">
        <v>64.680503999999999</v>
      </c>
      <c r="F103" s="1">
        <f t="shared" si="17"/>
        <v>80.416936906677989</v>
      </c>
      <c r="Q103" s="2">
        <v>102</v>
      </c>
      <c r="R103" s="3">
        <v>43927</v>
      </c>
      <c r="S103" s="1">
        <v>132.27136200000001</v>
      </c>
      <c r="T103" s="1">
        <f t="shared" si="18"/>
        <v>158.44798926006575</v>
      </c>
      <c r="AC103" s="5"/>
      <c r="AD103" s="5">
        <f t="shared" si="19"/>
        <v>-15.73643290667799</v>
      </c>
      <c r="AU103" s="5">
        <f t="shared" si="20"/>
        <v>-15.73643290667799</v>
      </c>
      <c r="BH103" s="5">
        <v>-1.7717682674330604</v>
      </c>
      <c r="BI103">
        <f>STANDARDIZE(BH103,AVERAGE($BH$2:$BH$253),_xlfn.STDEV.S($BH$2:$BH$253))</f>
        <v>-0.20334640781052316</v>
      </c>
      <c r="BJ103" s="16"/>
      <c r="BK103">
        <f t="shared" si="28"/>
        <v>102</v>
      </c>
      <c r="BL103">
        <f t="shared" si="21"/>
        <v>0.40277777777777779</v>
      </c>
      <c r="BM103" s="5">
        <f t="shared" si="22"/>
        <v>-0.24616364666135951</v>
      </c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>
        <f t="shared" si="23"/>
        <v>-26.176627260065743</v>
      </c>
      <c r="CW103" s="5">
        <f t="shared" si="24"/>
        <v>-26.176627260065743</v>
      </c>
      <c r="DK103" s="5">
        <v>-2.0908419921522921</v>
      </c>
      <c r="DL103" s="5">
        <f t="shared" si="25"/>
        <v>-2.3632668517119941</v>
      </c>
      <c r="DN103">
        <f t="shared" si="29"/>
        <v>102</v>
      </c>
      <c r="DO103" s="8">
        <f t="shared" si="26"/>
        <v>0.40277777777777779</v>
      </c>
      <c r="DP103">
        <f t="shared" si="27"/>
        <v>-0.24616364666135951</v>
      </c>
    </row>
    <row r="104" spans="3:120" x14ac:dyDescent="0.35">
      <c r="C104" s="2">
        <v>103</v>
      </c>
      <c r="D104" s="3">
        <v>43928</v>
      </c>
      <c r="E104" s="1">
        <v>63.931355000000003</v>
      </c>
      <c r="F104" s="1">
        <f t="shared" si="17"/>
        <v>80.660509275032382</v>
      </c>
      <c r="Q104" s="2">
        <v>103</v>
      </c>
      <c r="R104" s="3">
        <v>43928</v>
      </c>
      <c r="S104" s="1">
        <v>133.495361</v>
      </c>
      <c r="T104" s="1">
        <f t="shared" si="18"/>
        <v>158.41660000277122</v>
      </c>
      <c r="AC104" s="5"/>
      <c r="AD104" s="5">
        <f t="shared" si="19"/>
        <v>-16.729154275032379</v>
      </c>
      <c r="AU104" s="5">
        <f t="shared" si="20"/>
        <v>-16.729154275032379</v>
      </c>
      <c r="BH104" s="5">
        <v>-1.7220420598398221</v>
      </c>
      <c r="BI104">
        <f>STANDARDIZE(BH104,AVERAGE($BH$2:$BH$253),_xlfn.STDEV.S($BH$2:$BH$253))</f>
        <v>-0.1983437823072885</v>
      </c>
      <c r="BJ104" s="16"/>
      <c r="BK104">
        <f t="shared" si="28"/>
        <v>103</v>
      </c>
      <c r="BL104">
        <f t="shared" si="21"/>
        <v>0.40674603174603174</v>
      </c>
      <c r="BM104" s="5">
        <f t="shared" si="22"/>
        <v>-0.23592346011003523</v>
      </c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>
        <f t="shared" si="23"/>
        <v>-24.921239002771216</v>
      </c>
      <c r="CW104" s="5">
        <f t="shared" si="24"/>
        <v>-24.921239002771216</v>
      </c>
      <c r="DK104" s="5">
        <v>-1.803739207018765</v>
      </c>
      <c r="DL104" s="5">
        <f t="shared" si="25"/>
        <v>-2.3684824042041752</v>
      </c>
      <c r="DN104">
        <f t="shared" si="29"/>
        <v>103</v>
      </c>
      <c r="DO104" s="8">
        <f t="shared" si="26"/>
        <v>0.40674603174603174</v>
      </c>
      <c r="DP104">
        <f t="shared" si="27"/>
        <v>-0.23592346011003523</v>
      </c>
    </row>
    <row r="105" spans="3:120" x14ac:dyDescent="0.35">
      <c r="C105" s="2">
        <v>104</v>
      </c>
      <c r="D105" s="3">
        <v>43929</v>
      </c>
      <c r="E105" s="1">
        <v>65.567656999999997</v>
      </c>
      <c r="F105" s="1">
        <f t="shared" si="17"/>
        <v>80.904081643386775</v>
      </c>
      <c r="Q105" s="2">
        <v>104</v>
      </c>
      <c r="R105" s="3">
        <v>43929</v>
      </c>
      <c r="S105" s="1">
        <v>137.453644</v>
      </c>
      <c r="T105" s="1">
        <f t="shared" si="18"/>
        <v>158.38521074547666</v>
      </c>
      <c r="AC105" s="5"/>
      <c r="AD105" s="5">
        <f t="shared" si="19"/>
        <v>-15.336424643386778</v>
      </c>
      <c r="AU105" s="5">
        <f t="shared" si="20"/>
        <v>-15.336424643386778</v>
      </c>
      <c r="BH105" s="5">
        <v>-1.7136254231280077</v>
      </c>
      <c r="BI105">
        <f>STANDARDIZE(BH105,AVERAGE($BH$2:$BH$253),_xlfn.STDEV.S($BH$2:$BH$253))</f>
        <v>-0.19749704004593596</v>
      </c>
      <c r="BJ105" s="16"/>
      <c r="BK105">
        <f t="shared" si="28"/>
        <v>104</v>
      </c>
      <c r="BL105">
        <f t="shared" si="21"/>
        <v>0.4107142857142857</v>
      </c>
      <c r="BM105" s="5">
        <f t="shared" si="22"/>
        <v>-0.2257079538601594</v>
      </c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>
        <f t="shared" si="23"/>
        <v>-20.931566745476658</v>
      </c>
      <c r="CW105" s="5">
        <f t="shared" si="24"/>
        <v>-20.931566745476658</v>
      </c>
      <c r="DK105" s="5">
        <v>-1.5106281327339559</v>
      </c>
      <c r="DL105" s="5">
        <f t="shared" si="25"/>
        <v>-2.3725932851975795</v>
      </c>
      <c r="DN105">
        <f t="shared" si="29"/>
        <v>104</v>
      </c>
      <c r="DO105" s="8">
        <f t="shared" si="26"/>
        <v>0.4107142857142857</v>
      </c>
      <c r="DP105">
        <f t="shared" si="27"/>
        <v>-0.2257079538601594</v>
      </c>
    </row>
    <row r="106" spans="3:120" x14ac:dyDescent="0.35">
      <c r="C106" s="2">
        <v>105</v>
      </c>
      <c r="D106" s="3">
        <v>43930</v>
      </c>
      <c r="E106" s="1">
        <v>66.040801999999999</v>
      </c>
      <c r="F106" s="1">
        <f t="shared" si="17"/>
        <v>81.147654011741167</v>
      </c>
      <c r="Q106" s="2">
        <v>105</v>
      </c>
      <c r="R106" s="3">
        <v>43930</v>
      </c>
      <c r="S106" s="1">
        <v>141.579712</v>
      </c>
      <c r="T106" s="1">
        <f t="shared" si="18"/>
        <v>158.35382148818209</v>
      </c>
      <c r="AC106" s="5"/>
      <c r="AD106" s="5">
        <f t="shared" si="19"/>
        <v>-15.106852011741168</v>
      </c>
      <c r="AU106" s="5">
        <f t="shared" si="20"/>
        <v>-15.106852011741168</v>
      </c>
      <c r="BH106" s="5">
        <v>-1.5947605864222538</v>
      </c>
      <c r="BI106">
        <f>STANDARDIZE(BH106,AVERAGE($BH$2:$BH$253),_xlfn.STDEV.S($BH$2:$BH$253))</f>
        <v>-0.18553883345181621</v>
      </c>
      <c r="BJ106" s="16"/>
      <c r="BK106">
        <f t="shared" si="28"/>
        <v>105</v>
      </c>
      <c r="BL106">
        <f t="shared" si="21"/>
        <v>0.41468253968253971</v>
      </c>
      <c r="BM106" s="5">
        <f t="shared" si="22"/>
        <v>-0.21551594815408856</v>
      </c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>
        <f t="shared" si="23"/>
        <v>-16.774109488182091</v>
      </c>
      <c r="CW106" s="5">
        <f t="shared" si="24"/>
        <v>-16.774109488182091</v>
      </c>
      <c r="DK106" s="5">
        <v>0.14421306089468544</v>
      </c>
      <c r="DL106" s="5">
        <f t="shared" si="25"/>
        <v>-2.1398661116920028</v>
      </c>
      <c r="DN106">
        <f t="shared" si="29"/>
        <v>105</v>
      </c>
      <c r="DO106" s="8">
        <f t="shared" si="26"/>
        <v>0.41468253968253971</v>
      </c>
      <c r="DP106">
        <f t="shared" si="27"/>
        <v>-0.21551594815408856</v>
      </c>
    </row>
    <row r="107" spans="3:120" x14ac:dyDescent="0.35">
      <c r="C107" s="2">
        <v>106</v>
      </c>
      <c r="D107" s="3">
        <v>43934</v>
      </c>
      <c r="E107" s="1">
        <v>67.337029000000001</v>
      </c>
      <c r="F107" s="1">
        <f t="shared" si="17"/>
        <v>81.39122638009556</v>
      </c>
      <c r="Q107" s="2">
        <v>106</v>
      </c>
      <c r="R107" s="3">
        <v>43934</v>
      </c>
      <c r="S107" s="1">
        <v>136.160538</v>
      </c>
      <c r="T107" s="1">
        <f t="shared" si="18"/>
        <v>158.32243223088756</v>
      </c>
      <c r="AC107" s="5"/>
      <c r="AD107" s="5">
        <f t="shared" si="19"/>
        <v>-14.054197380095559</v>
      </c>
      <c r="AU107" s="5">
        <f t="shared" si="20"/>
        <v>-14.054197380095559</v>
      </c>
      <c r="BH107" s="5">
        <v>-1.5390587965486162</v>
      </c>
      <c r="BI107">
        <f>STANDARDIZE(BH107,AVERAGE($BH$2:$BH$253),_xlfn.STDEV.S($BH$2:$BH$253))</f>
        <v>-0.17993504406017216</v>
      </c>
      <c r="BJ107" s="16"/>
      <c r="BK107">
        <f t="shared" si="28"/>
        <v>106</v>
      </c>
      <c r="BL107">
        <f t="shared" si="21"/>
        <v>0.41865079365079366</v>
      </c>
      <c r="BM107" s="5">
        <f t="shared" si="22"/>
        <v>-0.20534628111395689</v>
      </c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>
        <f t="shared" si="23"/>
        <v>-22.161894230887555</v>
      </c>
      <c r="CW107" s="5">
        <f t="shared" si="24"/>
        <v>-22.161894230887555</v>
      </c>
      <c r="DK107" s="5">
        <v>0.55977085133764604</v>
      </c>
      <c r="DL107" s="5">
        <f t="shared" si="25"/>
        <v>-2.1084317004252413</v>
      </c>
      <c r="DN107">
        <f t="shared" si="29"/>
        <v>106</v>
      </c>
      <c r="DO107" s="8">
        <f t="shared" si="26"/>
        <v>0.41865079365079366</v>
      </c>
      <c r="DP107">
        <f t="shared" si="27"/>
        <v>-0.20534628111395689</v>
      </c>
    </row>
    <row r="108" spans="3:120" x14ac:dyDescent="0.35">
      <c r="C108" s="2">
        <v>107</v>
      </c>
      <c r="D108" s="3">
        <v>43935</v>
      </c>
      <c r="E108" s="1">
        <v>70.737755000000007</v>
      </c>
      <c r="F108" s="1">
        <f t="shared" si="17"/>
        <v>81.634798748449953</v>
      </c>
      <c r="Q108" s="2">
        <v>107</v>
      </c>
      <c r="R108" s="3">
        <v>43935</v>
      </c>
      <c r="S108" s="1">
        <v>138.77633700000001</v>
      </c>
      <c r="T108" s="1">
        <f t="shared" si="18"/>
        <v>158.29104297359299</v>
      </c>
      <c r="AC108" s="5"/>
      <c r="AD108" s="5">
        <f t="shared" si="19"/>
        <v>-10.897043748449946</v>
      </c>
      <c r="AU108" s="5">
        <f t="shared" si="20"/>
        <v>-10.897043748449946</v>
      </c>
      <c r="BH108" s="5">
        <v>-1.511093164902988</v>
      </c>
      <c r="BI108">
        <f>STANDARDIZE(BH108,AVERAGE($BH$2:$BH$253),_xlfn.STDEV.S($BH$2:$BH$253))</f>
        <v>-0.17712160646145389</v>
      </c>
      <c r="BJ108" s="16"/>
      <c r="BK108">
        <f t="shared" si="28"/>
        <v>107</v>
      </c>
      <c r="BL108">
        <f t="shared" si="21"/>
        <v>0.42261904761904762</v>
      </c>
      <c r="BM108" s="5">
        <f t="shared" si="22"/>
        <v>-0.19519780771888826</v>
      </c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>
        <f t="shared" si="23"/>
        <v>-19.514705973592982</v>
      </c>
      <c r="CW108" s="5">
        <f t="shared" si="24"/>
        <v>-19.514705973592982</v>
      </c>
      <c r="DK108" s="5">
        <v>0.60024356486491115</v>
      </c>
      <c r="DL108" s="5">
        <f t="shared" si="25"/>
        <v>-2.1415749687102683</v>
      </c>
      <c r="DN108">
        <f t="shared" si="29"/>
        <v>107</v>
      </c>
      <c r="DO108" s="8">
        <f t="shared" si="26"/>
        <v>0.42261904761904762</v>
      </c>
      <c r="DP108">
        <f t="shared" si="27"/>
        <v>-0.19519780771888826</v>
      </c>
    </row>
    <row r="109" spans="3:120" x14ac:dyDescent="0.35">
      <c r="C109" s="2">
        <v>108</v>
      </c>
      <c r="D109" s="3">
        <v>43936</v>
      </c>
      <c r="E109" s="1">
        <v>70.092110000000005</v>
      </c>
      <c r="F109" s="1">
        <f t="shared" si="17"/>
        <v>81.878371116804345</v>
      </c>
      <c r="Q109" s="2">
        <v>108</v>
      </c>
      <c r="R109" s="3">
        <v>43936</v>
      </c>
      <c r="S109" s="1">
        <v>133.100525</v>
      </c>
      <c r="T109" s="1">
        <f t="shared" si="18"/>
        <v>158.25965371629843</v>
      </c>
      <c r="AC109" s="5"/>
      <c r="AD109" s="5">
        <f t="shared" si="19"/>
        <v>-11.78626111680434</v>
      </c>
      <c r="AU109" s="5">
        <f t="shared" si="20"/>
        <v>-11.78626111680434</v>
      </c>
      <c r="BH109" s="5">
        <v>-1.4791435927550225</v>
      </c>
      <c r="BI109">
        <f>STANDARDIZE(BH109,AVERAGE($BH$2:$BH$253),_xlfn.STDEV.S($BH$2:$BH$253))</f>
        <v>-0.17390737090678871</v>
      </c>
      <c r="BJ109" s="16"/>
      <c r="BK109">
        <f t="shared" si="28"/>
        <v>108</v>
      </c>
      <c r="BL109">
        <f t="shared" si="21"/>
        <v>0.42658730158730157</v>
      </c>
      <c r="BM109" s="5">
        <f t="shared" si="22"/>
        <v>-0.18506939881641302</v>
      </c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>
        <f t="shared" si="23"/>
        <v>-25.159128716298426</v>
      </c>
      <c r="CW109" s="5">
        <f t="shared" si="24"/>
        <v>-25.159128716298426</v>
      </c>
      <c r="DK109" s="5">
        <v>0.70398818291704401</v>
      </c>
      <c r="DL109" s="5">
        <f t="shared" si="25"/>
        <v>-2.1652376759013778</v>
      </c>
      <c r="DN109">
        <f t="shared" si="29"/>
        <v>108</v>
      </c>
      <c r="DO109" s="8">
        <f t="shared" si="26"/>
        <v>0.42658730158730157</v>
      </c>
      <c r="DP109">
        <f t="shared" si="27"/>
        <v>-0.18506939881641302</v>
      </c>
    </row>
    <row r="110" spans="3:120" x14ac:dyDescent="0.35">
      <c r="C110" s="2">
        <v>109</v>
      </c>
      <c r="D110" s="3">
        <v>43937</v>
      </c>
      <c r="E110" s="1">
        <v>70.649039999999999</v>
      </c>
      <c r="F110" s="1">
        <f t="shared" si="17"/>
        <v>82.121943485158738</v>
      </c>
      <c r="Q110" s="2">
        <v>109</v>
      </c>
      <c r="R110" s="3">
        <v>43937</v>
      </c>
      <c r="S110" s="1">
        <v>130.62290999999999</v>
      </c>
      <c r="T110" s="1">
        <f t="shared" si="18"/>
        <v>158.22826445900387</v>
      </c>
      <c r="AC110" s="5"/>
      <c r="AD110" s="5">
        <f t="shared" si="19"/>
        <v>-11.472903485158739</v>
      </c>
      <c r="AU110" s="5">
        <f t="shared" si="20"/>
        <v>-11.472903485158739</v>
      </c>
      <c r="BH110" s="5">
        <v>-1.3684337408506337</v>
      </c>
      <c r="BI110">
        <f>STANDARDIZE(BH110,AVERAGE($BH$2:$BH$253),_xlfn.STDEV.S($BH$2:$BH$253))</f>
        <v>-0.16276958350247558</v>
      </c>
      <c r="BJ110" s="16"/>
      <c r="BK110">
        <f t="shared" si="28"/>
        <v>109</v>
      </c>
      <c r="BL110">
        <f t="shared" si="21"/>
        <v>0.43055555555555558</v>
      </c>
      <c r="BM110" s="5">
        <f t="shared" si="22"/>
        <v>-0.17495994016573252</v>
      </c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>
        <f t="shared" si="23"/>
        <v>-27.605354459003877</v>
      </c>
      <c r="CW110" s="5">
        <f t="shared" si="24"/>
        <v>-27.605354459003877</v>
      </c>
      <c r="DK110" s="5">
        <v>0.81384705027576842</v>
      </c>
      <c r="DL110" s="5">
        <f t="shared" si="25"/>
        <v>-2.1891217300343744</v>
      </c>
      <c r="DN110">
        <f t="shared" si="29"/>
        <v>109</v>
      </c>
      <c r="DO110" s="8">
        <f t="shared" si="26"/>
        <v>0.43055555555555558</v>
      </c>
      <c r="DP110">
        <f t="shared" si="27"/>
        <v>-0.17495994016573252</v>
      </c>
    </row>
    <row r="111" spans="3:120" x14ac:dyDescent="0.35">
      <c r="C111" s="2">
        <v>110</v>
      </c>
      <c r="D111" s="3">
        <v>43938</v>
      </c>
      <c r="E111" s="1">
        <v>69.690421999999998</v>
      </c>
      <c r="F111" s="1">
        <f t="shared" si="17"/>
        <v>82.365515853513131</v>
      </c>
      <c r="Q111" s="2">
        <v>110</v>
      </c>
      <c r="R111" s="3">
        <v>43938</v>
      </c>
      <c r="S111" s="1">
        <v>136.53564499999999</v>
      </c>
      <c r="T111" s="1">
        <f t="shared" si="18"/>
        <v>158.19687520170933</v>
      </c>
      <c r="AC111" s="5"/>
      <c r="AD111" s="5">
        <f t="shared" si="19"/>
        <v>-12.675093853513133</v>
      </c>
      <c r="AU111" s="5">
        <f t="shared" si="20"/>
        <v>-12.675093853513133</v>
      </c>
      <c r="BH111" s="5">
        <v>-1.2841566914854354</v>
      </c>
      <c r="BI111">
        <f>STANDARDIZE(BH111,AVERAGE($BH$2:$BH$253),_xlfn.STDEV.S($BH$2:$BH$253))</f>
        <v>-0.1542910258786877</v>
      </c>
      <c r="BJ111" s="16"/>
      <c r="BK111">
        <f t="shared" si="28"/>
        <v>110</v>
      </c>
      <c r="BL111">
        <f t="shared" si="21"/>
        <v>0.43452380952380953</v>
      </c>
      <c r="BM111" s="5">
        <f t="shared" si="22"/>
        <v>-0.16486833151060187</v>
      </c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>
        <f t="shared" si="23"/>
        <v>-21.661230201709344</v>
      </c>
      <c r="CW111" s="5">
        <f t="shared" si="24"/>
        <v>-21.661230201709344</v>
      </c>
      <c r="DK111" s="5">
        <v>1.3526069256224957</v>
      </c>
      <c r="DL111" s="5">
        <f t="shared" si="25"/>
        <v>-2.1348959635500493</v>
      </c>
      <c r="DN111">
        <f t="shared" si="29"/>
        <v>110</v>
      </c>
      <c r="DO111" s="8">
        <f t="shared" si="26"/>
        <v>0.43452380952380953</v>
      </c>
      <c r="DP111">
        <f t="shared" si="27"/>
        <v>-0.16486833151060187</v>
      </c>
    </row>
    <row r="112" spans="3:120" x14ac:dyDescent="0.35">
      <c r="C112" s="2">
        <v>111</v>
      </c>
      <c r="D112" s="3">
        <v>43941</v>
      </c>
      <c r="E112" s="1">
        <v>68.243881000000002</v>
      </c>
      <c r="F112" s="1">
        <f t="shared" si="17"/>
        <v>82.609088221867523</v>
      </c>
      <c r="Q112" s="2">
        <v>111</v>
      </c>
      <c r="R112" s="3">
        <v>43941</v>
      </c>
      <c r="S112" s="1">
        <v>133.949432</v>
      </c>
      <c r="T112" s="1">
        <f t="shared" si="18"/>
        <v>158.16548594441477</v>
      </c>
      <c r="AC112" s="5"/>
      <c r="AD112" s="5">
        <f t="shared" si="19"/>
        <v>-14.365207221867522</v>
      </c>
      <c r="AU112" s="5">
        <f t="shared" si="20"/>
        <v>-14.365207221867522</v>
      </c>
      <c r="BH112" s="5">
        <v>-0.99857248135907639</v>
      </c>
      <c r="BI112">
        <f>STANDARDIZE(BH112,AVERAGE($BH$2:$BH$253),_xlfn.STDEV.S($BH$2:$BH$253))</f>
        <v>-0.12556028363938765</v>
      </c>
      <c r="BJ112" s="16"/>
      <c r="BK112">
        <f t="shared" si="28"/>
        <v>111</v>
      </c>
      <c r="BL112">
        <f t="shared" si="21"/>
        <v>0.43849206349206349</v>
      </c>
      <c r="BM112" s="5">
        <f t="shared" si="22"/>
        <v>-0.15479348567971193</v>
      </c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>
        <f t="shared" si="23"/>
        <v>-24.216053944414767</v>
      </c>
      <c r="CW112" s="5">
        <f t="shared" si="24"/>
        <v>-24.216053944414767</v>
      </c>
      <c r="DK112" s="5">
        <v>1.8512166683279361</v>
      </c>
      <c r="DL112" s="5">
        <f t="shared" si="25"/>
        <v>-2.0842305399675949</v>
      </c>
      <c r="DN112">
        <f t="shared" si="29"/>
        <v>111</v>
      </c>
      <c r="DO112" s="8">
        <f t="shared" si="26"/>
        <v>0.43849206349206349</v>
      </c>
      <c r="DP112">
        <f t="shared" si="27"/>
        <v>-0.15479348567971193</v>
      </c>
    </row>
    <row r="113" spans="3:120" x14ac:dyDescent="0.35">
      <c r="C113" s="2">
        <v>112</v>
      </c>
      <c r="D113" s="3">
        <v>43942</v>
      </c>
      <c r="E113" s="1">
        <v>66.134438000000003</v>
      </c>
      <c r="F113" s="1">
        <f t="shared" si="17"/>
        <v>82.852660590221916</v>
      </c>
      <c r="Q113" s="2">
        <v>112</v>
      </c>
      <c r="R113" s="3">
        <v>43942</v>
      </c>
      <c r="S113" s="1">
        <v>130.29716500000001</v>
      </c>
      <c r="T113" s="1">
        <f t="shared" si="18"/>
        <v>158.13409668712021</v>
      </c>
      <c r="AC113" s="5"/>
      <c r="AD113" s="5">
        <f t="shared" si="19"/>
        <v>-16.718222590221913</v>
      </c>
      <c r="AU113" s="5">
        <f t="shared" si="20"/>
        <v>-16.718222590221913</v>
      </c>
      <c r="BH113" s="5">
        <v>-0.91024721806786602</v>
      </c>
      <c r="BI113">
        <f>STANDARDIZE(BH113,AVERAGE($BH$2:$BH$253),_xlfn.STDEV.S($BH$2:$BH$253))</f>
        <v>-0.11667446193476584</v>
      </c>
      <c r="BJ113" s="16"/>
      <c r="BK113">
        <f t="shared" si="28"/>
        <v>112</v>
      </c>
      <c r="BL113">
        <f t="shared" si="21"/>
        <v>0.44246031746031744</v>
      </c>
      <c r="BM113" s="5">
        <f t="shared" si="22"/>
        <v>-0.14473432771256409</v>
      </c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>
        <f t="shared" si="23"/>
        <v>-27.836931687120199</v>
      </c>
      <c r="CW113" s="5">
        <f t="shared" si="24"/>
        <v>-27.836931687120199</v>
      </c>
      <c r="DK113" s="5">
        <v>2.0653794402116148</v>
      </c>
      <c r="DL113" s="5">
        <f t="shared" si="25"/>
        <v>-2.0840806936911558</v>
      </c>
      <c r="DN113">
        <f t="shared" si="29"/>
        <v>112</v>
      </c>
      <c r="DO113" s="8">
        <f t="shared" si="26"/>
        <v>0.44246031746031744</v>
      </c>
      <c r="DP113">
        <f t="shared" si="27"/>
        <v>-0.14473432771256409</v>
      </c>
    </row>
    <row r="114" spans="3:120" x14ac:dyDescent="0.35">
      <c r="C114" s="2">
        <v>113</v>
      </c>
      <c r="D114" s="3">
        <v>43943</v>
      </c>
      <c r="E114" s="1">
        <v>68.039351999999994</v>
      </c>
      <c r="F114" s="1">
        <f t="shared" si="17"/>
        <v>83.096232958576309</v>
      </c>
      <c r="Q114" s="2">
        <v>113</v>
      </c>
      <c r="R114" s="3">
        <v>43943</v>
      </c>
      <c r="S114" s="1">
        <v>131.313873</v>
      </c>
      <c r="T114" s="1">
        <f t="shared" si="18"/>
        <v>158.10270742982564</v>
      </c>
      <c r="AC114" s="5"/>
      <c r="AD114" s="5">
        <f t="shared" si="19"/>
        <v>-15.056880958576315</v>
      </c>
      <c r="AU114" s="5">
        <f t="shared" si="20"/>
        <v>-15.056880958576315</v>
      </c>
      <c r="BH114" s="5">
        <v>-0.83358284971346563</v>
      </c>
      <c r="BI114">
        <f>STANDARDIZE(BH114,AVERAGE($BH$2:$BH$253),_xlfn.STDEV.S($BH$2:$BH$253))</f>
        <v>-0.10896176589616322</v>
      </c>
      <c r="BJ114" s="16"/>
      <c r="BK114">
        <f t="shared" si="28"/>
        <v>113</v>
      </c>
      <c r="BL114">
        <f t="shared" si="21"/>
        <v>0.44642857142857145</v>
      </c>
      <c r="BM114" s="5">
        <f t="shared" si="22"/>
        <v>-0.13468979400891959</v>
      </c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>
        <f t="shared" si="23"/>
        <v>-26.788834429825641</v>
      </c>
      <c r="CW114" s="5">
        <f t="shared" si="24"/>
        <v>-26.788834429825641</v>
      </c>
      <c r="DK114" s="5">
        <v>2.8068073367485624</v>
      </c>
      <c r="DL114" s="5">
        <f t="shared" si="25"/>
        <v>-1.9822813943956148</v>
      </c>
      <c r="DN114">
        <f t="shared" si="29"/>
        <v>113</v>
      </c>
      <c r="DO114" s="8">
        <f t="shared" si="26"/>
        <v>0.44642857142857145</v>
      </c>
      <c r="DP114">
        <f t="shared" si="27"/>
        <v>-0.13468979400891959</v>
      </c>
    </row>
    <row r="115" spans="3:120" x14ac:dyDescent="0.35">
      <c r="C115" s="2">
        <v>114</v>
      </c>
      <c r="D115" s="3">
        <v>43944</v>
      </c>
      <c r="E115" s="1">
        <v>67.775672999999998</v>
      </c>
      <c r="F115" s="1">
        <f t="shared" si="17"/>
        <v>83.339805326930701</v>
      </c>
      <c r="Q115" s="2">
        <v>114</v>
      </c>
      <c r="R115" s="3">
        <v>43944</v>
      </c>
      <c r="S115" s="1">
        <v>132.94258099999999</v>
      </c>
      <c r="T115" s="1">
        <f t="shared" si="18"/>
        <v>158.07131817253111</v>
      </c>
      <c r="AC115" s="5"/>
      <c r="AD115" s="5">
        <f t="shared" si="19"/>
        <v>-15.564132326930704</v>
      </c>
      <c r="AU115" s="5">
        <f t="shared" si="20"/>
        <v>-15.564132326930704</v>
      </c>
      <c r="BH115" s="5">
        <v>-0.69185469781820075</v>
      </c>
      <c r="BI115">
        <f>STANDARDIZE(BH115,AVERAGE($BH$2:$BH$253),_xlfn.STDEV.S($BH$2:$BH$253))</f>
        <v>-9.470343208158169E-2</v>
      </c>
      <c r="BJ115" s="16"/>
      <c r="BK115">
        <f t="shared" si="28"/>
        <v>114</v>
      </c>
      <c r="BL115">
        <f t="shared" si="21"/>
        <v>0.45039682539682541</v>
      </c>
      <c r="BM115" s="5">
        <f t="shared" si="22"/>
        <v>-0.1246588315</v>
      </c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>
        <f t="shared" si="23"/>
        <v>-25.128737172531117</v>
      </c>
      <c r="CW115" s="5">
        <f t="shared" si="24"/>
        <v>-25.128737172531117</v>
      </c>
      <c r="DK115" s="5">
        <v>2.8164611245605897</v>
      </c>
      <c r="DL115" s="5">
        <f t="shared" si="25"/>
        <v>-2.0164107815687964</v>
      </c>
      <c r="DN115">
        <f t="shared" si="29"/>
        <v>114</v>
      </c>
      <c r="DO115" s="8">
        <f t="shared" si="26"/>
        <v>0.45039682539682541</v>
      </c>
      <c r="DP115">
        <f t="shared" si="27"/>
        <v>-0.1246588315</v>
      </c>
    </row>
    <row r="116" spans="3:120" x14ac:dyDescent="0.35">
      <c r="C116" s="2">
        <v>115</v>
      </c>
      <c r="D116" s="3">
        <v>43945</v>
      </c>
      <c r="E116" s="1">
        <v>69.732322999999994</v>
      </c>
      <c r="F116" s="1">
        <f t="shared" si="17"/>
        <v>83.583377695285094</v>
      </c>
      <c r="Q116" s="2">
        <v>115</v>
      </c>
      <c r="R116" s="3">
        <v>43945</v>
      </c>
      <c r="S116" s="1">
        <v>133.771759</v>
      </c>
      <c r="T116" s="1">
        <f t="shared" si="18"/>
        <v>158.03992891523654</v>
      </c>
      <c r="AC116" s="5"/>
      <c r="AD116" s="5">
        <f t="shared" si="19"/>
        <v>-13.8510546952851</v>
      </c>
      <c r="AU116" s="5">
        <f t="shared" si="20"/>
        <v>-13.8510546952851</v>
      </c>
      <c r="BH116" s="5">
        <v>-0.36997394971042752</v>
      </c>
      <c r="BI116">
        <f>STANDARDIZE(BH116,AVERAGE($BH$2:$BH$253),_xlfn.STDEV.S($BH$2:$BH$253))</f>
        <v>-6.2321134749436798E-2</v>
      </c>
      <c r="BJ116" s="16"/>
      <c r="BK116">
        <f t="shared" si="28"/>
        <v>115</v>
      </c>
      <c r="BL116">
        <f t="shared" si="21"/>
        <v>0.45436507936507936</v>
      </c>
      <c r="BM116" s="5">
        <f t="shared" si="22"/>
        <v>-0.11464039683969043</v>
      </c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>
        <f t="shared" si="23"/>
        <v>-24.268169915236541</v>
      </c>
      <c r="CW116" s="5">
        <f t="shared" si="24"/>
        <v>-24.268169915236541</v>
      </c>
      <c r="DK116" s="5">
        <v>2.888556307570326</v>
      </c>
      <c r="DL116" s="5">
        <f t="shared" si="25"/>
        <v>-2.0401812246405648</v>
      </c>
      <c r="DN116">
        <f t="shared" si="29"/>
        <v>115</v>
      </c>
      <c r="DO116" s="8">
        <f t="shared" si="26"/>
        <v>0.45436507936507936</v>
      </c>
      <c r="DP116">
        <f t="shared" si="27"/>
        <v>-0.11464039683969043</v>
      </c>
    </row>
    <row r="117" spans="3:120" x14ac:dyDescent="0.35">
      <c r="C117" s="2">
        <v>116</v>
      </c>
      <c r="D117" s="3">
        <v>43948</v>
      </c>
      <c r="E117" s="1">
        <v>69.781609000000003</v>
      </c>
      <c r="F117" s="1">
        <f t="shared" si="17"/>
        <v>83.826950063639487</v>
      </c>
      <c r="Q117" s="2">
        <v>116</v>
      </c>
      <c r="R117" s="3">
        <v>43948</v>
      </c>
      <c r="S117" s="1">
        <v>138.07551599999999</v>
      </c>
      <c r="T117" s="1">
        <f t="shared" si="18"/>
        <v>158.00853965794198</v>
      </c>
      <c r="AC117" s="5"/>
      <c r="AD117" s="5">
        <f t="shared" si="19"/>
        <v>-14.045341063639484</v>
      </c>
      <c r="AU117" s="5">
        <f t="shared" si="20"/>
        <v>-14.045341063639484</v>
      </c>
      <c r="BH117" s="5">
        <v>-0.26389295477665087</v>
      </c>
      <c r="BI117">
        <f>STANDARDIZE(BH117,AVERAGE($BH$2:$BH$253),_xlfn.STDEV.S($BH$2:$BH$253))</f>
        <v>-5.1649026089849788E-2</v>
      </c>
      <c r="BJ117" s="16"/>
      <c r="BK117">
        <f t="shared" si="28"/>
        <v>116</v>
      </c>
      <c r="BL117">
        <f t="shared" si="21"/>
        <v>0.45833333333333331</v>
      </c>
      <c r="BM117" s="5">
        <f t="shared" si="22"/>
        <v>-0.10463345561407539</v>
      </c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>
        <f t="shared" si="23"/>
        <v>-19.933023657941987</v>
      </c>
      <c r="CW117" s="5">
        <f t="shared" si="24"/>
        <v>-19.933023657941987</v>
      </c>
      <c r="DK117" s="5">
        <v>3.1998174110333935</v>
      </c>
      <c r="DL117" s="5">
        <f t="shared" si="25"/>
        <v>-2.0176683846492538</v>
      </c>
      <c r="DN117">
        <f t="shared" si="29"/>
        <v>116</v>
      </c>
      <c r="DO117" s="8">
        <f t="shared" si="26"/>
        <v>0.45833333333333331</v>
      </c>
      <c r="DP117">
        <f t="shared" si="27"/>
        <v>-0.10463345561407539</v>
      </c>
    </row>
    <row r="118" spans="3:120" x14ac:dyDescent="0.35">
      <c r="C118" s="2">
        <v>117</v>
      </c>
      <c r="D118" s="3">
        <v>43949</v>
      </c>
      <c r="E118" s="1">
        <v>68.650490000000005</v>
      </c>
      <c r="F118" s="1">
        <f t="shared" si="17"/>
        <v>84.070522431993879</v>
      </c>
      <c r="Q118" s="2">
        <v>117</v>
      </c>
      <c r="R118" s="3">
        <v>43949</v>
      </c>
      <c r="S118" s="1">
        <v>140.91835</v>
      </c>
      <c r="T118" s="1">
        <f t="shared" si="18"/>
        <v>157.97715040064742</v>
      </c>
      <c r="AC118" s="5"/>
      <c r="AD118" s="5">
        <f t="shared" si="19"/>
        <v>-15.420032431993874</v>
      </c>
      <c r="AU118" s="5">
        <f t="shared" si="20"/>
        <v>-15.420032431993874</v>
      </c>
      <c r="BH118" s="5">
        <v>-0.21053243452698212</v>
      </c>
      <c r="BI118">
        <f>STANDARDIZE(BH118,AVERAGE($BH$2:$BH$253),_xlfn.STDEV.S($BH$2:$BH$253))</f>
        <v>-4.6280776380351295E-2</v>
      </c>
      <c r="BJ118" s="16"/>
      <c r="BK118">
        <f t="shared" si="28"/>
        <v>117</v>
      </c>
      <c r="BL118">
        <f t="shared" si="21"/>
        <v>0.46230158730158732</v>
      </c>
      <c r="BM118" s="5">
        <f t="shared" si="22"/>
        <v>-9.4636981567699813E-2</v>
      </c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>
        <f t="shared" si="23"/>
        <v>-17.058800400647414</v>
      </c>
      <c r="CW118" s="5">
        <f t="shared" si="24"/>
        <v>-17.058800400647414</v>
      </c>
      <c r="DK118" s="5">
        <v>3.3330365463056069</v>
      </c>
      <c r="DL118" s="5">
        <f t="shared" si="25"/>
        <v>-2.0294284919851275</v>
      </c>
      <c r="DN118">
        <f t="shared" si="29"/>
        <v>117</v>
      </c>
      <c r="DO118" s="8">
        <f t="shared" si="26"/>
        <v>0.46230158730158732</v>
      </c>
      <c r="DP118">
        <f t="shared" si="27"/>
        <v>-9.4636981567699813E-2</v>
      </c>
    </row>
    <row r="119" spans="3:120" x14ac:dyDescent="0.35">
      <c r="C119" s="2">
        <v>118</v>
      </c>
      <c r="D119" s="3">
        <v>43950</v>
      </c>
      <c r="E119" s="1">
        <v>70.905333999999996</v>
      </c>
      <c r="F119" s="1">
        <f t="shared" si="17"/>
        <v>84.314094800348272</v>
      </c>
      <c r="Q119" s="2">
        <v>118</v>
      </c>
      <c r="R119" s="3">
        <v>43950</v>
      </c>
      <c r="S119" s="1">
        <v>144.274506</v>
      </c>
      <c r="T119" s="1">
        <f t="shared" si="18"/>
        <v>157.94576114335288</v>
      </c>
      <c r="AC119" s="5"/>
      <c r="AD119" s="5">
        <f t="shared" si="19"/>
        <v>-13.408760800348276</v>
      </c>
      <c r="AU119" s="5">
        <f t="shared" si="20"/>
        <v>-13.408760800348276</v>
      </c>
      <c r="BH119" s="5">
        <v>5.7243571805784654E-2</v>
      </c>
      <c r="BI119">
        <f>STANDARDIZE(BH119,AVERAGE($BH$2:$BH$253),_xlfn.STDEV.S($BH$2:$BH$253))</f>
        <v>-1.9341599972762462E-2</v>
      </c>
      <c r="BJ119" s="16"/>
      <c r="BK119">
        <f t="shared" si="28"/>
        <v>118</v>
      </c>
      <c r="BL119">
        <f t="shared" si="21"/>
        <v>0.46626984126984128</v>
      </c>
      <c r="BM119" s="5">
        <f t="shared" si="22"/>
        <v>-8.4649955845010449E-2</v>
      </c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>
        <f t="shared" si="23"/>
        <v>-13.67125514335288</v>
      </c>
      <c r="CW119" s="5">
        <f t="shared" si="24"/>
        <v>-13.67125514335288</v>
      </c>
      <c r="DK119" s="5">
        <v>3.3570398964442631</v>
      </c>
      <c r="DL119" s="5">
        <f t="shared" si="25"/>
        <v>-2.0640244582995364</v>
      </c>
      <c r="DN119">
        <f t="shared" si="29"/>
        <v>118</v>
      </c>
      <c r="DO119" s="8">
        <f t="shared" si="26"/>
        <v>0.46626984126984128</v>
      </c>
      <c r="DP119">
        <f t="shared" si="27"/>
        <v>-8.4649955845010449E-2</v>
      </c>
    </row>
    <row r="120" spans="3:120" x14ac:dyDescent="0.35">
      <c r="C120" s="2">
        <v>119</v>
      </c>
      <c r="D120" s="3">
        <v>43951</v>
      </c>
      <c r="E120" s="1">
        <v>72.401154000000005</v>
      </c>
      <c r="F120" s="1">
        <f t="shared" si="17"/>
        <v>84.557667168702665</v>
      </c>
      <c r="Q120" s="2">
        <v>119</v>
      </c>
      <c r="R120" s="3">
        <v>43951</v>
      </c>
      <c r="S120" s="1">
        <v>140.06944300000001</v>
      </c>
      <c r="T120" s="1">
        <f t="shared" si="18"/>
        <v>157.91437188605832</v>
      </c>
      <c r="AC120" s="5"/>
      <c r="AD120" s="5">
        <f t="shared" si="19"/>
        <v>-12.156513168702659</v>
      </c>
      <c r="AU120" s="5">
        <f t="shared" si="20"/>
        <v>-12.156513168702659</v>
      </c>
      <c r="BH120" s="5">
        <v>9.121115535273816E-2</v>
      </c>
      <c r="BI120">
        <f>STANDARDIZE(BH120,AVERAGE($BH$2:$BH$253),_xlfn.STDEV.S($BH$2:$BH$253))</f>
        <v>-1.5924345612139339E-2</v>
      </c>
      <c r="BJ120" s="16"/>
      <c r="BK120">
        <f t="shared" si="28"/>
        <v>119</v>
      </c>
      <c r="BL120">
        <f t="shared" si="21"/>
        <v>0.47023809523809523</v>
      </c>
      <c r="BM120" s="5">
        <f t="shared" si="22"/>
        <v>-7.4671366245484247E-2</v>
      </c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>
        <f t="shared" si="23"/>
        <v>-17.844928886058312</v>
      </c>
      <c r="CW120" s="5">
        <f t="shared" si="24"/>
        <v>-17.844928886058312</v>
      </c>
      <c r="DK120" s="5">
        <v>3.5156526391496925</v>
      </c>
      <c r="DL120" s="5">
        <f t="shared" si="25"/>
        <v>-2.0729177688504246</v>
      </c>
      <c r="DN120">
        <f t="shared" si="29"/>
        <v>119</v>
      </c>
      <c r="DO120" s="8">
        <f t="shared" si="26"/>
        <v>0.47023809523809523</v>
      </c>
      <c r="DP120">
        <f t="shared" si="27"/>
        <v>-7.4671366245484247E-2</v>
      </c>
    </row>
    <row r="121" spans="3:120" x14ac:dyDescent="0.35">
      <c r="C121" s="2">
        <v>120</v>
      </c>
      <c r="D121" s="3">
        <v>43952</v>
      </c>
      <c r="E121" s="1">
        <v>71.235541999999995</v>
      </c>
      <c r="F121" s="1">
        <f t="shared" si="17"/>
        <v>84.801239537057057</v>
      </c>
      <c r="Q121" s="2">
        <v>120</v>
      </c>
      <c r="R121" s="3">
        <v>43952</v>
      </c>
      <c r="S121" s="1">
        <v>135.47943100000001</v>
      </c>
      <c r="T121" s="1">
        <f t="shared" si="18"/>
        <v>157.88298262876376</v>
      </c>
      <c r="AC121" s="5"/>
      <c r="AD121" s="5">
        <f t="shared" si="19"/>
        <v>-13.565697537057062</v>
      </c>
      <c r="AU121" s="5">
        <f t="shared" si="20"/>
        <v>-13.565697537057062</v>
      </c>
      <c r="BH121" s="5">
        <v>0.15768067686896359</v>
      </c>
      <c r="BI121">
        <f>STANDARDIZE(BH121,AVERAGE($BH$2:$BH$253),_xlfn.STDEV.S($BH$2:$BH$253))</f>
        <v>-9.2372858177364511E-3</v>
      </c>
      <c r="BJ121" s="16"/>
      <c r="BK121">
        <f t="shared" si="28"/>
        <v>120</v>
      </c>
      <c r="BL121">
        <f t="shared" si="21"/>
        <v>0.47420634920634919</v>
      </c>
      <c r="BM121" s="5">
        <f t="shared" si="22"/>
        <v>-6.4700206491002693E-2</v>
      </c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>
        <f t="shared" si="23"/>
        <v>-22.403551628763751</v>
      </c>
      <c r="CW121" s="5">
        <f t="shared" si="24"/>
        <v>-22.403551628763751</v>
      </c>
      <c r="DK121" s="5">
        <v>3.6539270794540073</v>
      </c>
      <c r="DL121" s="5">
        <f t="shared" si="25"/>
        <v>-2.0864484960224932</v>
      </c>
      <c r="DN121">
        <f t="shared" si="29"/>
        <v>120</v>
      </c>
      <c r="DO121" s="8">
        <f t="shared" si="26"/>
        <v>0.47420634920634919</v>
      </c>
      <c r="DP121">
        <f t="shared" si="27"/>
        <v>-6.4700206491002693E-2</v>
      </c>
    </row>
    <row r="122" spans="3:120" x14ac:dyDescent="0.35">
      <c r="C122" s="2">
        <v>121</v>
      </c>
      <c r="D122" s="3">
        <v>43955</v>
      </c>
      <c r="E122" s="1">
        <v>72.243446000000006</v>
      </c>
      <c r="F122" s="1">
        <f t="shared" si="17"/>
        <v>85.04481190541145</v>
      </c>
      <c r="Q122" s="2">
        <v>121</v>
      </c>
      <c r="R122" s="3">
        <v>43955</v>
      </c>
      <c r="S122" s="1">
        <v>133.45588699999999</v>
      </c>
      <c r="T122" s="1">
        <f t="shared" si="18"/>
        <v>157.85159337146919</v>
      </c>
      <c r="AC122" s="5"/>
      <c r="AD122" s="5">
        <f t="shared" si="19"/>
        <v>-12.801365905411444</v>
      </c>
      <c r="AU122" s="5">
        <f t="shared" si="20"/>
        <v>-12.801365905411444</v>
      </c>
      <c r="BH122" s="5">
        <v>0.32480452370714374</v>
      </c>
      <c r="BI122">
        <f>STANDARDIZE(BH122,AVERAGE($BH$2:$BH$253),_xlfn.STDEV.S($BH$2:$BH$253))</f>
        <v>7.5759412280568469E-3</v>
      </c>
      <c r="BJ122" s="16"/>
      <c r="BK122">
        <f t="shared" si="28"/>
        <v>121</v>
      </c>
      <c r="BL122">
        <f t="shared" si="21"/>
        <v>0.4781746031746032</v>
      </c>
      <c r="BM122" s="5">
        <f t="shared" si="22"/>
        <v>-5.4735475504070312E-2</v>
      </c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>
        <f t="shared" si="23"/>
        <v>-24.395706371469203</v>
      </c>
      <c r="CW122" s="5">
        <f t="shared" si="24"/>
        <v>-24.395706371469203</v>
      </c>
      <c r="DK122" s="5">
        <v>3.6930803818551681</v>
      </c>
      <c r="DL122" s="5">
        <f t="shared" si="25"/>
        <v>-2.1216724194597596</v>
      </c>
      <c r="DN122">
        <f t="shared" si="29"/>
        <v>121</v>
      </c>
      <c r="DO122" s="8">
        <f t="shared" si="26"/>
        <v>0.4781746031746032</v>
      </c>
      <c r="DP122">
        <f t="shared" si="27"/>
        <v>-5.4735475504070312E-2</v>
      </c>
    </row>
    <row r="123" spans="3:120" x14ac:dyDescent="0.35">
      <c r="C123" s="2">
        <v>122</v>
      </c>
      <c r="D123" s="3">
        <v>43956</v>
      </c>
      <c r="E123" s="1">
        <v>73.327736000000002</v>
      </c>
      <c r="F123" s="1">
        <f t="shared" si="17"/>
        <v>85.288384273765843</v>
      </c>
      <c r="Q123" s="2">
        <v>122</v>
      </c>
      <c r="R123" s="3">
        <v>43956</v>
      </c>
      <c r="S123" s="1">
        <v>133.13014200000001</v>
      </c>
      <c r="T123" s="1">
        <f t="shared" si="18"/>
        <v>157.82020411417466</v>
      </c>
      <c r="AC123" s="5"/>
      <c r="AD123" s="5">
        <f t="shared" si="19"/>
        <v>-11.960648273765841</v>
      </c>
      <c r="AU123" s="5">
        <f t="shared" si="20"/>
        <v>-11.960648273765841</v>
      </c>
      <c r="BH123" s="5">
        <v>0.37075614395375567</v>
      </c>
      <c r="BI123">
        <f>STANDARDIZE(BH123,AVERAGE($BH$2:$BH$253),_xlfn.STDEV.S($BH$2:$BH$253))</f>
        <v>1.2198830414400395E-2</v>
      </c>
      <c r="BJ123" s="16"/>
      <c r="BK123">
        <f t="shared" si="28"/>
        <v>122</v>
      </c>
      <c r="BL123">
        <f t="shared" si="21"/>
        <v>0.48214285714285715</v>
      </c>
      <c r="BM123" s="5">
        <f t="shared" si="22"/>
        <v>-4.477617669551625E-2</v>
      </c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>
        <f t="shared" si="23"/>
        <v>-24.690062114174651</v>
      </c>
      <c r="CW123" s="5">
        <f t="shared" si="24"/>
        <v>-24.690062114174651</v>
      </c>
      <c r="DK123" s="5">
        <v>3.9667636975061384</v>
      </c>
      <c r="DL123" s="5">
        <f t="shared" si="25"/>
        <v>-2.1087851438135443</v>
      </c>
      <c r="DN123">
        <f t="shared" si="29"/>
        <v>122</v>
      </c>
      <c r="DO123" s="8">
        <f t="shared" si="26"/>
        <v>0.48214285714285715</v>
      </c>
      <c r="DP123">
        <f t="shared" si="27"/>
        <v>-4.477617669551625E-2</v>
      </c>
    </row>
    <row r="124" spans="3:120" x14ac:dyDescent="0.35">
      <c r="C124" s="2">
        <v>123</v>
      </c>
      <c r="D124" s="3">
        <v>43957</v>
      </c>
      <c r="E124" s="1">
        <v>74.084282000000002</v>
      </c>
      <c r="F124" s="1">
        <f t="shared" si="17"/>
        <v>85.531956642120235</v>
      </c>
      <c r="Q124" s="2">
        <v>123</v>
      </c>
      <c r="R124" s="3">
        <v>43957</v>
      </c>
      <c r="S124" s="1">
        <v>131.323746</v>
      </c>
      <c r="T124" s="1">
        <f t="shared" si="18"/>
        <v>157.78881485688009</v>
      </c>
      <c r="AC124" s="5"/>
      <c r="AD124" s="5">
        <f t="shared" si="19"/>
        <v>-11.447674642120234</v>
      </c>
      <c r="AU124" s="5">
        <f t="shared" si="20"/>
        <v>-11.447674642120234</v>
      </c>
      <c r="BH124" s="5">
        <v>1.219079364212547</v>
      </c>
      <c r="BI124">
        <f>STANDARDIZE(BH124,AVERAGE($BH$2:$BH$253),_xlfn.STDEV.S($BH$2:$BH$253))</f>
        <v>9.7543029822639002E-2</v>
      </c>
      <c r="BJ124" s="16"/>
      <c r="BK124">
        <f t="shared" si="28"/>
        <v>123</v>
      </c>
      <c r="BL124">
        <f t="shared" si="21"/>
        <v>0.4861111111111111</v>
      </c>
      <c r="BM124" s="5">
        <f t="shared" si="22"/>
        <v>-3.4821317260347699E-2</v>
      </c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>
        <f t="shared" si="23"/>
        <v>-26.465068856880094</v>
      </c>
      <c r="CW124" s="5">
        <f t="shared" si="24"/>
        <v>-26.465068856880094</v>
      </c>
      <c r="DK124" s="5">
        <v>4.0459361006918471</v>
      </c>
      <c r="DL124" s="5">
        <f t="shared" si="25"/>
        <v>-2.1370392382977603</v>
      </c>
      <c r="DN124">
        <f t="shared" si="29"/>
        <v>123</v>
      </c>
      <c r="DO124" s="8">
        <f t="shared" si="26"/>
        <v>0.4861111111111111</v>
      </c>
      <c r="DP124">
        <f t="shared" si="27"/>
        <v>-3.4821317260347699E-2</v>
      </c>
    </row>
    <row r="125" spans="3:120" x14ac:dyDescent="0.35">
      <c r="C125" s="2">
        <v>124</v>
      </c>
      <c r="D125" s="3">
        <v>43958</v>
      </c>
      <c r="E125" s="1">
        <v>74.850669999999994</v>
      </c>
      <c r="F125" s="1">
        <f t="shared" si="17"/>
        <v>85.775529010474628</v>
      </c>
      <c r="Q125" s="2">
        <v>124</v>
      </c>
      <c r="R125" s="3">
        <v>43958</v>
      </c>
      <c r="S125" s="1">
        <v>131.076965</v>
      </c>
      <c r="T125" s="1">
        <f t="shared" si="18"/>
        <v>157.75742559958553</v>
      </c>
      <c r="AC125" s="5"/>
      <c r="AD125" s="5">
        <f t="shared" si="19"/>
        <v>-10.924859010474634</v>
      </c>
      <c r="AU125" s="5">
        <f t="shared" si="20"/>
        <v>-10.924859010474634</v>
      </c>
      <c r="BH125" s="5">
        <v>1.2771478920615209</v>
      </c>
      <c r="BI125">
        <f>STANDARDIZE(BH125,AVERAGE($BH$2:$BH$253),_xlfn.STDEV.S($BH$2:$BH$253))</f>
        <v>0.10338492109914309</v>
      </c>
      <c r="BJ125" s="16"/>
      <c r="BK125">
        <f t="shared" si="28"/>
        <v>124</v>
      </c>
      <c r="BL125">
        <f t="shared" si="21"/>
        <v>0.49007936507936506</v>
      </c>
      <c r="BM125" s="5">
        <f t="shared" si="22"/>
        <v>-2.4869907480456668E-2</v>
      </c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>
        <f t="shared" si="23"/>
        <v>-26.68046059958553</v>
      </c>
      <c r="CW125" s="5">
        <f t="shared" si="24"/>
        <v>-26.68046059958553</v>
      </c>
      <c r="DK125" s="5">
        <v>4.0473273579864042</v>
      </c>
      <c r="DL125" s="5">
        <f t="shared" si="25"/>
        <v>-2.184258035389786</v>
      </c>
      <c r="DN125">
        <f t="shared" si="29"/>
        <v>124</v>
      </c>
      <c r="DO125" s="8">
        <f t="shared" si="26"/>
        <v>0.49007936507936506</v>
      </c>
      <c r="DP125">
        <f t="shared" si="27"/>
        <v>-2.4869907480456668E-2</v>
      </c>
    </row>
    <row r="126" spans="3:120" x14ac:dyDescent="0.35">
      <c r="C126" s="2">
        <v>125</v>
      </c>
      <c r="D126" s="3">
        <v>43959</v>
      </c>
      <c r="E126" s="1">
        <v>77.259674000000004</v>
      </c>
      <c r="F126" s="1">
        <f t="shared" si="17"/>
        <v>86.019101378829021</v>
      </c>
      <c r="Q126" s="2">
        <v>125</v>
      </c>
      <c r="R126" s="3">
        <v>43959</v>
      </c>
      <c r="S126" s="1">
        <v>135.14382900000001</v>
      </c>
      <c r="T126" s="1">
        <f t="shared" si="18"/>
        <v>157.72603634229097</v>
      </c>
      <c r="AC126" s="5"/>
      <c r="AD126" s="5">
        <f t="shared" si="19"/>
        <v>-8.7594273788290167</v>
      </c>
      <c r="AU126" s="5">
        <f t="shared" si="20"/>
        <v>-8.7594273788290167</v>
      </c>
      <c r="BH126" s="5">
        <v>1.3949647869983579</v>
      </c>
      <c r="BI126">
        <f>STANDARDIZE(BH126,AVERAGE($BH$2:$BH$253),_xlfn.STDEV.S($BH$2:$BH$253))</f>
        <v>0.11523770118935625</v>
      </c>
      <c r="BJ126" s="16"/>
      <c r="BK126">
        <f t="shared" si="28"/>
        <v>125</v>
      </c>
      <c r="BL126">
        <f t="shared" si="21"/>
        <v>0.49404761904761907</v>
      </c>
      <c r="BM126" s="5">
        <f t="shared" si="22"/>
        <v>-1.4920960032900372E-2</v>
      </c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>
        <f t="shared" si="23"/>
        <v>-22.582207342290957</v>
      </c>
      <c r="CW126" s="5">
        <f t="shared" si="24"/>
        <v>-22.582207342290957</v>
      </c>
      <c r="DK126" s="5">
        <v>4.6884321537388303</v>
      </c>
      <c r="DL126" s="5">
        <f t="shared" si="25"/>
        <v>-2.0913604189270529</v>
      </c>
      <c r="DN126">
        <f t="shared" si="29"/>
        <v>125</v>
      </c>
      <c r="DO126" s="8">
        <f t="shared" si="26"/>
        <v>0.49404761904761907</v>
      </c>
      <c r="DP126">
        <f t="shared" si="27"/>
        <v>-1.4920960032900372E-2</v>
      </c>
    </row>
    <row r="127" spans="3:120" x14ac:dyDescent="0.35">
      <c r="C127" s="2">
        <v>126</v>
      </c>
      <c r="D127" s="3">
        <v>43962</v>
      </c>
      <c r="E127" s="1">
        <v>78.475371999999993</v>
      </c>
      <c r="F127" s="1">
        <f t="shared" si="17"/>
        <v>86.262673747183399</v>
      </c>
      <c r="Q127" s="2">
        <v>126</v>
      </c>
      <c r="R127" s="3">
        <v>43962</v>
      </c>
      <c r="S127" s="1">
        <v>132.54776000000001</v>
      </c>
      <c r="T127" s="1">
        <f t="shared" si="18"/>
        <v>157.69464708499643</v>
      </c>
      <c r="AC127" s="5"/>
      <c r="AD127" s="5">
        <f t="shared" si="19"/>
        <v>-7.7873017471834061</v>
      </c>
      <c r="AU127" s="5">
        <f t="shared" si="20"/>
        <v>-7.7873017471834061</v>
      </c>
      <c r="BH127" s="5">
        <v>1.6144833123142206</v>
      </c>
      <c r="BI127">
        <f>STANDARDIZE(BH127,AVERAGE($BH$2:$BH$253),_xlfn.STDEV.S($BH$2:$BH$253))</f>
        <v>0.13732201097949054</v>
      </c>
      <c r="BJ127" s="16"/>
      <c r="BK127">
        <f t="shared" si="28"/>
        <v>126</v>
      </c>
      <c r="BL127">
        <f t="shared" si="21"/>
        <v>0.49801587301587302</v>
      </c>
      <c r="BM127" s="5">
        <f t="shared" si="22"/>
        <v>-4.9734893024984917E-3</v>
      </c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>
        <f t="shared" si="23"/>
        <v>-25.146887084996422</v>
      </c>
      <c r="CW127" s="5">
        <f t="shared" si="24"/>
        <v>-25.146887084996422</v>
      </c>
      <c r="DK127" s="5">
        <v>4.8080295356866714</v>
      </c>
      <c r="DL127" s="5">
        <f t="shared" si="25"/>
        <v>-2.1097447961987292</v>
      </c>
      <c r="DN127">
        <f t="shared" si="29"/>
        <v>126</v>
      </c>
      <c r="DO127" s="8">
        <f t="shared" si="26"/>
        <v>0.49801587301587302</v>
      </c>
      <c r="DP127">
        <f t="shared" si="27"/>
        <v>-4.9734893024984917E-3</v>
      </c>
    </row>
    <row r="128" spans="3:120" x14ac:dyDescent="0.35">
      <c r="C128" s="2">
        <v>127</v>
      </c>
      <c r="D128" s="3">
        <v>43963</v>
      </c>
      <c r="E128" s="1">
        <v>77.578536999999997</v>
      </c>
      <c r="F128" s="1">
        <f t="shared" si="17"/>
        <v>86.506246115537792</v>
      </c>
      <c r="Q128" s="2">
        <v>127</v>
      </c>
      <c r="R128" s="3">
        <v>43963</v>
      </c>
      <c r="S128" s="1">
        <v>125.944046</v>
      </c>
      <c r="T128" s="1">
        <f t="shared" si="18"/>
        <v>157.66325782770187</v>
      </c>
      <c r="AC128" s="5"/>
      <c r="AD128" s="5">
        <f t="shared" si="19"/>
        <v>-8.9277091155377946</v>
      </c>
      <c r="AU128" s="5">
        <f t="shared" si="20"/>
        <v>-8.9277091155377946</v>
      </c>
      <c r="BH128" s="5">
        <v>1.7372098401632314</v>
      </c>
      <c r="BI128">
        <f>STANDARDIZE(BH128,AVERAGE($BH$2:$BH$253),_xlfn.STDEV.S($BH$2:$BH$253))</f>
        <v>0.14966871682850821</v>
      </c>
      <c r="BJ128" s="16"/>
      <c r="BK128">
        <f t="shared" si="28"/>
        <v>127</v>
      </c>
      <c r="BL128">
        <f t="shared" si="21"/>
        <v>0.50198412698412698</v>
      </c>
      <c r="BM128" s="5">
        <f t="shared" si="22"/>
        <v>4.9734893024984917E-3</v>
      </c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>
        <f t="shared" si="23"/>
        <v>-31.719211827701869</v>
      </c>
      <c r="CW128" s="5">
        <f t="shared" si="24"/>
        <v>-31.719211827701869</v>
      </c>
      <c r="DK128" s="5">
        <v>4.9057158036001169</v>
      </c>
      <c r="DL128" s="5">
        <f t="shared" si="25"/>
        <v>-2.1342599183644437</v>
      </c>
      <c r="DN128">
        <f t="shared" si="29"/>
        <v>127</v>
      </c>
      <c r="DO128" s="8">
        <f t="shared" si="26"/>
        <v>0.50198412698412698</v>
      </c>
      <c r="DP128">
        <f t="shared" si="27"/>
        <v>4.9734893024984917E-3</v>
      </c>
    </row>
    <row r="129" spans="3:120" x14ac:dyDescent="0.35">
      <c r="C129" s="2">
        <v>128</v>
      </c>
      <c r="D129" s="3">
        <v>43964</v>
      </c>
      <c r="E129" s="1">
        <v>76.641852999999998</v>
      </c>
      <c r="F129" s="1">
        <f t="shared" si="17"/>
        <v>86.749818483892184</v>
      </c>
      <c r="Q129" s="2">
        <v>128</v>
      </c>
      <c r="R129" s="3">
        <v>43964</v>
      </c>
      <c r="S129" s="1">
        <v>121.383652</v>
      </c>
      <c r="T129" s="1">
        <f t="shared" si="18"/>
        <v>157.63186857040731</v>
      </c>
      <c r="AC129" s="5"/>
      <c r="AD129" s="5">
        <f t="shared" si="19"/>
        <v>-10.107965483892187</v>
      </c>
      <c r="AU129" s="5">
        <f t="shared" si="20"/>
        <v>-10.107965483892187</v>
      </c>
      <c r="BH129" s="5">
        <v>1.9618650490230181</v>
      </c>
      <c r="BI129">
        <f>STANDARDIZE(BH129,AVERAGE($BH$2:$BH$253),_xlfn.STDEV.S($BH$2:$BH$253))</f>
        <v>0.17226979444274604</v>
      </c>
      <c r="BJ129" s="16"/>
      <c r="BK129">
        <f t="shared" si="28"/>
        <v>128</v>
      </c>
      <c r="BL129">
        <f t="shared" si="21"/>
        <v>0.50595238095238093</v>
      </c>
      <c r="BM129" s="5">
        <f t="shared" si="22"/>
        <v>1.4920960032900372E-2</v>
      </c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>
        <f t="shared" si="23"/>
        <v>-36.248216570407308</v>
      </c>
      <c r="CW129" s="5">
        <f t="shared" si="24"/>
        <v>-36.248216570407308</v>
      </c>
      <c r="DK129" s="5">
        <v>5.3853742783921064</v>
      </c>
      <c r="DL129" s="5">
        <f t="shared" si="25"/>
        <v>-2.0709747565326553</v>
      </c>
      <c r="DN129">
        <f t="shared" si="29"/>
        <v>128</v>
      </c>
      <c r="DO129" s="8">
        <f t="shared" si="26"/>
        <v>0.50595238095238093</v>
      </c>
      <c r="DP129">
        <f t="shared" si="27"/>
        <v>1.4920960032900372E-2</v>
      </c>
    </row>
    <row r="130" spans="3:120" x14ac:dyDescent="0.35">
      <c r="C130" s="2">
        <v>129</v>
      </c>
      <c r="D130" s="3">
        <v>43965</v>
      </c>
      <c r="E130" s="1">
        <v>77.112685999999997</v>
      </c>
      <c r="F130" s="1">
        <f t="shared" si="17"/>
        <v>86.993390852246577</v>
      </c>
      <c r="Q130" s="2">
        <v>129</v>
      </c>
      <c r="R130" s="3">
        <v>43965</v>
      </c>
      <c r="S130" s="1">
        <v>126.335655</v>
      </c>
      <c r="T130" s="1">
        <f t="shared" si="18"/>
        <v>157.60047931311277</v>
      </c>
      <c r="AC130" s="5"/>
      <c r="AD130" s="5">
        <f t="shared" si="19"/>
        <v>-9.8807048522465806</v>
      </c>
      <c r="AU130" s="5">
        <f t="shared" si="20"/>
        <v>-9.8807048522465806</v>
      </c>
      <c r="BH130" s="5">
        <v>1.9657761009213317</v>
      </c>
      <c r="BI130">
        <f>STANDARDIZE(BH130,AVERAGE($BH$2:$BH$253),_xlfn.STDEV.S($BH$2:$BH$253))</f>
        <v>0.17266325955737985</v>
      </c>
      <c r="BJ130" s="16"/>
      <c r="BK130">
        <f t="shared" si="28"/>
        <v>129</v>
      </c>
      <c r="BL130">
        <f t="shared" si="21"/>
        <v>0.50992063492063489</v>
      </c>
      <c r="BM130" s="5">
        <f t="shared" si="22"/>
        <v>2.4869907480456525E-2</v>
      </c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>
        <f t="shared" si="23"/>
        <v>-31.264824313112769</v>
      </c>
      <c r="CW130" s="5">
        <f t="shared" si="24"/>
        <v>-31.264824313112769</v>
      </c>
      <c r="DK130" s="5">
        <v>6.5631595861026994</v>
      </c>
      <c r="DL130" s="5">
        <f t="shared" si="25"/>
        <v>-1.8371430895000014</v>
      </c>
      <c r="DN130">
        <f t="shared" si="29"/>
        <v>129</v>
      </c>
      <c r="DO130" s="8">
        <f t="shared" si="26"/>
        <v>0.50992063492063489</v>
      </c>
      <c r="DP130">
        <f t="shared" si="27"/>
        <v>2.4869907480456525E-2</v>
      </c>
    </row>
    <row r="131" spans="3:120" x14ac:dyDescent="0.35">
      <c r="C131" s="2">
        <v>130</v>
      </c>
      <c r="D131" s="3">
        <v>43966</v>
      </c>
      <c r="E131" s="1">
        <v>76.656791999999996</v>
      </c>
      <c r="F131" s="1">
        <f t="shared" ref="F131:F194" si="30">$B$5*C131+$B$6</f>
        <v>87.23696322060097</v>
      </c>
      <c r="Q131" s="2">
        <v>130</v>
      </c>
      <c r="R131" s="3">
        <v>43966</v>
      </c>
      <c r="S131" s="1">
        <v>124.70488</v>
      </c>
      <c r="T131" s="1">
        <f t="shared" ref="T131:T194" si="31">$P$5*Q131+$P$6</f>
        <v>157.56909005581821</v>
      </c>
      <c r="AC131" s="5"/>
      <c r="AD131" s="5">
        <f t="shared" ref="AD131:AD194" si="32">E131-F131</f>
        <v>-10.580171220600974</v>
      </c>
      <c r="AU131" s="5">
        <f t="shared" ref="AU131:AU194" si="33">E131-F131</f>
        <v>-10.580171220600974</v>
      </c>
      <c r="BH131" s="5">
        <v>2.1157772085175992</v>
      </c>
      <c r="BI131">
        <f>STANDARDIZE(BH131,AVERAGE($BH$2:$BH$253),_xlfn.STDEV.S($BH$2:$BH$253))</f>
        <v>0.18775388083525457</v>
      </c>
      <c r="BJ131" s="16"/>
      <c r="BK131">
        <f t="shared" si="28"/>
        <v>130</v>
      </c>
      <c r="BL131">
        <f t="shared" ref="BL131:BL194" si="34">(BK131-0.5)/252</f>
        <v>0.51388888888888884</v>
      </c>
      <c r="BM131" s="5">
        <f t="shared" ref="BM131:BM194" si="35">_xlfn.NORM.S.INV(BL131)</f>
        <v>3.482131726034756E-2</v>
      </c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>
        <f t="shared" ref="CH131:CH194" si="36">S131-T131</f>
        <v>-32.864210055818205</v>
      </c>
      <c r="CW131" s="5">
        <f t="shared" ref="CW131:CW194" si="37">S131-T131</f>
        <v>-32.864210055818205</v>
      </c>
      <c r="DK131" s="5">
        <v>6.808726615280932</v>
      </c>
      <c r="DL131" s="5">
        <f t="shared" ref="DL131:DL194" si="38">STANDARDIZE(DK131, AVERAGE(DK131:DK382),_xlfn.STDEV.S(DK131:DK382))</f>
        <v>-1.8117688746386253</v>
      </c>
      <c r="DN131">
        <f t="shared" si="29"/>
        <v>130</v>
      </c>
      <c r="DO131" s="8">
        <f t="shared" ref="DO131:DO194" si="39">(DN131-0.5)/252</f>
        <v>0.51388888888888884</v>
      </c>
      <c r="DP131">
        <f t="shared" ref="DP131:DP194" si="40">_xlfn.NORM.S.INV(DO131)</f>
        <v>3.482131726034756E-2</v>
      </c>
    </row>
    <row r="132" spans="3:120" x14ac:dyDescent="0.35">
      <c r="C132" s="2">
        <v>131</v>
      </c>
      <c r="D132" s="3">
        <v>43969</v>
      </c>
      <c r="E132" s="1">
        <v>78.462913999999998</v>
      </c>
      <c r="F132" s="1">
        <f t="shared" si="30"/>
        <v>87.480535588955362</v>
      </c>
      <c r="Q132" s="2">
        <v>131</v>
      </c>
      <c r="R132" s="3">
        <v>43969</v>
      </c>
      <c r="S132" s="1">
        <v>135.27510100000001</v>
      </c>
      <c r="T132" s="1">
        <f t="shared" si="31"/>
        <v>157.53770079852364</v>
      </c>
      <c r="AC132" s="5"/>
      <c r="AD132" s="5">
        <f t="shared" si="32"/>
        <v>-9.0176215889553646</v>
      </c>
      <c r="AU132" s="5">
        <f t="shared" si="33"/>
        <v>-9.0176215889553646</v>
      </c>
      <c r="BH132" s="5">
        <v>2.2374719971247004</v>
      </c>
      <c r="BI132">
        <f>STANDARDIZE(BH132,AVERAGE($BH$2:$BH$253),_xlfn.STDEV.S($BH$2:$BH$253))</f>
        <v>0.19999679020965494</v>
      </c>
      <c r="BJ132" s="16"/>
      <c r="BK132">
        <f t="shared" ref="BK132:BK195" si="41">BK131+1</f>
        <v>131</v>
      </c>
      <c r="BL132">
        <f t="shared" si="34"/>
        <v>0.5178571428571429</v>
      </c>
      <c r="BM132" s="5">
        <f t="shared" si="35"/>
        <v>4.4776176695516381E-2</v>
      </c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>
        <f t="shared" si="36"/>
        <v>-22.262599798523638</v>
      </c>
      <c r="CW132" s="5">
        <f t="shared" si="37"/>
        <v>-22.262599798523638</v>
      </c>
      <c r="DK132" s="5">
        <v>7.2006785330557079</v>
      </c>
      <c r="DL132" s="5">
        <f t="shared" si="38"/>
        <v>-1.7495113866769783</v>
      </c>
      <c r="DN132">
        <f t="shared" ref="DN132:DN195" si="42">DN131+1</f>
        <v>131</v>
      </c>
      <c r="DO132" s="8">
        <f t="shared" si="39"/>
        <v>0.5178571428571429</v>
      </c>
      <c r="DP132">
        <f t="shared" si="40"/>
        <v>4.4776176695516381E-2</v>
      </c>
    </row>
    <row r="133" spans="3:120" x14ac:dyDescent="0.35">
      <c r="C133" s="2">
        <v>132</v>
      </c>
      <c r="D133" s="3">
        <v>43970</v>
      </c>
      <c r="E133" s="1">
        <v>78.009521000000007</v>
      </c>
      <c r="F133" s="1">
        <f t="shared" si="30"/>
        <v>87.724107957309755</v>
      </c>
      <c r="Q133" s="2">
        <v>132</v>
      </c>
      <c r="R133" s="3">
        <v>43970</v>
      </c>
      <c r="S133" s="1">
        <v>131.208099</v>
      </c>
      <c r="T133" s="1">
        <f t="shared" si="31"/>
        <v>157.50631154122908</v>
      </c>
      <c r="AC133" s="5"/>
      <c r="AD133" s="5">
        <f t="shared" si="32"/>
        <v>-9.7145869573097485</v>
      </c>
      <c r="AU133" s="5">
        <f t="shared" si="33"/>
        <v>-9.7145869573097485</v>
      </c>
      <c r="BH133" s="5">
        <v>2.4410028907949766</v>
      </c>
      <c r="BI133">
        <f>STANDARDIZE(BH133,AVERAGE($BH$2:$BH$253),_xlfn.STDEV.S($BH$2:$BH$253))</f>
        <v>0.22047268991429123</v>
      </c>
      <c r="BJ133" s="16"/>
      <c r="BK133">
        <f t="shared" si="41"/>
        <v>132</v>
      </c>
      <c r="BL133">
        <f t="shared" si="34"/>
        <v>0.52182539682539686</v>
      </c>
      <c r="BM133" s="5">
        <f t="shared" si="35"/>
        <v>5.4735475504070437E-2</v>
      </c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>
        <f t="shared" si="36"/>
        <v>-26.298212541229077</v>
      </c>
      <c r="CW133" s="5">
        <f t="shared" si="37"/>
        <v>-26.298212541229077</v>
      </c>
      <c r="DK133" s="5">
        <v>7.9045468433972701</v>
      </c>
      <c r="DL133" s="5">
        <f t="shared" si="38"/>
        <v>-1.6077765763194254</v>
      </c>
      <c r="DN133">
        <f t="shared" si="42"/>
        <v>132</v>
      </c>
      <c r="DO133" s="8">
        <f t="shared" si="39"/>
        <v>0.52182539682539686</v>
      </c>
      <c r="DP133">
        <f t="shared" si="40"/>
        <v>5.4735475504070437E-2</v>
      </c>
    </row>
    <row r="134" spans="3:120" x14ac:dyDescent="0.35">
      <c r="C134" s="2">
        <v>133</v>
      </c>
      <c r="D134" s="3">
        <v>43971</v>
      </c>
      <c r="E134" s="1">
        <v>79.526664999999994</v>
      </c>
      <c r="F134" s="1">
        <f t="shared" si="30"/>
        <v>87.967680325664148</v>
      </c>
      <c r="Q134" s="2">
        <v>133</v>
      </c>
      <c r="R134" s="3">
        <v>43971</v>
      </c>
      <c r="S134" s="1">
        <v>135.26516699999999</v>
      </c>
      <c r="T134" s="1">
        <f t="shared" si="31"/>
        <v>157.47492228393455</v>
      </c>
      <c r="AC134" s="5"/>
      <c r="AD134" s="5">
        <f t="shared" si="32"/>
        <v>-8.4410153256641536</v>
      </c>
      <c r="AU134" s="5">
        <f t="shared" si="33"/>
        <v>-8.4410153256641536</v>
      </c>
      <c r="BH134" s="5">
        <v>2.6388002604159055</v>
      </c>
      <c r="BI134">
        <f>STANDARDIZE(BH134,AVERAGE($BH$2:$BH$253),_xlfn.STDEV.S($BH$2:$BH$253))</f>
        <v>0.24037177761131776</v>
      </c>
      <c r="BJ134" s="16"/>
      <c r="BK134">
        <f t="shared" si="41"/>
        <v>133</v>
      </c>
      <c r="BL134">
        <f t="shared" si="34"/>
        <v>0.52579365079365081</v>
      </c>
      <c r="BM134" s="5">
        <f t="shared" si="35"/>
        <v>6.4700206491002693E-2</v>
      </c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>
        <f t="shared" si="36"/>
        <v>-22.209755283934555</v>
      </c>
      <c r="CW134" s="5">
        <f t="shared" si="37"/>
        <v>-22.209755283934555</v>
      </c>
      <c r="DK134" s="5">
        <v>8.2910588698970002</v>
      </c>
      <c r="DL134" s="5">
        <f t="shared" si="38"/>
        <v>-1.5372858520540169</v>
      </c>
      <c r="DN134">
        <f t="shared" si="42"/>
        <v>133</v>
      </c>
      <c r="DO134" s="8">
        <f t="shared" si="39"/>
        <v>0.52579365079365081</v>
      </c>
      <c r="DP134">
        <f t="shared" si="40"/>
        <v>6.4700206491002693E-2</v>
      </c>
    </row>
    <row r="135" spans="3:120" x14ac:dyDescent="0.35">
      <c r="C135" s="2">
        <v>134</v>
      </c>
      <c r="D135" s="3">
        <v>43972</v>
      </c>
      <c r="E135" s="1">
        <v>78.933753999999993</v>
      </c>
      <c r="F135" s="1">
        <f t="shared" si="30"/>
        <v>88.21125269401854</v>
      </c>
      <c r="Q135" s="2">
        <v>134</v>
      </c>
      <c r="R135" s="3">
        <v>43972</v>
      </c>
      <c r="S135" s="1">
        <v>136.91583299999999</v>
      </c>
      <c r="T135" s="1">
        <f t="shared" si="31"/>
        <v>157.44353302663998</v>
      </c>
      <c r="AC135" s="5"/>
      <c r="AD135" s="5">
        <f t="shared" si="32"/>
        <v>-9.2774986940185471</v>
      </c>
      <c r="AU135" s="5">
        <f t="shared" si="33"/>
        <v>-9.2774986940185471</v>
      </c>
      <c r="BH135" s="5">
        <v>2.7025279958581478</v>
      </c>
      <c r="BI135">
        <f>STANDARDIZE(BH135,AVERAGE($BH$2:$BH$253),_xlfn.STDEV.S($BH$2:$BH$253))</f>
        <v>0.24678300440734843</v>
      </c>
      <c r="BJ135" s="16"/>
      <c r="BK135">
        <f t="shared" si="41"/>
        <v>134</v>
      </c>
      <c r="BL135">
        <f t="shared" si="34"/>
        <v>0.52976190476190477</v>
      </c>
      <c r="BM135" s="5">
        <f t="shared" si="35"/>
        <v>7.4671366245484247E-2</v>
      </c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>
        <f t="shared" si="36"/>
        <v>-20.527700026639991</v>
      </c>
      <c r="CW135" s="5">
        <f t="shared" si="37"/>
        <v>-20.527700026639991</v>
      </c>
      <c r="DK135" s="5">
        <v>8.3704374189737791</v>
      </c>
      <c r="DL135" s="5">
        <f t="shared" si="38"/>
        <v>-1.5397560083676469</v>
      </c>
      <c r="DN135">
        <f t="shared" si="42"/>
        <v>134</v>
      </c>
      <c r="DO135" s="8">
        <f t="shared" si="39"/>
        <v>0.52976190476190477</v>
      </c>
      <c r="DP135">
        <f t="shared" si="40"/>
        <v>7.4671366245484247E-2</v>
      </c>
    </row>
    <row r="136" spans="3:120" x14ac:dyDescent="0.35">
      <c r="C136" s="2">
        <v>135</v>
      </c>
      <c r="D136" s="3">
        <v>43973</v>
      </c>
      <c r="E136" s="1">
        <v>79.441963000000001</v>
      </c>
      <c r="F136" s="1">
        <f t="shared" si="30"/>
        <v>88.454825062372933</v>
      </c>
      <c r="Q136" s="2">
        <v>135</v>
      </c>
      <c r="R136" s="3">
        <v>43973</v>
      </c>
      <c r="S136" s="1">
        <v>138.397446</v>
      </c>
      <c r="T136" s="1">
        <f t="shared" si="31"/>
        <v>157.41214376934542</v>
      </c>
      <c r="AC136" s="5"/>
      <c r="AD136" s="5">
        <f t="shared" si="32"/>
        <v>-9.0128620623729319</v>
      </c>
      <c r="AU136" s="5">
        <f t="shared" si="33"/>
        <v>-9.0128620623729319</v>
      </c>
      <c r="BH136" s="5">
        <v>2.9342155756054353</v>
      </c>
      <c r="BI136">
        <f>STANDARDIZE(BH136,AVERAGE($BH$2:$BH$253),_xlfn.STDEV.S($BH$2:$BH$253))</f>
        <v>0.27009156243589399</v>
      </c>
      <c r="BJ136" s="16"/>
      <c r="BK136">
        <f t="shared" si="41"/>
        <v>135</v>
      </c>
      <c r="BL136">
        <f t="shared" si="34"/>
        <v>0.53373015873015872</v>
      </c>
      <c r="BM136" s="5">
        <f t="shared" si="35"/>
        <v>8.4649955845010449E-2</v>
      </c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>
        <f t="shared" si="36"/>
        <v>-19.014697769345418</v>
      </c>
      <c r="CW136" s="5">
        <f t="shared" si="37"/>
        <v>-19.014697769345418</v>
      </c>
      <c r="DK136" s="5">
        <v>8.9704281271915249</v>
      </c>
      <c r="DL136" s="5">
        <f t="shared" si="38"/>
        <v>-1.412974279899422</v>
      </c>
      <c r="DN136">
        <f t="shared" si="42"/>
        <v>135</v>
      </c>
      <c r="DO136" s="8">
        <f t="shared" si="39"/>
        <v>0.53373015873015872</v>
      </c>
      <c r="DP136">
        <f t="shared" si="40"/>
        <v>8.4649955845010449E-2</v>
      </c>
    </row>
    <row r="137" spans="3:120" x14ac:dyDescent="0.35">
      <c r="C137" s="2">
        <v>136</v>
      </c>
      <c r="D137" s="3">
        <v>43977</v>
      </c>
      <c r="E137" s="1">
        <v>78.903862000000004</v>
      </c>
      <c r="F137" s="1">
        <f t="shared" si="30"/>
        <v>88.698397430727326</v>
      </c>
      <c r="Q137" s="2">
        <v>136</v>
      </c>
      <c r="R137" s="3">
        <v>43977</v>
      </c>
      <c r="S137" s="1">
        <v>144.12506099999999</v>
      </c>
      <c r="T137" s="1">
        <f t="shared" si="31"/>
        <v>157.38075451205086</v>
      </c>
      <c r="AC137" s="5"/>
      <c r="AD137" s="5">
        <f t="shared" si="32"/>
        <v>-9.794535430727322</v>
      </c>
      <c r="AU137" s="5">
        <f t="shared" si="33"/>
        <v>-9.794535430727322</v>
      </c>
      <c r="BH137" s="5">
        <v>3.2876049439598347</v>
      </c>
      <c r="BI137">
        <f>STANDARDIZE(BH137,AVERAGE($BH$2:$BH$253),_xlfn.STDEV.S($BH$2:$BH$253))</f>
        <v>0.30564373406263406</v>
      </c>
      <c r="BJ137" s="16"/>
      <c r="BK137">
        <f t="shared" si="41"/>
        <v>136</v>
      </c>
      <c r="BL137">
        <f t="shared" si="34"/>
        <v>0.53769841269841268</v>
      </c>
      <c r="BM137" s="5">
        <f t="shared" si="35"/>
        <v>9.4636981567699813E-2</v>
      </c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>
        <f t="shared" si="36"/>
        <v>-13.255693512050868</v>
      </c>
      <c r="CW137" s="5">
        <f t="shared" si="37"/>
        <v>-13.255693512050868</v>
      </c>
      <c r="DK137" s="5">
        <v>9.1242716444591565</v>
      </c>
      <c r="DL137" s="5">
        <f t="shared" si="38"/>
        <v>-1.3929077260015064</v>
      </c>
      <c r="DN137">
        <f t="shared" si="42"/>
        <v>136</v>
      </c>
      <c r="DO137" s="8">
        <f t="shared" si="39"/>
        <v>0.53769841269841268</v>
      </c>
      <c r="DP137">
        <f t="shared" si="40"/>
        <v>9.4636981567699813E-2</v>
      </c>
    </row>
    <row r="138" spans="3:120" x14ac:dyDescent="0.35">
      <c r="C138" s="2">
        <v>137</v>
      </c>
      <c r="D138" s="3">
        <v>43978</v>
      </c>
      <c r="E138" s="1">
        <v>79.247642999999997</v>
      </c>
      <c r="F138" s="1">
        <f t="shared" si="30"/>
        <v>88.941969799081718</v>
      </c>
      <c r="Q138" s="2">
        <v>137</v>
      </c>
      <c r="R138" s="3">
        <v>43978</v>
      </c>
      <c r="S138" s="1">
        <v>147.75453200000001</v>
      </c>
      <c r="T138" s="1">
        <f t="shared" si="31"/>
        <v>157.34936525475632</v>
      </c>
      <c r="AC138" s="5"/>
      <c r="AD138" s="5">
        <f t="shared" si="32"/>
        <v>-9.6943267990817219</v>
      </c>
      <c r="AU138" s="5">
        <f t="shared" si="33"/>
        <v>-9.6943267990817219</v>
      </c>
      <c r="BH138" s="5">
        <v>3.5212656287702941</v>
      </c>
      <c r="BI138">
        <f>STANDARDIZE(BH138,AVERAGE($BH$2:$BH$253),_xlfn.STDEV.S($BH$2:$BH$253))</f>
        <v>0.32915079316711787</v>
      </c>
      <c r="BJ138" s="16"/>
      <c r="BK138">
        <f t="shared" si="41"/>
        <v>137</v>
      </c>
      <c r="BL138">
        <f t="shared" si="34"/>
        <v>0.54166666666666663</v>
      </c>
      <c r="BM138" s="5">
        <f t="shared" si="35"/>
        <v>0.10463345561407525</v>
      </c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>
        <f t="shared" si="36"/>
        <v>-9.5948332547563098</v>
      </c>
      <c r="CW138" s="5">
        <f t="shared" si="37"/>
        <v>-9.5948332547563098</v>
      </c>
      <c r="DK138" s="5">
        <v>9.1581569548007167</v>
      </c>
      <c r="DL138" s="5">
        <f t="shared" si="38"/>
        <v>-1.4023018871282757</v>
      </c>
      <c r="DN138">
        <f t="shared" si="42"/>
        <v>137</v>
      </c>
      <c r="DO138" s="8">
        <f t="shared" si="39"/>
        <v>0.54166666666666663</v>
      </c>
      <c r="DP138">
        <f t="shared" si="40"/>
        <v>0.10463345561407525</v>
      </c>
    </row>
    <row r="139" spans="3:120" x14ac:dyDescent="0.35">
      <c r="C139" s="2">
        <v>138</v>
      </c>
      <c r="D139" s="3">
        <v>43979</v>
      </c>
      <c r="E139" s="1">
        <v>79.282523999999995</v>
      </c>
      <c r="F139" s="1">
        <f t="shared" si="30"/>
        <v>89.185542167436097</v>
      </c>
      <c r="Q139" s="2">
        <v>138</v>
      </c>
      <c r="R139" s="3">
        <v>43979</v>
      </c>
      <c r="S139" s="1">
        <v>146.73033100000001</v>
      </c>
      <c r="T139" s="1">
        <f t="shared" si="31"/>
        <v>157.31797599746176</v>
      </c>
      <c r="AC139" s="5"/>
      <c r="AD139" s="5">
        <f t="shared" si="32"/>
        <v>-9.9030181674361017</v>
      </c>
      <c r="AU139" s="5">
        <f t="shared" si="33"/>
        <v>-9.9030181674361017</v>
      </c>
      <c r="BH139" s="5">
        <v>3.7607351540861913</v>
      </c>
      <c r="BI139">
        <f>STANDARDIZE(BH139,AVERAGE($BH$2:$BH$253),_xlfn.STDEV.S($BH$2:$BH$253))</f>
        <v>0.35324224137069471</v>
      </c>
      <c r="BJ139" s="16"/>
      <c r="BK139">
        <f t="shared" si="41"/>
        <v>138</v>
      </c>
      <c r="BL139">
        <f t="shared" si="34"/>
        <v>0.54563492063492058</v>
      </c>
      <c r="BM139" s="5">
        <f t="shared" si="35"/>
        <v>0.1146403968396903</v>
      </c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>
        <f t="shared" si="36"/>
        <v>-10.587644997461751</v>
      </c>
      <c r="CW139" s="5">
        <f t="shared" si="37"/>
        <v>-10.587644997461751</v>
      </c>
      <c r="DK139" s="5">
        <v>9.1806652704517262</v>
      </c>
      <c r="DL139" s="5">
        <f t="shared" si="38"/>
        <v>-1.4149697805710588</v>
      </c>
      <c r="DN139">
        <f t="shared" si="42"/>
        <v>138</v>
      </c>
      <c r="DO139" s="8">
        <f t="shared" si="39"/>
        <v>0.54563492063492058</v>
      </c>
      <c r="DP139">
        <f t="shared" si="40"/>
        <v>0.1146403968396903</v>
      </c>
    </row>
    <row r="140" spans="3:120" x14ac:dyDescent="0.35">
      <c r="C140" s="2">
        <v>139</v>
      </c>
      <c r="D140" s="3">
        <v>43980</v>
      </c>
      <c r="E140" s="1">
        <v>79.205298999999997</v>
      </c>
      <c r="F140" s="1">
        <f t="shared" si="30"/>
        <v>89.42911453579049</v>
      </c>
      <c r="Q140" s="2">
        <v>139</v>
      </c>
      <c r="R140" s="3">
        <v>43980</v>
      </c>
      <c r="S140" s="1">
        <v>145.02995300000001</v>
      </c>
      <c r="T140" s="1">
        <f t="shared" si="31"/>
        <v>157.28658674016719</v>
      </c>
      <c r="AC140" s="5"/>
      <c r="AD140" s="5">
        <f t="shared" si="32"/>
        <v>-10.223815535790493</v>
      </c>
      <c r="AU140" s="5">
        <f t="shared" si="33"/>
        <v>-10.223815535790493</v>
      </c>
      <c r="BH140" s="5">
        <v>3.9962674692757219</v>
      </c>
      <c r="BI140">
        <f>STANDARDIZE(BH140,AVERAGE($BH$2:$BH$253),_xlfn.STDEV.S($BH$2:$BH$253))</f>
        <v>0.37693759285298378</v>
      </c>
      <c r="BJ140" s="16"/>
      <c r="BK140">
        <f t="shared" si="41"/>
        <v>139</v>
      </c>
      <c r="BL140">
        <f t="shared" si="34"/>
        <v>0.54960317460317465</v>
      </c>
      <c r="BM140" s="5">
        <f t="shared" si="35"/>
        <v>0.12465883150000014</v>
      </c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>
        <f t="shared" si="36"/>
        <v>-12.256633740167189</v>
      </c>
      <c r="CW140" s="5">
        <f t="shared" si="37"/>
        <v>-12.256633740167189</v>
      </c>
      <c r="DK140" s="5">
        <v>9.2434437850408244</v>
      </c>
      <c r="DL140" s="5">
        <f t="shared" si="38"/>
        <v>-1.4179863145840532</v>
      </c>
      <c r="DN140">
        <f t="shared" si="42"/>
        <v>139</v>
      </c>
      <c r="DO140" s="8">
        <f t="shared" si="39"/>
        <v>0.54960317460317465</v>
      </c>
      <c r="DP140">
        <f t="shared" si="40"/>
        <v>0.12465883150000014</v>
      </c>
    </row>
    <row r="141" spans="3:120" x14ac:dyDescent="0.35">
      <c r="C141" s="2">
        <v>140</v>
      </c>
      <c r="D141" s="3">
        <v>43983</v>
      </c>
      <c r="E141" s="1">
        <v>80.179359000000005</v>
      </c>
      <c r="F141" s="1">
        <f t="shared" si="30"/>
        <v>89.672686904144882</v>
      </c>
      <c r="Q141" s="2">
        <v>140</v>
      </c>
      <c r="R141" s="3">
        <v>43983</v>
      </c>
      <c r="S141" s="1">
        <v>145.358093</v>
      </c>
      <c r="T141" s="1">
        <f t="shared" si="31"/>
        <v>157.25519748287263</v>
      </c>
      <c r="AC141" s="5"/>
      <c r="AD141" s="5">
        <f t="shared" si="32"/>
        <v>-9.493327904144877</v>
      </c>
      <c r="AU141" s="5">
        <f t="shared" si="33"/>
        <v>-9.493327904144877</v>
      </c>
      <c r="BH141" s="5">
        <v>4.0716304034453188</v>
      </c>
      <c r="BI141">
        <f>STANDARDIZE(BH141,AVERAGE($BH$2:$BH$253),_xlfn.STDEV.S($BH$2:$BH$253))</f>
        <v>0.38451936018902105</v>
      </c>
      <c r="BJ141" s="16"/>
      <c r="BK141">
        <f t="shared" si="41"/>
        <v>140</v>
      </c>
      <c r="BL141">
        <f t="shared" si="34"/>
        <v>0.5535714285714286</v>
      </c>
      <c r="BM141" s="5">
        <f t="shared" si="35"/>
        <v>0.13468979400891973</v>
      </c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>
        <f t="shared" si="36"/>
        <v>-11.897104482872635</v>
      </c>
      <c r="CW141" s="5">
        <f t="shared" si="37"/>
        <v>-11.897104482872635</v>
      </c>
      <c r="DK141" s="5">
        <v>9.7872323844860887</v>
      </c>
      <c r="DL141" s="5">
        <f t="shared" si="38"/>
        <v>-1.2989626094892299</v>
      </c>
      <c r="DN141">
        <f t="shared" si="42"/>
        <v>140</v>
      </c>
      <c r="DO141" s="8">
        <f t="shared" si="39"/>
        <v>0.5535714285714286</v>
      </c>
      <c r="DP141">
        <f t="shared" si="40"/>
        <v>0.13468979400891973</v>
      </c>
    </row>
    <row r="142" spans="3:120" x14ac:dyDescent="0.35">
      <c r="C142" s="2">
        <v>141</v>
      </c>
      <c r="D142" s="3">
        <v>43984</v>
      </c>
      <c r="E142" s="1">
        <v>80.550545</v>
      </c>
      <c r="F142" s="1">
        <f t="shared" si="30"/>
        <v>89.916259272499275</v>
      </c>
      <c r="Q142" s="2">
        <v>141</v>
      </c>
      <c r="R142" s="3">
        <v>43984</v>
      </c>
      <c r="S142" s="1">
        <v>147.51589999999999</v>
      </c>
      <c r="T142" s="1">
        <f t="shared" si="31"/>
        <v>157.2238082255781</v>
      </c>
      <c r="AC142" s="5"/>
      <c r="AD142" s="5">
        <f t="shared" si="32"/>
        <v>-9.3657142724992752</v>
      </c>
      <c r="AU142" s="5">
        <f t="shared" si="33"/>
        <v>-9.3657142724992752</v>
      </c>
      <c r="BH142" s="5">
        <v>4.2787495123081527</v>
      </c>
      <c r="BI142">
        <f>STANDARDIZE(BH142,AVERAGE($BH$2:$BH$253),_xlfn.STDEV.S($BH$2:$BH$253))</f>
        <v>0.40535624653837027</v>
      </c>
      <c r="BJ142" s="16"/>
      <c r="BK142">
        <f t="shared" si="41"/>
        <v>141</v>
      </c>
      <c r="BL142">
        <f t="shared" si="34"/>
        <v>0.55753968253968256</v>
      </c>
      <c r="BM142" s="5">
        <f t="shared" si="35"/>
        <v>0.14473432771256409</v>
      </c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>
        <f t="shared" si="36"/>
        <v>-9.7079082255781088</v>
      </c>
      <c r="CW142" s="5">
        <f t="shared" si="37"/>
        <v>-9.7079082255781088</v>
      </c>
      <c r="DK142" s="5">
        <v>9.8116708221594422</v>
      </c>
      <c r="DL142" s="5">
        <f t="shared" si="38"/>
        <v>-1.3084966864963077</v>
      </c>
      <c r="DN142">
        <f t="shared" si="42"/>
        <v>141</v>
      </c>
      <c r="DO142" s="8">
        <f t="shared" si="39"/>
        <v>0.55753968253968256</v>
      </c>
      <c r="DP142">
        <f t="shared" si="40"/>
        <v>0.14473432771256409</v>
      </c>
    </row>
    <row r="143" spans="3:120" x14ac:dyDescent="0.35">
      <c r="C143" s="2">
        <v>142</v>
      </c>
      <c r="D143" s="3">
        <v>43985</v>
      </c>
      <c r="E143" s="1">
        <v>80.993979999999993</v>
      </c>
      <c r="F143" s="1">
        <f t="shared" si="30"/>
        <v>90.159831640853668</v>
      </c>
      <c r="Q143" s="2">
        <v>142</v>
      </c>
      <c r="R143" s="3">
        <v>43985</v>
      </c>
      <c r="S143" s="1">
        <v>152.48779300000001</v>
      </c>
      <c r="T143" s="1">
        <f t="shared" si="31"/>
        <v>157.19241896828353</v>
      </c>
      <c r="AC143" s="5"/>
      <c r="AD143" s="5">
        <f t="shared" si="32"/>
        <v>-9.1658516408536741</v>
      </c>
      <c r="AU143" s="5">
        <f t="shared" si="33"/>
        <v>-9.1658516408536741</v>
      </c>
      <c r="BH143" s="5">
        <v>4.3910350350909226</v>
      </c>
      <c r="BI143">
        <f>STANDARDIZE(BH143,AVERAGE($BH$2:$BH$253),_xlfn.STDEV.S($BH$2:$BH$253))</f>
        <v>0.41665255178875304</v>
      </c>
      <c r="BJ143" s="16"/>
      <c r="BK143">
        <f t="shared" si="41"/>
        <v>142</v>
      </c>
      <c r="BL143">
        <f t="shared" si="34"/>
        <v>0.56150793650793651</v>
      </c>
      <c r="BM143" s="5">
        <f t="shared" si="35"/>
        <v>0.15479348567971193</v>
      </c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>
        <f t="shared" si="36"/>
        <v>-4.7046259682835228</v>
      </c>
      <c r="CW143" s="5">
        <f t="shared" si="37"/>
        <v>-4.7046259682835228</v>
      </c>
      <c r="DK143" s="5">
        <v>9.8914951298700657</v>
      </c>
      <c r="DL143" s="5">
        <f t="shared" si="38"/>
        <v>-1.3042563519630126</v>
      </c>
      <c r="DN143">
        <f t="shared" si="42"/>
        <v>142</v>
      </c>
      <c r="DO143" s="8">
        <f t="shared" si="39"/>
        <v>0.56150793650793651</v>
      </c>
      <c r="DP143">
        <f t="shared" si="40"/>
        <v>0.15479348567971193</v>
      </c>
    </row>
    <row r="144" spans="3:120" x14ac:dyDescent="0.35">
      <c r="C144" s="2">
        <v>143</v>
      </c>
      <c r="D144" s="3">
        <v>43986</v>
      </c>
      <c r="E144" s="1">
        <v>80.296447999999998</v>
      </c>
      <c r="F144" s="1">
        <f t="shared" si="30"/>
        <v>90.40340400920806</v>
      </c>
      <c r="Q144" s="2">
        <v>143</v>
      </c>
      <c r="R144" s="3">
        <v>43986</v>
      </c>
      <c r="S144" s="1">
        <v>155.03338600000001</v>
      </c>
      <c r="T144" s="1">
        <f t="shared" si="31"/>
        <v>157.16102971098897</v>
      </c>
      <c r="AC144" s="5"/>
      <c r="AD144" s="5">
        <f t="shared" si="32"/>
        <v>-10.106956009208062</v>
      </c>
      <c r="AU144" s="5">
        <f t="shared" si="33"/>
        <v>-10.106956009208062</v>
      </c>
      <c r="BH144" s="5">
        <v>4.5972085743388931</v>
      </c>
      <c r="BI144">
        <f>STANDARDIZE(BH144,AVERAGE($BH$2:$BH$253),_xlfn.STDEV.S($BH$2:$BH$253))</f>
        <v>0.43739431062085637</v>
      </c>
      <c r="BJ144" s="16"/>
      <c r="BK144">
        <f t="shared" si="41"/>
        <v>143</v>
      </c>
      <c r="BL144">
        <f t="shared" si="34"/>
        <v>0.56547619047619047</v>
      </c>
      <c r="BM144" s="5">
        <f t="shared" si="35"/>
        <v>0.16486833151060187</v>
      </c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>
        <f t="shared" si="36"/>
        <v>-2.1276437109889628</v>
      </c>
      <c r="CW144" s="5">
        <f t="shared" si="37"/>
        <v>-2.1276437109889628</v>
      </c>
      <c r="DK144" s="5">
        <v>9.9108501563697473</v>
      </c>
      <c r="DL144" s="5">
        <f t="shared" si="38"/>
        <v>-1.3154938034709351</v>
      </c>
      <c r="DN144">
        <f t="shared" si="42"/>
        <v>143</v>
      </c>
      <c r="DO144" s="8">
        <f t="shared" si="39"/>
        <v>0.56547619047619047</v>
      </c>
      <c r="DP144">
        <f t="shared" si="40"/>
        <v>0.16486833151060187</v>
      </c>
    </row>
    <row r="145" spans="3:120" x14ac:dyDescent="0.35">
      <c r="C145" s="2">
        <v>144</v>
      </c>
      <c r="D145" s="3">
        <v>43987</v>
      </c>
      <c r="E145" s="1">
        <v>82.583374000000006</v>
      </c>
      <c r="F145" s="1">
        <f t="shared" si="30"/>
        <v>90.646976377562453</v>
      </c>
      <c r="Q145" s="2">
        <v>144</v>
      </c>
      <c r="R145" s="3">
        <v>43987</v>
      </c>
      <c r="S145" s="1">
        <v>160.46267700000001</v>
      </c>
      <c r="T145" s="1">
        <f t="shared" si="31"/>
        <v>157.12964045369441</v>
      </c>
      <c r="AC145" s="5"/>
      <c r="AD145" s="5">
        <f t="shared" si="32"/>
        <v>-8.0636023775624466</v>
      </c>
      <c r="AU145" s="5">
        <f t="shared" si="33"/>
        <v>-8.0636023775624466</v>
      </c>
      <c r="BH145" s="5">
        <v>4.6872022072510475</v>
      </c>
      <c r="BI145">
        <f>STANDARDIZE(BH145,AVERAGE($BH$2:$BH$253),_xlfn.STDEV.S($BH$2:$BH$253))</f>
        <v>0.44644797598013269</v>
      </c>
      <c r="BJ145" s="16"/>
      <c r="BK145">
        <f t="shared" si="41"/>
        <v>144</v>
      </c>
      <c r="BL145">
        <f t="shared" si="34"/>
        <v>0.56944444444444442</v>
      </c>
      <c r="BM145" s="5">
        <f t="shared" si="35"/>
        <v>0.17495994016573252</v>
      </c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>
        <f t="shared" si="36"/>
        <v>3.3330365463056069</v>
      </c>
      <c r="CW145" s="5">
        <f t="shared" si="37"/>
        <v>3.3330365463056069</v>
      </c>
      <c r="DK145" s="5">
        <v>9.9695452120952837</v>
      </c>
      <c r="DL145" s="5">
        <f t="shared" si="38"/>
        <v>-1.3170594589087221</v>
      </c>
      <c r="DN145">
        <f t="shared" si="42"/>
        <v>144</v>
      </c>
      <c r="DO145" s="8">
        <f t="shared" si="39"/>
        <v>0.56944444444444442</v>
      </c>
      <c r="DP145">
        <f t="shared" si="40"/>
        <v>0.17495994016573252</v>
      </c>
    </row>
    <row r="146" spans="3:120" x14ac:dyDescent="0.35">
      <c r="C146" s="2">
        <v>145</v>
      </c>
      <c r="D146" s="3">
        <v>43990</v>
      </c>
      <c r="E146" s="1">
        <v>83.071640000000002</v>
      </c>
      <c r="F146" s="1">
        <f t="shared" si="30"/>
        <v>90.890548745916846</v>
      </c>
      <c r="Q146" s="2">
        <v>145</v>
      </c>
      <c r="R146" s="3">
        <v>43990</v>
      </c>
      <c r="S146" s="1">
        <v>162.00396699999999</v>
      </c>
      <c r="T146" s="1">
        <f t="shared" si="31"/>
        <v>157.09825119639987</v>
      </c>
      <c r="AC146" s="5"/>
      <c r="AD146" s="5">
        <f t="shared" si="32"/>
        <v>-7.8189087459168434</v>
      </c>
      <c r="AU146" s="5">
        <f t="shared" si="33"/>
        <v>-7.8189087459168434</v>
      </c>
      <c r="BH146" s="5">
        <v>4.8728155224405896</v>
      </c>
      <c r="BI146">
        <f>STANDARDIZE(BH146,AVERAGE($BH$2:$BH$253),_xlfn.STDEV.S($BH$2:$BH$253))</f>
        <v>0.46512130638776672</v>
      </c>
      <c r="BJ146" s="16"/>
      <c r="BK146">
        <f t="shared" si="41"/>
        <v>145</v>
      </c>
      <c r="BL146">
        <f t="shared" si="34"/>
        <v>0.57341269841269837</v>
      </c>
      <c r="BM146" s="5">
        <f t="shared" si="35"/>
        <v>0.18506939881641285</v>
      </c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>
        <f t="shared" si="36"/>
        <v>4.9057158036001169</v>
      </c>
      <c r="CW146" s="5">
        <f t="shared" si="37"/>
        <v>4.9057158036001169</v>
      </c>
      <c r="DK146" s="5">
        <v>9.9901098725754878</v>
      </c>
      <c r="DL146" s="5">
        <f t="shared" si="38"/>
        <v>-1.3286278780672038</v>
      </c>
      <c r="DN146">
        <f t="shared" si="42"/>
        <v>145</v>
      </c>
      <c r="DO146" s="8">
        <f t="shared" si="39"/>
        <v>0.57341269841269837</v>
      </c>
      <c r="DP146">
        <f t="shared" si="40"/>
        <v>0.18506939881641285</v>
      </c>
    </row>
    <row r="147" spans="3:120" x14ac:dyDescent="0.35">
      <c r="C147" s="2">
        <v>146</v>
      </c>
      <c r="D147" s="3">
        <v>43991</v>
      </c>
      <c r="E147" s="1">
        <v>85.694878000000003</v>
      </c>
      <c r="F147" s="1">
        <f t="shared" si="30"/>
        <v>91.134121114271238</v>
      </c>
      <c r="Q147" s="2">
        <v>146</v>
      </c>
      <c r="R147" s="3">
        <v>43991</v>
      </c>
      <c r="S147" s="1">
        <v>157.21107499999999</v>
      </c>
      <c r="T147" s="1">
        <f t="shared" si="31"/>
        <v>157.06686193910531</v>
      </c>
      <c r="AC147" s="5"/>
      <c r="AD147" s="5">
        <f t="shared" si="32"/>
        <v>-5.4392431142712354</v>
      </c>
      <c r="AU147" s="5">
        <f t="shared" si="33"/>
        <v>-5.4392431142712354</v>
      </c>
      <c r="BH147" s="5">
        <v>4.9338089300277517</v>
      </c>
      <c r="BI147">
        <f>STANDARDIZE(BH147,AVERAGE($BH$2:$BH$253),_xlfn.STDEV.S($BH$2:$BH$253))</f>
        <v>0.47125745050759732</v>
      </c>
      <c r="BJ147" s="16"/>
      <c r="BK147">
        <f t="shared" si="41"/>
        <v>146</v>
      </c>
      <c r="BL147">
        <f t="shared" si="34"/>
        <v>0.57738095238095233</v>
      </c>
      <c r="BM147" s="5">
        <f t="shared" si="35"/>
        <v>0.19519780771888809</v>
      </c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>
        <f t="shared" si="36"/>
        <v>0.14421306089468544</v>
      </c>
      <c r="CW147" s="5">
        <f t="shared" si="37"/>
        <v>0.14421306089468544</v>
      </c>
      <c r="DK147" s="5">
        <v>9.9974476126024285</v>
      </c>
      <c r="DL147" s="5">
        <f t="shared" si="38"/>
        <v>-1.3441143588325823</v>
      </c>
      <c r="DN147">
        <f t="shared" si="42"/>
        <v>146</v>
      </c>
      <c r="DO147" s="8">
        <f t="shared" si="39"/>
        <v>0.57738095238095233</v>
      </c>
      <c r="DP147">
        <f t="shared" si="40"/>
        <v>0.19519780771888809</v>
      </c>
    </row>
    <row r="148" spans="3:120" x14ac:dyDescent="0.35">
      <c r="C148" s="2">
        <v>147</v>
      </c>
      <c r="D148" s="3">
        <v>43992</v>
      </c>
      <c r="E148" s="1">
        <v>87.899590000000003</v>
      </c>
      <c r="F148" s="1">
        <f t="shared" si="30"/>
        <v>91.377693482625631</v>
      </c>
      <c r="Q148" s="2">
        <v>147</v>
      </c>
      <c r="R148" s="3">
        <v>43992</v>
      </c>
      <c r="S148" s="1">
        <v>153.25344799999999</v>
      </c>
      <c r="T148" s="1">
        <f t="shared" si="31"/>
        <v>157.03547268181075</v>
      </c>
      <c r="AC148" s="5"/>
      <c r="AD148" s="5">
        <f t="shared" si="32"/>
        <v>-3.4781034826256274</v>
      </c>
      <c r="AU148" s="5">
        <f t="shared" si="33"/>
        <v>-3.4781034826256274</v>
      </c>
      <c r="BH148" s="5">
        <v>5.07375056167335</v>
      </c>
      <c r="BI148">
        <f>STANDARDIZE(BH148,AVERAGE($BH$2:$BH$253),_xlfn.STDEV.S($BH$2:$BH$253))</f>
        <v>0.48533605431268095</v>
      </c>
      <c r="BJ148" s="16"/>
      <c r="BK148">
        <f t="shared" si="41"/>
        <v>147</v>
      </c>
      <c r="BL148">
        <f t="shared" si="34"/>
        <v>0.58134920634920639</v>
      </c>
      <c r="BM148" s="5">
        <f t="shared" si="35"/>
        <v>0.20534628111395706</v>
      </c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>
        <f t="shared" si="36"/>
        <v>-3.7820246818107535</v>
      </c>
      <c r="CW148" s="5">
        <f t="shared" si="37"/>
        <v>-3.7820246818107535</v>
      </c>
      <c r="DK148" s="5">
        <v>10.022890387164637</v>
      </c>
      <c r="DL148" s="5">
        <f t="shared" si="38"/>
        <v>-1.3555227282988982</v>
      </c>
      <c r="DN148">
        <f t="shared" si="42"/>
        <v>147</v>
      </c>
      <c r="DO148" s="8">
        <f t="shared" si="39"/>
        <v>0.58134920634920639</v>
      </c>
      <c r="DP148">
        <f t="shared" si="40"/>
        <v>0.20534628111395706</v>
      </c>
    </row>
    <row r="149" spans="3:120" x14ac:dyDescent="0.35">
      <c r="C149" s="2">
        <v>148</v>
      </c>
      <c r="D149" s="3">
        <v>43993</v>
      </c>
      <c r="E149" s="1">
        <v>83.679496999999998</v>
      </c>
      <c r="F149" s="1">
        <f t="shared" si="30"/>
        <v>91.621265850980024</v>
      </c>
      <c r="Q149" s="2">
        <v>148</v>
      </c>
      <c r="R149" s="3">
        <v>43993</v>
      </c>
      <c r="S149" s="1">
        <v>142.633499</v>
      </c>
      <c r="T149" s="1">
        <f t="shared" si="31"/>
        <v>157.00408342451618</v>
      </c>
      <c r="AC149" s="5"/>
      <c r="AD149" s="5">
        <f t="shared" si="32"/>
        <v>-7.9417688509800257</v>
      </c>
      <c r="AU149" s="5">
        <f t="shared" si="33"/>
        <v>-7.9417688509800257</v>
      </c>
      <c r="BH149" s="5">
        <v>5.0915156667365267</v>
      </c>
      <c r="BI149">
        <f>STANDARDIZE(BH149,AVERAGE($BH$2:$BH$253),_xlfn.STDEV.S($BH$2:$BH$253))</f>
        <v>0.48712328426561979</v>
      </c>
      <c r="BJ149" s="16"/>
      <c r="BK149">
        <f t="shared" si="41"/>
        <v>148</v>
      </c>
      <c r="BL149">
        <f t="shared" si="34"/>
        <v>0.58531746031746035</v>
      </c>
      <c r="BM149" s="5">
        <f t="shared" si="35"/>
        <v>0.21551594815408867</v>
      </c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>
        <f t="shared" si="36"/>
        <v>-14.370584424516181</v>
      </c>
      <c r="CW149" s="5">
        <f t="shared" si="37"/>
        <v>-14.370584424516181</v>
      </c>
      <c r="DK149" s="5">
        <v>10.204420161679224</v>
      </c>
      <c r="DL149" s="5">
        <f t="shared" si="38"/>
        <v>-1.3266265085911055</v>
      </c>
      <c r="DN149">
        <f t="shared" si="42"/>
        <v>148</v>
      </c>
      <c r="DO149" s="8">
        <f t="shared" si="39"/>
        <v>0.58531746031746035</v>
      </c>
      <c r="DP149">
        <f t="shared" si="40"/>
        <v>0.21551594815408867</v>
      </c>
    </row>
    <row r="150" spans="3:120" x14ac:dyDescent="0.35">
      <c r="C150" s="2">
        <v>149</v>
      </c>
      <c r="D150" s="3">
        <v>43994</v>
      </c>
      <c r="E150" s="1">
        <v>84.401947000000007</v>
      </c>
      <c r="F150" s="1">
        <f t="shared" si="30"/>
        <v>91.864838219334416</v>
      </c>
      <c r="Q150" s="2">
        <v>149</v>
      </c>
      <c r="R150" s="3">
        <v>43994</v>
      </c>
      <c r="S150" s="1">
        <v>143.69747899999999</v>
      </c>
      <c r="T150" s="1">
        <f t="shared" si="31"/>
        <v>156.97269416722165</v>
      </c>
      <c r="AC150" s="5"/>
      <c r="AD150" s="5">
        <f t="shared" si="32"/>
        <v>-7.4628912193344092</v>
      </c>
      <c r="AU150" s="5">
        <f t="shared" si="33"/>
        <v>-7.4628912193344092</v>
      </c>
      <c r="BH150" s="5">
        <v>5.1922996806686257</v>
      </c>
      <c r="BI150">
        <f>STANDARDIZE(BH150,AVERAGE($BH$2:$BH$253),_xlfn.STDEV.S($BH$2:$BH$253))</f>
        <v>0.49726249863200223</v>
      </c>
      <c r="BJ150" s="16"/>
      <c r="BK150">
        <f t="shared" si="41"/>
        <v>149</v>
      </c>
      <c r="BL150">
        <f t="shared" si="34"/>
        <v>0.5892857142857143</v>
      </c>
      <c r="BM150" s="5">
        <f t="shared" si="35"/>
        <v>0.2257079538601594</v>
      </c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>
        <f t="shared" si="36"/>
        <v>-13.27521516722166</v>
      </c>
      <c r="CW150" s="5">
        <f t="shared" si="37"/>
        <v>-13.27521516722166</v>
      </c>
      <c r="DK150" s="5">
        <v>10.303717983978942</v>
      </c>
      <c r="DL150" s="5">
        <f t="shared" si="38"/>
        <v>-1.3183999288828487</v>
      </c>
      <c r="DN150">
        <f t="shared" si="42"/>
        <v>149</v>
      </c>
      <c r="DO150" s="8">
        <f t="shared" si="39"/>
        <v>0.5892857142857143</v>
      </c>
      <c r="DP150">
        <f t="shared" si="40"/>
        <v>0.2257079538601594</v>
      </c>
    </row>
    <row r="151" spans="3:120" x14ac:dyDescent="0.35">
      <c r="C151" s="2">
        <v>150</v>
      </c>
      <c r="D151" s="3">
        <v>43997</v>
      </c>
      <c r="E151" s="1">
        <v>85.445755000000005</v>
      </c>
      <c r="F151" s="1">
        <f t="shared" si="30"/>
        <v>92.108410587688809</v>
      </c>
      <c r="Q151" s="2">
        <v>150</v>
      </c>
      <c r="R151" s="3">
        <v>43997</v>
      </c>
      <c r="S151" s="1">
        <v>145.80557300000001</v>
      </c>
      <c r="T151" s="1">
        <f t="shared" si="31"/>
        <v>156.94130490992708</v>
      </c>
      <c r="AC151" s="5"/>
      <c r="AD151" s="5">
        <f t="shared" si="32"/>
        <v>-6.6626555876888034</v>
      </c>
      <c r="AU151" s="5">
        <f t="shared" si="33"/>
        <v>-6.6626555876888034</v>
      </c>
      <c r="BH151" s="5">
        <v>5.2342037857317933</v>
      </c>
      <c r="BI151">
        <f>STANDARDIZE(BH151,AVERAGE($BH$2:$BH$253),_xlfn.STDEV.S($BH$2:$BH$253))</f>
        <v>0.50147819403338922</v>
      </c>
      <c r="BJ151" s="16"/>
      <c r="BK151">
        <f t="shared" si="41"/>
        <v>150</v>
      </c>
      <c r="BL151">
        <f t="shared" si="34"/>
        <v>0.59325396825396826</v>
      </c>
      <c r="BM151" s="5">
        <f t="shared" si="35"/>
        <v>0.23592346011003523</v>
      </c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>
        <f t="shared" si="36"/>
        <v>-11.135731909927074</v>
      </c>
      <c r="CW151" s="5">
        <f t="shared" si="37"/>
        <v>-11.135731909927074</v>
      </c>
      <c r="DK151" s="5">
        <v>10.321278899075224</v>
      </c>
      <c r="DL151" s="5">
        <f t="shared" si="38"/>
        <v>-1.3315282351586559</v>
      </c>
      <c r="DN151">
        <f t="shared" si="42"/>
        <v>150</v>
      </c>
      <c r="DO151" s="8">
        <f t="shared" si="39"/>
        <v>0.59325396825396826</v>
      </c>
      <c r="DP151">
        <f t="shared" si="40"/>
        <v>0.23592346011003523</v>
      </c>
    </row>
    <row r="152" spans="3:120" x14ac:dyDescent="0.35">
      <c r="C152" s="2">
        <v>151</v>
      </c>
      <c r="D152" s="3">
        <v>43998</v>
      </c>
      <c r="E152" s="1">
        <v>87.710257999999996</v>
      </c>
      <c r="F152" s="1">
        <f t="shared" si="30"/>
        <v>92.351982956043202</v>
      </c>
      <c r="Q152" s="2">
        <v>151</v>
      </c>
      <c r="R152" s="3">
        <v>43998</v>
      </c>
      <c r="S152" s="1">
        <v>148.27162200000001</v>
      </c>
      <c r="T152" s="1">
        <f t="shared" si="31"/>
        <v>156.90991565263252</v>
      </c>
      <c r="AC152" s="5"/>
      <c r="AD152" s="5">
        <f t="shared" si="32"/>
        <v>-4.6417249560432055</v>
      </c>
      <c r="AU152" s="5">
        <f t="shared" si="33"/>
        <v>-4.6417249560432055</v>
      </c>
      <c r="BH152" s="5">
        <v>5.3192258249645619</v>
      </c>
      <c r="BI152">
        <f>STANDARDIZE(BH152,AVERAGE($BH$2:$BH$253),_xlfn.STDEV.S($BH$2:$BH$253))</f>
        <v>0.51003170017007482</v>
      </c>
      <c r="BJ152" s="16"/>
      <c r="BK152">
        <f t="shared" si="41"/>
        <v>151</v>
      </c>
      <c r="BL152">
        <f t="shared" si="34"/>
        <v>0.59722222222222221</v>
      </c>
      <c r="BM152" s="5">
        <f t="shared" si="35"/>
        <v>0.24616364666135951</v>
      </c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>
        <f t="shared" si="36"/>
        <v>-8.6382936526325125</v>
      </c>
      <c r="CW152" s="5">
        <f t="shared" si="37"/>
        <v>-8.6382936526325125</v>
      </c>
      <c r="DK152" s="5">
        <v>10.393026132500978</v>
      </c>
      <c r="DL152" s="5">
        <f t="shared" si="38"/>
        <v>-1.330898599924444</v>
      </c>
      <c r="DN152">
        <f t="shared" si="42"/>
        <v>151</v>
      </c>
      <c r="DO152" s="8">
        <f t="shared" si="39"/>
        <v>0.59722222222222221</v>
      </c>
      <c r="DP152">
        <f t="shared" si="40"/>
        <v>0.24616364666135951</v>
      </c>
    </row>
    <row r="153" spans="3:120" x14ac:dyDescent="0.35">
      <c r="C153" s="2">
        <v>152</v>
      </c>
      <c r="D153" s="3">
        <v>43999</v>
      </c>
      <c r="E153" s="1">
        <v>87.588195999999996</v>
      </c>
      <c r="F153" s="1">
        <f t="shared" si="30"/>
        <v>92.595555324397594</v>
      </c>
      <c r="Q153" s="2">
        <v>152</v>
      </c>
      <c r="R153" s="3">
        <v>43999</v>
      </c>
      <c r="S153" s="1">
        <v>147.50595100000001</v>
      </c>
      <c r="T153" s="1">
        <f t="shared" si="31"/>
        <v>156.87852639533799</v>
      </c>
      <c r="AC153" s="5"/>
      <c r="AD153" s="5">
        <f t="shared" si="32"/>
        <v>-5.0073593243975978</v>
      </c>
      <c r="AU153" s="5">
        <f t="shared" si="33"/>
        <v>-5.0073593243975978</v>
      </c>
      <c r="BH153" s="5">
        <v>5.3931661933189616</v>
      </c>
      <c r="BI153">
        <f>STANDARDIZE(BH153,AVERAGE($BH$2:$BH$253),_xlfn.STDEV.S($BH$2:$BH$253))</f>
        <v>0.51747035254980278</v>
      </c>
      <c r="BJ153" s="16"/>
      <c r="BK153">
        <f t="shared" si="41"/>
        <v>152</v>
      </c>
      <c r="BL153">
        <f t="shared" si="34"/>
        <v>0.60119047619047616</v>
      </c>
      <c r="BM153" s="5">
        <f t="shared" si="35"/>
        <v>0.256429712211035</v>
      </c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>
        <f t="shared" si="36"/>
        <v>-9.3725753953379751</v>
      </c>
      <c r="CW153" s="5">
        <f t="shared" si="37"/>
        <v>-9.3725753953379751</v>
      </c>
      <c r="DK153" s="5">
        <v>10.672069790350292</v>
      </c>
      <c r="DL153" s="5">
        <f t="shared" si="38"/>
        <v>-1.2753141515324482</v>
      </c>
      <c r="DN153">
        <f t="shared" si="42"/>
        <v>152</v>
      </c>
      <c r="DO153" s="8">
        <f t="shared" si="39"/>
        <v>0.60119047619047616</v>
      </c>
      <c r="DP153">
        <f t="shared" si="40"/>
        <v>0.256429712211035</v>
      </c>
    </row>
    <row r="154" spans="3:120" x14ac:dyDescent="0.35">
      <c r="C154" s="2">
        <v>153</v>
      </c>
      <c r="D154" s="3">
        <v>44000</v>
      </c>
      <c r="E154" s="1">
        <v>87.623076999999995</v>
      </c>
      <c r="F154" s="1">
        <f t="shared" si="30"/>
        <v>92.839127692751987</v>
      </c>
      <c r="Q154" s="2">
        <v>153</v>
      </c>
      <c r="R154" s="3">
        <v>44000</v>
      </c>
      <c r="S154" s="1">
        <v>147.39656099999999</v>
      </c>
      <c r="T154" s="1">
        <f t="shared" si="31"/>
        <v>156.84713713804342</v>
      </c>
      <c r="AC154" s="5"/>
      <c r="AD154" s="5">
        <f t="shared" si="32"/>
        <v>-5.2160506927519918</v>
      </c>
      <c r="AU154" s="5">
        <f t="shared" si="33"/>
        <v>-5.2160506927519918</v>
      </c>
      <c r="BH154" s="5">
        <v>5.4731277717997102</v>
      </c>
      <c r="BI154">
        <f>STANDARDIZE(BH154,AVERAGE($BH$2:$BH$253),_xlfn.STDEV.S($BH$2:$BH$253))</f>
        <v>0.52551475913433154</v>
      </c>
      <c r="BJ154" s="16"/>
      <c r="BK154">
        <f t="shared" si="41"/>
        <v>153</v>
      </c>
      <c r="BL154">
        <f t="shared" si="34"/>
        <v>0.60515873015873012</v>
      </c>
      <c r="BM154" s="5">
        <f t="shared" si="35"/>
        <v>0.26672287549404317</v>
      </c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>
        <f t="shared" si="36"/>
        <v>-9.4505761380434308</v>
      </c>
      <c r="CW154" s="5">
        <f t="shared" si="37"/>
        <v>-9.4505761380434308</v>
      </c>
      <c r="DK154" s="5">
        <v>10.680941469389836</v>
      </c>
      <c r="DL154" s="5">
        <f t="shared" si="38"/>
        <v>-1.2899053318626426</v>
      </c>
      <c r="DN154">
        <f t="shared" si="42"/>
        <v>153</v>
      </c>
      <c r="DO154" s="8">
        <f t="shared" si="39"/>
        <v>0.60515873015873012</v>
      </c>
      <c r="DP154">
        <f t="shared" si="40"/>
        <v>0.26672287549404317</v>
      </c>
    </row>
    <row r="155" spans="3:120" x14ac:dyDescent="0.35">
      <c r="C155" s="2">
        <v>154</v>
      </c>
      <c r="D155" s="3">
        <v>44001</v>
      </c>
      <c r="E155" s="1">
        <v>87.122337000000002</v>
      </c>
      <c r="F155" s="1">
        <f t="shared" si="30"/>
        <v>93.08270006110638</v>
      </c>
      <c r="Q155" s="2">
        <v>154</v>
      </c>
      <c r="R155" s="3">
        <v>44001</v>
      </c>
      <c r="S155" s="1">
        <v>144.55264299999999</v>
      </c>
      <c r="T155" s="1">
        <f t="shared" si="31"/>
        <v>156.81574788074886</v>
      </c>
      <c r="AC155" s="5"/>
      <c r="AD155" s="5">
        <f t="shared" si="32"/>
        <v>-5.9603630611063778</v>
      </c>
      <c r="AU155" s="5">
        <f t="shared" si="33"/>
        <v>-5.9603630611063778</v>
      </c>
      <c r="BH155" s="5">
        <v>5.515803365479087</v>
      </c>
      <c r="BI155">
        <f>STANDARDIZE(BH155,AVERAGE($BH$2:$BH$253),_xlfn.STDEV.S($BH$2:$BH$253))</f>
        <v>0.52980806891279864</v>
      </c>
      <c r="BJ155" s="16"/>
      <c r="BK155">
        <f t="shared" si="41"/>
        <v>154</v>
      </c>
      <c r="BL155">
        <f t="shared" si="34"/>
        <v>0.60912698412698407</v>
      </c>
      <c r="BM155" s="5">
        <f t="shared" si="35"/>
        <v>0.27704437642439733</v>
      </c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>
        <f t="shared" si="36"/>
        <v>-12.26310488074887</v>
      </c>
      <c r="CW155" s="5">
        <f t="shared" si="37"/>
        <v>-12.26310488074887</v>
      </c>
      <c r="DK155" s="5">
        <v>10.688266700137092</v>
      </c>
      <c r="DL155" s="5">
        <f t="shared" si="38"/>
        <v>-1.3055249499477375</v>
      </c>
      <c r="DN155">
        <f t="shared" si="42"/>
        <v>154</v>
      </c>
      <c r="DO155" s="8">
        <f t="shared" si="39"/>
        <v>0.60912698412698407</v>
      </c>
      <c r="DP155">
        <f t="shared" si="40"/>
        <v>0.27704437642439733</v>
      </c>
    </row>
    <row r="156" spans="3:120" x14ac:dyDescent="0.35">
      <c r="C156" s="2">
        <v>155</v>
      </c>
      <c r="D156" s="3">
        <v>44004</v>
      </c>
      <c r="E156" s="1">
        <v>89.401786999999999</v>
      </c>
      <c r="F156" s="1">
        <f t="shared" si="30"/>
        <v>93.326272429460772</v>
      </c>
      <c r="Q156" s="2">
        <v>155</v>
      </c>
      <c r="R156" s="3">
        <v>44004</v>
      </c>
      <c r="S156" s="1">
        <v>144.12506099999999</v>
      </c>
      <c r="T156" s="1">
        <f t="shared" si="31"/>
        <v>156.7843586234543</v>
      </c>
      <c r="AC156" s="5"/>
      <c r="AD156" s="5">
        <f t="shared" si="32"/>
        <v>-3.9244854294607734</v>
      </c>
      <c r="AU156" s="5">
        <f t="shared" si="33"/>
        <v>-3.9244854294607734</v>
      </c>
      <c r="BH156" s="5">
        <v>5.7397872566162675</v>
      </c>
      <c r="BI156">
        <f>STANDARDIZE(BH156,AVERAGE($BH$2:$BH$253),_xlfn.STDEV.S($BH$2:$BH$253))</f>
        <v>0.5523416096823337</v>
      </c>
      <c r="BJ156" s="16"/>
      <c r="BK156">
        <f t="shared" si="41"/>
        <v>155</v>
      </c>
      <c r="BL156">
        <f t="shared" si="34"/>
        <v>0.61309523809523814</v>
      </c>
      <c r="BM156" s="5">
        <f t="shared" si="35"/>
        <v>0.28739547728120984</v>
      </c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>
        <f t="shared" si="36"/>
        <v>-12.659297623454307</v>
      </c>
      <c r="CW156" s="5">
        <f t="shared" si="37"/>
        <v>-12.659297623454307</v>
      </c>
      <c r="DK156" s="5">
        <v>10.692050527746261</v>
      </c>
      <c r="DL156" s="5">
        <f t="shared" si="38"/>
        <v>-1.3227657260658039</v>
      </c>
      <c r="DN156">
        <f t="shared" si="42"/>
        <v>155</v>
      </c>
      <c r="DO156" s="8">
        <f t="shared" si="39"/>
        <v>0.61309523809523814</v>
      </c>
      <c r="DP156">
        <f t="shared" si="40"/>
        <v>0.28739547728120984</v>
      </c>
    </row>
    <row r="157" spans="3:120" x14ac:dyDescent="0.35">
      <c r="C157" s="2">
        <v>156</v>
      </c>
      <c r="D157" s="3">
        <v>44005</v>
      </c>
      <c r="E157" s="1">
        <v>91.310051000000001</v>
      </c>
      <c r="F157" s="1">
        <f t="shared" si="30"/>
        <v>93.569844797815165</v>
      </c>
      <c r="Q157" s="2">
        <v>156</v>
      </c>
      <c r="R157" s="3">
        <v>44005</v>
      </c>
      <c r="S157" s="1">
        <v>144.04551699999999</v>
      </c>
      <c r="T157" s="1">
        <f t="shared" si="31"/>
        <v>156.75296936615976</v>
      </c>
      <c r="AC157" s="5"/>
      <c r="AD157" s="5">
        <f t="shared" si="32"/>
        <v>-2.2597937978151634</v>
      </c>
      <c r="AU157" s="5">
        <f t="shared" si="33"/>
        <v>-2.2597937978151634</v>
      </c>
      <c r="BH157" s="5">
        <v>5.8196606148382202</v>
      </c>
      <c r="BI157">
        <f>STANDARDIZE(BH157,AVERAGE($BH$2:$BH$253),_xlfn.STDEV.S($BH$2:$BH$253))</f>
        <v>0.56037714100896696</v>
      </c>
      <c r="BJ157" s="16"/>
      <c r="BK157">
        <f t="shared" si="41"/>
        <v>156</v>
      </c>
      <c r="BL157">
        <f t="shared" si="34"/>
        <v>0.61706349206349209</v>
      </c>
      <c r="BM157" s="5">
        <f t="shared" si="35"/>
        <v>0.29777746394303461</v>
      </c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>
        <f t="shared" si="36"/>
        <v>-12.707452366159771</v>
      </c>
      <c r="CW157" s="5">
        <f t="shared" si="37"/>
        <v>-12.707452366159771</v>
      </c>
      <c r="DK157" s="5">
        <v>11.053450047644844</v>
      </c>
      <c r="DL157" s="5">
        <f t="shared" si="38"/>
        <v>-1.2444155169849753</v>
      </c>
      <c r="DN157">
        <f t="shared" si="42"/>
        <v>156</v>
      </c>
      <c r="DO157" s="8">
        <f t="shared" si="39"/>
        <v>0.61706349206349209</v>
      </c>
      <c r="DP157">
        <f t="shared" si="40"/>
        <v>0.29777746394303461</v>
      </c>
    </row>
    <row r="158" spans="3:120" x14ac:dyDescent="0.35">
      <c r="C158" s="2">
        <v>157</v>
      </c>
      <c r="D158" s="3">
        <v>44006</v>
      </c>
      <c r="E158" s="1">
        <v>89.698241999999993</v>
      </c>
      <c r="F158" s="1">
        <f t="shared" si="30"/>
        <v>93.813417166169558</v>
      </c>
      <c r="Q158" s="2">
        <v>157</v>
      </c>
      <c r="R158" s="3">
        <v>44006</v>
      </c>
      <c r="S158" s="1">
        <v>137.57212799999999</v>
      </c>
      <c r="T158" s="1">
        <f t="shared" si="31"/>
        <v>156.7215801088652</v>
      </c>
      <c r="AC158" s="5"/>
      <c r="AD158" s="5">
        <f t="shared" si="32"/>
        <v>-4.1151751661695641</v>
      </c>
      <c r="AU158" s="5">
        <f t="shared" si="33"/>
        <v>-4.1151751661695641</v>
      </c>
      <c r="BH158" s="5">
        <v>5.9689494173774023</v>
      </c>
      <c r="BI158">
        <f>STANDARDIZE(BH158,AVERAGE($BH$2:$BH$253),_xlfn.STDEV.S($BH$2:$BH$253))</f>
        <v>0.57539610197697444</v>
      </c>
      <c r="BJ158" s="16"/>
      <c r="BK158">
        <f t="shared" si="41"/>
        <v>157</v>
      </c>
      <c r="BL158">
        <f t="shared" si="34"/>
        <v>0.62103174603174605</v>
      </c>
      <c r="BM158" s="5">
        <f t="shared" si="35"/>
        <v>0.30819164717386466</v>
      </c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>
        <f t="shared" si="36"/>
        <v>-19.149452108865205</v>
      </c>
      <c r="CW158" s="5">
        <f t="shared" si="37"/>
        <v>-19.149452108865205</v>
      </c>
      <c r="DK158" s="5">
        <v>11.085668901753735</v>
      </c>
      <c r="DL158" s="5">
        <f t="shared" si="38"/>
        <v>-1.2524261323126449</v>
      </c>
      <c r="DN158">
        <f t="shared" si="42"/>
        <v>157</v>
      </c>
      <c r="DO158" s="8">
        <f t="shared" si="39"/>
        <v>0.62103174603174605</v>
      </c>
      <c r="DP158">
        <f t="shared" si="40"/>
        <v>0.30819164717386466</v>
      </c>
    </row>
    <row r="159" spans="3:120" x14ac:dyDescent="0.35">
      <c r="C159" s="2">
        <v>158</v>
      </c>
      <c r="D159" s="3">
        <v>44007</v>
      </c>
      <c r="E159" s="1">
        <v>90.889037999999999</v>
      </c>
      <c r="F159" s="1">
        <f t="shared" si="30"/>
        <v>94.05698953452395</v>
      </c>
      <c r="Q159" s="2">
        <v>158</v>
      </c>
      <c r="R159" s="3">
        <v>44007</v>
      </c>
      <c r="S159" s="1">
        <v>141.65901199999999</v>
      </c>
      <c r="T159" s="1">
        <f t="shared" si="31"/>
        <v>156.69019085157063</v>
      </c>
      <c r="AC159" s="5"/>
      <c r="AD159" s="5">
        <f t="shared" si="32"/>
        <v>-3.1679515345239508</v>
      </c>
      <c r="AU159" s="5">
        <f t="shared" si="33"/>
        <v>-3.1679515345239508</v>
      </c>
      <c r="BH159" s="5">
        <v>5.9828424566101788</v>
      </c>
      <c r="BI159">
        <f>STANDARDIZE(BH159,AVERAGE($BH$2:$BH$253),_xlfn.STDEV.S($BH$2:$BH$253))</f>
        <v>0.57679378894622513</v>
      </c>
      <c r="BJ159" s="16"/>
      <c r="BK159">
        <f t="shared" si="41"/>
        <v>158</v>
      </c>
      <c r="BL159">
        <f t="shared" si="34"/>
        <v>0.625</v>
      </c>
      <c r="BM159" s="5">
        <f t="shared" si="35"/>
        <v>0.3186393639643752</v>
      </c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>
        <f t="shared" si="36"/>
        <v>-15.031178851570644</v>
      </c>
      <c r="CW159" s="5">
        <f t="shared" si="37"/>
        <v>-15.031178851570644</v>
      </c>
      <c r="DK159" s="5">
        <v>11.147885755862603</v>
      </c>
      <c r="DL159" s="5">
        <f t="shared" si="38"/>
        <v>-1.2527026225784721</v>
      </c>
      <c r="DN159">
        <f t="shared" si="42"/>
        <v>158</v>
      </c>
      <c r="DO159" s="8">
        <f t="shared" si="39"/>
        <v>0.625</v>
      </c>
      <c r="DP159">
        <f t="shared" si="40"/>
        <v>0.3186393639643752</v>
      </c>
    </row>
    <row r="160" spans="3:120" x14ac:dyDescent="0.35">
      <c r="C160" s="2">
        <v>159</v>
      </c>
      <c r="D160" s="3">
        <v>44008</v>
      </c>
      <c r="E160" s="1">
        <v>88.096405000000004</v>
      </c>
      <c r="F160" s="1">
        <f t="shared" si="30"/>
        <v>94.300561902878343</v>
      </c>
      <c r="Q160" s="2">
        <v>159</v>
      </c>
      <c r="R160" s="3">
        <v>44008</v>
      </c>
      <c r="S160" s="1">
        <v>137.432907</v>
      </c>
      <c r="T160" s="1">
        <f t="shared" si="31"/>
        <v>156.65880159427607</v>
      </c>
      <c r="AC160" s="5"/>
      <c r="AD160" s="5">
        <f t="shared" si="32"/>
        <v>-6.2041569028783385</v>
      </c>
      <c r="AU160" s="5">
        <f t="shared" si="33"/>
        <v>-6.2041569028783385</v>
      </c>
      <c r="BH160" s="5">
        <v>6.1058756135716621</v>
      </c>
      <c r="BI160">
        <f>STANDARDIZE(BH160,AVERAGE($BH$2:$BH$253),_xlfn.STDEV.S($BH$2:$BH$253))</f>
        <v>0.58917134272618976</v>
      </c>
      <c r="BJ160" s="16"/>
      <c r="BK160">
        <f t="shared" si="41"/>
        <v>159</v>
      </c>
      <c r="BL160">
        <f t="shared" si="34"/>
        <v>0.62896825396825395</v>
      </c>
      <c r="BM160" s="5">
        <f t="shared" si="35"/>
        <v>0.32912197893226108</v>
      </c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>
        <f t="shared" si="36"/>
        <v>-19.22589459427607</v>
      </c>
      <c r="CW160" s="5">
        <f t="shared" si="37"/>
        <v>-19.22589459427607</v>
      </c>
      <c r="DK160" s="5">
        <v>11.242236641780664</v>
      </c>
      <c r="DL160" s="5">
        <f t="shared" si="38"/>
        <v>-1.2443813646039892</v>
      </c>
      <c r="DN160">
        <f t="shared" si="42"/>
        <v>159</v>
      </c>
      <c r="DO160" s="8">
        <f t="shared" si="39"/>
        <v>0.62896825396825395</v>
      </c>
      <c r="DP160">
        <f t="shared" si="40"/>
        <v>0.32912197893226108</v>
      </c>
    </row>
    <row r="161" spans="3:120" x14ac:dyDescent="0.35">
      <c r="C161" s="2">
        <v>160</v>
      </c>
      <c r="D161" s="3">
        <v>44011</v>
      </c>
      <c r="E161" s="1">
        <v>90.126732000000004</v>
      </c>
      <c r="F161" s="1">
        <f t="shared" si="30"/>
        <v>94.544134271232736</v>
      </c>
      <c r="Q161" s="2">
        <v>160</v>
      </c>
      <c r="R161" s="3">
        <v>44011</v>
      </c>
      <c r="S161" s="1">
        <v>142.434631</v>
      </c>
      <c r="T161" s="1">
        <f t="shared" si="31"/>
        <v>156.62741233698154</v>
      </c>
      <c r="AC161" s="5"/>
      <c r="AD161" s="5">
        <f t="shared" si="32"/>
        <v>-4.4174022712327314</v>
      </c>
      <c r="AU161" s="5">
        <f t="shared" si="33"/>
        <v>-4.4174022712327314</v>
      </c>
      <c r="BH161" s="5">
        <v>6.1091282983821316</v>
      </c>
      <c r="BI161">
        <f>STANDARDIZE(BH161,AVERAGE($BH$2:$BH$253),_xlfn.STDEV.S($BH$2:$BH$253))</f>
        <v>0.58949857387399707</v>
      </c>
      <c r="BJ161" s="16"/>
      <c r="BK161">
        <f t="shared" si="41"/>
        <v>160</v>
      </c>
      <c r="BL161">
        <f t="shared" si="34"/>
        <v>0.63293650793650791</v>
      </c>
      <c r="BM161" s="5">
        <f t="shared" si="35"/>
        <v>0.3396408857857755</v>
      </c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>
        <f t="shared" si="36"/>
        <v>-14.19278133698154</v>
      </c>
      <c r="CW161" s="5">
        <f t="shared" si="37"/>
        <v>-14.19278133698154</v>
      </c>
      <c r="DK161" s="5">
        <v>11.454826042335384</v>
      </c>
      <c r="DL161" s="5">
        <f t="shared" si="38"/>
        <v>-1.2036586217530385</v>
      </c>
      <c r="DN161">
        <f t="shared" si="42"/>
        <v>160</v>
      </c>
      <c r="DO161" s="8">
        <f t="shared" si="39"/>
        <v>0.63293650793650791</v>
      </c>
      <c r="DP161">
        <f t="shared" si="40"/>
        <v>0.3396408857857755</v>
      </c>
    </row>
    <row r="162" spans="3:120" x14ac:dyDescent="0.35">
      <c r="C162" s="2">
        <v>161</v>
      </c>
      <c r="D162" s="3">
        <v>44012</v>
      </c>
      <c r="E162" s="1">
        <v>90.879065999999995</v>
      </c>
      <c r="F162" s="1">
        <f t="shared" si="30"/>
        <v>94.787706639587128</v>
      </c>
      <c r="Q162" s="2">
        <v>161</v>
      </c>
      <c r="R162" s="3">
        <v>44012</v>
      </c>
      <c r="S162" s="1">
        <v>143.77702300000001</v>
      </c>
      <c r="T162" s="1">
        <f t="shared" si="31"/>
        <v>156.59602307968697</v>
      </c>
      <c r="AC162" s="5"/>
      <c r="AD162" s="5">
        <f t="shared" si="32"/>
        <v>-3.9086406395871336</v>
      </c>
      <c r="AU162" s="5">
        <f t="shared" si="33"/>
        <v>-3.9086406395871336</v>
      </c>
      <c r="BH162" s="5">
        <v>6.1465136794020623</v>
      </c>
      <c r="BI162">
        <f>STANDARDIZE(BH162,AVERAGE($BH$2:$BH$253),_xlfn.STDEV.S($BH$2:$BH$253))</f>
        <v>0.5932596702774936</v>
      </c>
      <c r="BJ162" s="16"/>
      <c r="BK162">
        <f t="shared" si="41"/>
        <v>161</v>
      </c>
      <c r="BL162">
        <f t="shared" si="34"/>
        <v>0.63690476190476186</v>
      </c>
      <c r="BM162" s="5">
        <f t="shared" si="35"/>
        <v>0.35019750885487133</v>
      </c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>
        <f t="shared" si="36"/>
        <v>-12.819000079686958</v>
      </c>
      <c r="CW162" s="5">
        <f t="shared" si="37"/>
        <v>-12.819000079686958</v>
      </c>
      <c r="DK162" s="5">
        <v>11.569274013157155</v>
      </c>
      <c r="DL162" s="5">
        <f t="shared" si="38"/>
        <v>-1.1885635767348421</v>
      </c>
      <c r="DN162">
        <f t="shared" si="42"/>
        <v>161</v>
      </c>
      <c r="DO162" s="8">
        <f t="shared" si="39"/>
        <v>0.63690476190476186</v>
      </c>
      <c r="DP162">
        <f t="shared" si="40"/>
        <v>0.35019750885487133</v>
      </c>
    </row>
    <row r="163" spans="3:120" x14ac:dyDescent="0.35">
      <c r="C163" s="2">
        <v>162</v>
      </c>
      <c r="D163" s="3">
        <v>44013</v>
      </c>
      <c r="E163" s="1">
        <v>90.707176000000004</v>
      </c>
      <c r="F163" s="1">
        <f t="shared" si="30"/>
        <v>95.031279007941521</v>
      </c>
      <c r="Q163" s="2">
        <v>162</v>
      </c>
      <c r="R163" s="3">
        <v>44013</v>
      </c>
      <c r="S163" s="1">
        <v>143.29972799999999</v>
      </c>
      <c r="T163" s="1">
        <f t="shared" si="31"/>
        <v>156.56463382239241</v>
      </c>
      <c r="AC163" s="5"/>
      <c r="AD163" s="5">
        <f t="shared" si="32"/>
        <v>-4.3241030079415168</v>
      </c>
      <c r="AU163" s="5">
        <f t="shared" si="33"/>
        <v>-4.3241030079415168</v>
      </c>
      <c r="BH163" s="5">
        <v>6.1832653009152523</v>
      </c>
      <c r="BI163">
        <f>STANDARDIZE(BH163,AVERAGE($BH$2:$BH$253),_xlfn.STDEV.S($BH$2:$BH$253))</f>
        <v>0.59695700832046372</v>
      </c>
      <c r="BJ163" s="16"/>
      <c r="BK163">
        <f t="shared" si="41"/>
        <v>162</v>
      </c>
      <c r="BL163">
        <f t="shared" si="34"/>
        <v>0.64087301587301593</v>
      </c>
      <c r="BM163" s="5">
        <f t="shared" si="35"/>
        <v>0.3607933046946587</v>
      </c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>
        <f t="shared" si="36"/>
        <v>-13.264905822392421</v>
      </c>
      <c r="CW163" s="5">
        <f t="shared" si="37"/>
        <v>-13.264905822392421</v>
      </c>
      <c r="DK163" s="5">
        <v>11.87635141366431</v>
      </c>
      <c r="DL163" s="5">
        <f t="shared" si="38"/>
        <v>-1.1203225311426988</v>
      </c>
      <c r="DN163">
        <f t="shared" si="42"/>
        <v>162</v>
      </c>
      <c r="DO163" s="8">
        <f t="shared" si="39"/>
        <v>0.64087301587301593</v>
      </c>
      <c r="DP163">
        <f t="shared" si="40"/>
        <v>0.3607933046946587</v>
      </c>
    </row>
    <row r="164" spans="3:120" x14ac:dyDescent="0.35">
      <c r="C164" s="2">
        <v>163</v>
      </c>
      <c r="D164" s="3">
        <v>44014</v>
      </c>
      <c r="E164" s="1">
        <v>90.707176000000004</v>
      </c>
      <c r="F164" s="1">
        <f t="shared" si="30"/>
        <v>95.274851376295913</v>
      </c>
      <c r="Q164" s="2">
        <v>163</v>
      </c>
      <c r="R164" s="3">
        <v>44014</v>
      </c>
      <c r="S164" s="1">
        <v>144.20462000000001</v>
      </c>
      <c r="T164" s="1">
        <f t="shared" si="31"/>
        <v>156.53324456509785</v>
      </c>
      <c r="AC164" s="5"/>
      <c r="AD164" s="5">
        <f t="shared" si="32"/>
        <v>-4.5676753762959095</v>
      </c>
      <c r="AU164" s="5">
        <f t="shared" si="33"/>
        <v>-4.5676753762959095</v>
      </c>
      <c r="BH164" s="5">
        <v>6.2058109831926132</v>
      </c>
      <c r="BI164">
        <f>STANDARDIZE(BH164,AVERAGE($BH$2:$BH$253),_xlfn.STDEV.S($BH$2:$BH$253))</f>
        <v>0.59922518059032914</v>
      </c>
      <c r="BJ164" s="16"/>
      <c r="BK164">
        <f t="shared" si="41"/>
        <v>163</v>
      </c>
      <c r="BL164">
        <f t="shared" si="34"/>
        <v>0.64484126984126988</v>
      </c>
      <c r="BM164" s="5">
        <f t="shared" si="35"/>
        <v>0.37142976376624048</v>
      </c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>
        <f t="shared" si="36"/>
        <v>-12.32862456509784</v>
      </c>
      <c r="CW164" s="5">
        <f t="shared" si="37"/>
        <v>-12.32862456509784</v>
      </c>
      <c r="DK164" s="5">
        <v>11.978835068835082</v>
      </c>
      <c r="DL164" s="5">
        <f t="shared" si="38"/>
        <v>-1.1063530769744663</v>
      </c>
      <c r="DN164">
        <f t="shared" si="42"/>
        <v>163</v>
      </c>
      <c r="DO164" s="8">
        <f t="shared" si="39"/>
        <v>0.64484126984126988</v>
      </c>
      <c r="DP164">
        <f t="shared" si="40"/>
        <v>0.37142976376624048</v>
      </c>
    </row>
    <row r="165" spans="3:120" x14ac:dyDescent="0.35">
      <c r="C165" s="2">
        <v>164</v>
      </c>
      <c r="D165" s="3">
        <v>44018</v>
      </c>
      <c r="E165" s="1">
        <v>93.133613999999994</v>
      </c>
      <c r="F165" s="1">
        <f t="shared" si="30"/>
        <v>95.518423744650306</v>
      </c>
      <c r="Q165" s="2">
        <v>164</v>
      </c>
      <c r="R165" s="3">
        <v>44018</v>
      </c>
      <c r="S165" s="1">
        <v>146.39224200000001</v>
      </c>
      <c r="T165" s="1">
        <f t="shared" si="31"/>
        <v>156.50185530780331</v>
      </c>
      <c r="AC165" s="5"/>
      <c r="AD165" s="5">
        <f t="shared" si="32"/>
        <v>-2.3848097446503118</v>
      </c>
      <c r="AU165" s="5">
        <f t="shared" si="33"/>
        <v>-2.3848097446503118</v>
      </c>
      <c r="BH165" s="5">
        <v>6.2358188768628864</v>
      </c>
      <c r="BI165">
        <f>STANDARDIZE(BH165,AVERAGE($BH$2:$BH$253),_xlfn.STDEV.S($BH$2:$BH$253))</f>
        <v>0.60224407669037427</v>
      </c>
      <c r="BJ165" s="16"/>
      <c r="BK165">
        <f t="shared" si="41"/>
        <v>164</v>
      </c>
      <c r="BL165">
        <f t="shared" si="34"/>
        <v>0.64880952380952384</v>
      </c>
      <c r="BM165" s="5">
        <f t="shared" si="35"/>
        <v>0.3821084122003639</v>
      </c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>
        <f t="shared" si="36"/>
        <v>-10.109613307803301</v>
      </c>
      <c r="CW165" s="5">
        <f t="shared" si="37"/>
        <v>-10.109613307803301</v>
      </c>
      <c r="DK165" s="5">
        <v>12.021975583424194</v>
      </c>
      <c r="DL165" s="5">
        <f t="shared" si="38"/>
        <v>-1.108439604534873</v>
      </c>
      <c r="DN165">
        <f t="shared" si="42"/>
        <v>164</v>
      </c>
      <c r="DO165" s="8">
        <f t="shared" si="39"/>
        <v>0.64880952380952384</v>
      </c>
      <c r="DP165">
        <f t="shared" si="40"/>
        <v>0.3821084122003639</v>
      </c>
    </row>
    <row r="166" spans="3:120" x14ac:dyDescent="0.35">
      <c r="C166" s="2">
        <v>165</v>
      </c>
      <c r="D166" s="3">
        <v>44019</v>
      </c>
      <c r="E166" s="1">
        <v>92.844634999999997</v>
      </c>
      <c r="F166" s="1">
        <f t="shared" si="30"/>
        <v>95.761996113004699</v>
      </c>
      <c r="Q166" s="2">
        <v>165</v>
      </c>
      <c r="R166" s="3">
        <v>44019</v>
      </c>
      <c r="S166" s="1">
        <v>144.15489199999999</v>
      </c>
      <c r="T166" s="1">
        <f t="shared" si="31"/>
        <v>156.47046605050875</v>
      </c>
      <c r="AC166" s="5"/>
      <c r="AD166" s="5">
        <f t="shared" si="32"/>
        <v>-2.9173611130047021</v>
      </c>
      <c r="AU166" s="5">
        <f t="shared" si="33"/>
        <v>-2.9173611130047021</v>
      </c>
      <c r="BH166" s="5">
        <v>6.3089428806625421</v>
      </c>
      <c r="BI166">
        <f>STANDARDIZE(BH166,AVERAGE($BH$2:$BH$253),_xlfn.STDEV.S($BH$2:$BH$253))</f>
        <v>0.60960060002107219</v>
      </c>
      <c r="BJ166" s="16"/>
      <c r="BK166">
        <f t="shared" si="41"/>
        <v>165</v>
      </c>
      <c r="BL166">
        <f t="shared" si="34"/>
        <v>0.65277777777777779</v>
      </c>
      <c r="BM166" s="5">
        <f t="shared" si="35"/>
        <v>0.39283081364972938</v>
      </c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>
        <f t="shared" si="36"/>
        <v>-12.315574050508758</v>
      </c>
      <c r="CW166" s="5">
        <f t="shared" si="37"/>
        <v>-12.315574050508758</v>
      </c>
      <c r="DK166" s="5">
        <v>12.220964676268324</v>
      </c>
      <c r="DL166" s="5">
        <f t="shared" si="38"/>
        <v>-1.0678251660534406</v>
      </c>
      <c r="DN166">
        <f t="shared" si="42"/>
        <v>165</v>
      </c>
      <c r="DO166" s="8">
        <f t="shared" si="39"/>
        <v>0.65277777777777779</v>
      </c>
      <c r="DP166">
        <f t="shared" si="40"/>
        <v>0.39283081364972938</v>
      </c>
    </row>
    <row r="167" spans="3:120" x14ac:dyDescent="0.35">
      <c r="C167" s="2">
        <v>166</v>
      </c>
      <c r="D167" s="3">
        <v>44020</v>
      </c>
      <c r="E167" s="1">
        <v>95.006996000000001</v>
      </c>
      <c r="F167" s="1">
        <f t="shared" si="30"/>
        <v>96.005568481359077</v>
      </c>
      <c r="Q167" s="2">
        <v>166</v>
      </c>
      <c r="R167" s="3">
        <v>44020</v>
      </c>
      <c r="S167" s="1">
        <v>144.77140800000001</v>
      </c>
      <c r="T167" s="1">
        <f t="shared" si="31"/>
        <v>156.43907679321418</v>
      </c>
      <c r="AC167" s="5"/>
      <c r="AD167" s="5">
        <f t="shared" si="32"/>
        <v>-0.99857248135907639</v>
      </c>
      <c r="AU167" s="5">
        <f t="shared" si="33"/>
        <v>-0.99857248135907639</v>
      </c>
      <c r="BH167" s="5">
        <v>6.328214942693279</v>
      </c>
      <c r="BI167">
        <f>STANDARDIZE(BH167,AVERAGE($BH$2:$BH$253),_xlfn.STDEV.S($BH$2:$BH$253))</f>
        <v>0.61153943496709362</v>
      </c>
      <c r="BJ167" s="16"/>
      <c r="BK167">
        <f t="shared" si="41"/>
        <v>166</v>
      </c>
      <c r="BL167">
        <f t="shared" si="34"/>
        <v>0.65674603174603174</v>
      </c>
      <c r="BM167" s="5">
        <f t="shared" si="35"/>
        <v>0.40359857123625476</v>
      </c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>
        <f t="shared" si="36"/>
        <v>-11.667668793214176</v>
      </c>
      <c r="CW167" s="5">
        <f t="shared" si="37"/>
        <v>-11.667668793214176</v>
      </c>
      <c r="DK167" s="5">
        <v>12.265489326129625</v>
      </c>
      <c r="DL167" s="5">
        <f t="shared" si="38"/>
        <v>-1.0687958910792348</v>
      </c>
      <c r="DN167">
        <f t="shared" si="42"/>
        <v>166</v>
      </c>
      <c r="DO167" s="8">
        <f t="shared" si="39"/>
        <v>0.65674603174603174</v>
      </c>
      <c r="DP167">
        <f t="shared" si="40"/>
        <v>0.40359857123625476</v>
      </c>
    </row>
    <row r="168" spans="3:120" x14ac:dyDescent="0.35">
      <c r="C168" s="2">
        <v>167</v>
      </c>
      <c r="D168" s="3">
        <v>44021</v>
      </c>
      <c r="E168" s="1">
        <v>95.415558000000004</v>
      </c>
      <c r="F168" s="1">
        <f t="shared" si="30"/>
        <v>96.24914084971347</v>
      </c>
      <c r="Q168" s="2">
        <v>167</v>
      </c>
      <c r="R168" s="3">
        <v>44021</v>
      </c>
      <c r="S168" s="1">
        <v>140.57513399999999</v>
      </c>
      <c r="T168" s="1">
        <f t="shared" si="31"/>
        <v>156.40768753591962</v>
      </c>
      <c r="AC168" s="5"/>
      <c r="AD168" s="5">
        <f t="shared" si="32"/>
        <v>-0.83358284971346563</v>
      </c>
      <c r="AU168" s="5">
        <f t="shared" si="33"/>
        <v>-0.83358284971346563</v>
      </c>
      <c r="BH168" s="5">
        <v>6.3805503515470079</v>
      </c>
      <c r="BI168">
        <f>STANDARDIZE(BH168,AVERAGE($BH$2:$BH$253),_xlfn.STDEV.S($BH$2:$BH$253))</f>
        <v>0.61680455498580744</v>
      </c>
      <c r="BJ168" s="16"/>
      <c r="BK168">
        <f t="shared" si="41"/>
        <v>167</v>
      </c>
      <c r="BL168">
        <f t="shared" si="34"/>
        <v>0.6607142857142857</v>
      </c>
      <c r="BM168" s="5">
        <f t="shared" si="35"/>
        <v>0.41441332960007643</v>
      </c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>
        <f t="shared" si="36"/>
        <v>-15.832553535919629</v>
      </c>
      <c r="CW168" s="5">
        <f t="shared" si="37"/>
        <v>-15.832553535919629</v>
      </c>
      <c r="DK168" s="5">
        <v>12.309471389795561</v>
      </c>
      <c r="DL168" s="5">
        <f t="shared" si="38"/>
        <v>-1.0700857384897544</v>
      </c>
      <c r="DN168">
        <f t="shared" si="42"/>
        <v>167</v>
      </c>
      <c r="DO168" s="8">
        <f t="shared" si="39"/>
        <v>0.6607142857142857</v>
      </c>
      <c r="DP168">
        <f t="shared" si="40"/>
        <v>0.41441332960007643</v>
      </c>
    </row>
    <row r="169" spans="3:120" x14ac:dyDescent="0.35">
      <c r="C169" s="2">
        <v>168</v>
      </c>
      <c r="D169" s="3">
        <v>44022</v>
      </c>
      <c r="E169" s="1">
        <v>95.582465999999997</v>
      </c>
      <c r="F169" s="1">
        <f t="shared" si="30"/>
        <v>96.492713218067863</v>
      </c>
      <c r="Q169" s="2">
        <v>168</v>
      </c>
      <c r="R169" s="3">
        <v>44022</v>
      </c>
      <c r="S169" s="1">
        <v>141.64906300000001</v>
      </c>
      <c r="T169" s="1">
        <f t="shared" si="31"/>
        <v>156.37629827862509</v>
      </c>
      <c r="AC169" s="5"/>
      <c r="AD169" s="5">
        <f t="shared" si="32"/>
        <v>-0.91024721806786602</v>
      </c>
      <c r="AU169" s="5">
        <f t="shared" si="33"/>
        <v>-0.91024721806786602</v>
      </c>
      <c r="BH169" s="5">
        <v>6.4059889819260647</v>
      </c>
      <c r="BI169">
        <f>STANDARDIZE(BH169,AVERAGE($BH$2:$BH$253),_xlfn.STDEV.S($BH$2:$BH$253))</f>
        <v>0.61936376766783263</v>
      </c>
      <c r="BJ169" s="16"/>
      <c r="BK169">
        <f t="shared" si="41"/>
        <v>168</v>
      </c>
      <c r="BL169">
        <f t="shared" si="34"/>
        <v>0.66468253968253965</v>
      </c>
      <c r="BM169" s="5">
        <f t="shared" si="35"/>
        <v>0.42527677705760714</v>
      </c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>
        <f t="shared" si="36"/>
        <v>-14.727235278625074</v>
      </c>
      <c r="CW169" s="5">
        <f t="shared" si="37"/>
        <v>-14.727235278625074</v>
      </c>
      <c r="DK169" s="5">
        <v>12.353423185547967</v>
      </c>
      <c r="DL169" s="5">
        <f t="shared" si="38"/>
        <v>-1.0715660718075859</v>
      </c>
      <c r="DN169">
        <f t="shared" si="42"/>
        <v>168</v>
      </c>
      <c r="DO169" s="8">
        <f t="shared" si="39"/>
        <v>0.66468253968253965</v>
      </c>
      <c r="DP169">
        <f t="shared" si="40"/>
        <v>0.42527677705760714</v>
      </c>
    </row>
    <row r="170" spans="3:120" x14ac:dyDescent="0.35">
      <c r="C170" s="2">
        <v>169</v>
      </c>
      <c r="D170" s="3">
        <v>44025</v>
      </c>
      <c r="E170" s="1">
        <v>95.141525000000001</v>
      </c>
      <c r="F170" s="1">
        <f t="shared" si="30"/>
        <v>96.736285586422255</v>
      </c>
      <c r="Q170" s="2">
        <v>169</v>
      </c>
      <c r="R170" s="3">
        <v>44025</v>
      </c>
      <c r="S170" s="1">
        <v>142.68322800000001</v>
      </c>
      <c r="T170" s="1">
        <f t="shared" si="31"/>
        <v>156.34490902133052</v>
      </c>
      <c r="AC170" s="5"/>
      <c r="AD170" s="5">
        <f t="shared" si="32"/>
        <v>-1.5947605864222538</v>
      </c>
      <c r="AU170" s="5">
        <f t="shared" si="33"/>
        <v>-1.5947605864222538</v>
      </c>
      <c r="BH170" s="5">
        <v>6.4757216173713346</v>
      </c>
      <c r="BI170">
        <f>STANDARDIZE(BH170,AVERAGE($BH$2:$BH$253),_xlfn.STDEV.S($BH$2:$BH$253))</f>
        <v>0.62637910781481998</v>
      </c>
      <c r="BJ170" s="16"/>
      <c r="BK170">
        <f t="shared" si="41"/>
        <v>169</v>
      </c>
      <c r="BL170">
        <f t="shared" si="34"/>
        <v>0.66865079365079361</v>
      </c>
      <c r="BM170" s="5">
        <f t="shared" si="35"/>
        <v>0.43619064787655376</v>
      </c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>
        <f t="shared" si="36"/>
        <v>-13.661681021330509</v>
      </c>
      <c r="CW170" s="5">
        <f t="shared" si="37"/>
        <v>-13.661681021330509</v>
      </c>
      <c r="DK170" s="5">
        <v>12.383827448152005</v>
      </c>
      <c r="DL170" s="5">
        <f t="shared" si="38"/>
        <v>-1.0769812633979905</v>
      </c>
      <c r="DN170">
        <f t="shared" si="42"/>
        <v>169</v>
      </c>
      <c r="DO170" s="8">
        <f t="shared" si="39"/>
        <v>0.66865079365079361</v>
      </c>
      <c r="DP170">
        <f t="shared" si="40"/>
        <v>0.43619064787655376</v>
      </c>
    </row>
    <row r="171" spans="3:120" x14ac:dyDescent="0.35">
      <c r="C171" s="2">
        <v>170</v>
      </c>
      <c r="D171" s="3">
        <v>44026</v>
      </c>
      <c r="E171" s="1">
        <v>96.715964999999997</v>
      </c>
      <c r="F171" s="1">
        <f t="shared" si="30"/>
        <v>96.979857954776648</v>
      </c>
      <c r="Q171" s="2">
        <v>170</v>
      </c>
      <c r="R171" s="3">
        <v>44026</v>
      </c>
      <c r="S171" s="1">
        <v>147.267303</v>
      </c>
      <c r="T171" s="1">
        <f t="shared" si="31"/>
        <v>156.31351976403596</v>
      </c>
      <c r="AC171" s="5"/>
      <c r="AD171" s="5">
        <f t="shared" si="32"/>
        <v>-0.26389295477665087</v>
      </c>
      <c r="AU171" s="5">
        <f t="shared" si="33"/>
        <v>-0.26389295477665087</v>
      </c>
      <c r="BH171" s="5">
        <v>6.4763741401541068</v>
      </c>
      <c r="BI171">
        <f>STANDARDIZE(BH171,AVERAGE($BH$2:$BH$253),_xlfn.STDEV.S($BH$2:$BH$253))</f>
        <v>0.62644475382469145</v>
      </c>
      <c r="BJ171" s="16"/>
      <c r="BK171">
        <f t="shared" si="41"/>
        <v>170</v>
      </c>
      <c r="BL171">
        <f t="shared" si="34"/>
        <v>0.67261904761904767</v>
      </c>
      <c r="BM171" s="5">
        <f t="shared" si="35"/>
        <v>0.44715672467644596</v>
      </c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>
        <f t="shared" si="36"/>
        <v>-9.046216764035961</v>
      </c>
      <c r="CW171" s="5">
        <f t="shared" si="37"/>
        <v>-9.046216764035961</v>
      </c>
      <c r="DK171" s="5">
        <v>12.428445416342811</v>
      </c>
      <c r="DL171" s="5">
        <f t="shared" si="38"/>
        <v>-1.0787731165657133</v>
      </c>
      <c r="DN171">
        <f t="shared" si="42"/>
        <v>170</v>
      </c>
      <c r="DO171" s="8">
        <f t="shared" si="39"/>
        <v>0.67261904761904767</v>
      </c>
      <c r="DP171">
        <f t="shared" si="40"/>
        <v>0.44715672467644596</v>
      </c>
    </row>
    <row r="172" spans="3:120" x14ac:dyDescent="0.35">
      <c r="C172" s="2">
        <v>171</v>
      </c>
      <c r="D172" s="3">
        <v>44027</v>
      </c>
      <c r="E172" s="1">
        <v>97.381111000000004</v>
      </c>
      <c r="F172" s="1">
        <f t="shared" si="30"/>
        <v>97.223430323131041</v>
      </c>
      <c r="Q172" s="2">
        <v>171</v>
      </c>
      <c r="R172" s="3">
        <v>44027</v>
      </c>
      <c r="S172" s="1">
        <v>151.07576</v>
      </c>
      <c r="T172" s="1">
        <f t="shared" si="31"/>
        <v>156.2821305067414</v>
      </c>
      <c r="AC172" s="5"/>
      <c r="AD172" s="5">
        <f t="shared" si="32"/>
        <v>0.15768067686896359</v>
      </c>
      <c r="AU172" s="5">
        <f t="shared" si="33"/>
        <v>0.15768067686896359</v>
      </c>
      <c r="BH172" s="5">
        <v>6.5199468781294385</v>
      </c>
      <c r="BI172">
        <f>STANDARDIZE(BH172,AVERAGE($BH$2:$BH$253),_xlfn.STDEV.S($BH$2:$BH$253))</f>
        <v>0.63082831936872463</v>
      </c>
      <c r="BJ172" s="16"/>
      <c r="BK172">
        <f t="shared" si="41"/>
        <v>171</v>
      </c>
      <c r="BL172">
        <f t="shared" si="34"/>
        <v>0.67658730158730163</v>
      </c>
      <c r="BM172" s="5">
        <f t="shared" si="35"/>
        <v>0.45817684096392136</v>
      </c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>
        <f t="shared" si="36"/>
        <v>-5.2063705067413935</v>
      </c>
      <c r="CW172" s="5">
        <f t="shared" si="37"/>
        <v>-5.2063705067413935</v>
      </c>
      <c r="DK172" s="5">
        <v>12.453410729315323</v>
      </c>
      <c r="DL172" s="5">
        <f t="shared" si="38"/>
        <v>-1.0862173433934876</v>
      </c>
      <c r="DN172">
        <f t="shared" si="42"/>
        <v>171</v>
      </c>
      <c r="DO172" s="8">
        <f t="shared" si="39"/>
        <v>0.67658730158730163</v>
      </c>
      <c r="DP172">
        <f t="shared" si="40"/>
        <v>0.45817684096392136</v>
      </c>
    </row>
    <row r="173" spans="3:120" x14ac:dyDescent="0.35">
      <c r="C173" s="2">
        <v>172</v>
      </c>
      <c r="D173" s="3">
        <v>44028</v>
      </c>
      <c r="E173" s="1">
        <v>96.182845999999998</v>
      </c>
      <c r="F173" s="1">
        <f t="shared" si="30"/>
        <v>97.467002691485433</v>
      </c>
      <c r="Q173" s="2">
        <v>172</v>
      </c>
      <c r="R173" s="3">
        <v>44028</v>
      </c>
      <c r="S173" s="1">
        <v>152.21929900000001</v>
      </c>
      <c r="T173" s="1">
        <f t="shared" si="31"/>
        <v>156.25074124944686</v>
      </c>
      <c r="AC173" s="5"/>
      <c r="AD173" s="5">
        <f t="shared" si="32"/>
        <v>-1.2841566914854354</v>
      </c>
      <c r="AU173" s="5">
        <f t="shared" si="33"/>
        <v>-1.2841566914854354</v>
      </c>
      <c r="BH173" s="5">
        <v>6.6358146692696351</v>
      </c>
      <c r="BI173">
        <f>STANDARDIZE(BH173,AVERAGE($BH$2:$BH$253),_xlfn.STDEV.S($BH$2:$BH$253))</f>
        <v>0.6424850129919929</v>
      </c>
      <c r="BJ173" s="16"/>
      <c r="BK173">
        <f t="shared" si="41"/>
        <v>172</v>
      </c>
      <c r="BL173">
        <f t="shared" si="34"/>
        <v>0.68055555555555558</v>
      </c>
      <c r="BM173" s="5">
        <f t="shared" si="35"/>
        <v>0.46925288381280222</v>
      </c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>
        <f t="shared" si="36"/>
        <v>-4.0314422494468545</v>
      </c>
      <c r="CW173" s="5">
        <f t="shared" si="37"/>
        <v>-4.0314422494468545</v>
      </c>
      <c r="DK173" s="5">
        <v>12.488807214726194</v>
      </c>
      <c r="DL173" s="5">
        <f t="shared" si="38"/>
        <v>-1.0911529100479151</v>
      </c>
      <c r="DN173">
        <f t="shared" si="42"/>
        <v>172</v>
      </c>
      <c r="DO173" s="8">
        <f t="shared" si="39"/>
        <v>0.68055555555555558</v>
      </c>
      <c r="DP173">
        <f t="shared" si="40"/>
        <v>0.46925288381280222</v>
      </c>
    </row>
    <row r="174" spans="3:120" x14ac:dyDescent="0.35">
      <c r="C174" s="2">
        <v>173</v>
      </c>
      <c r="D174" s="3">
        <v>44029</v>
      </c>
      <c r="E174" s="1">
        <v>95.988533000000004</v>
      </c>
      <c r="F174" s="1">
        <f t="shared" si="30"/>
        <v>97.710575059839826</v>
      </c>
      <c r="Q174" s="2">
        <v>173</v>
      </c>
      <c r="R174" s="3">
        <v>44029</v>
      </c>
      <c r="S174" s="1">
        <v>154.12851000000001</v>
      </c>
      <c r="T174" s="1">
        <f t="shared" si="31"/>
        <v>156.2193519921523</v>
      </c>
      <c r="AC174" s="5"/>
      <c r="AD174" s="5">
        <f t="shared" si="32"/>
        <v>-1.7220420598398221</v>
      </c>
      <c r="AU174" s="5">
        <f t="shared" si="33"/>
        <v>-1.7220420598398221</v>
      </c>
      <c r="BH174" s="5">
        <v>6.6971432464838259</v>
      </c>
      <c r="BI174">
        <f>STANDARDIZE(BH174,AVERAGE($BH$2:$BH$253),_xlfn.STDEV.S($BH$2:$BH$253))</f>
        <v>0.64865487631554397</v>
      </c>
      <c r="BJ174" s="16"/>
      <c r="BK174">
        <f t="shared" si="41"/>
        <v>173</v>
      </c>
      <c r="BL174">
        <f t="shared" si="34"/>
        <v>0.68452380952380953</v>
      </c>
      <c r="BM174" s="5">
        <f t="shared" si="35"/>
        <v>0.48038679669982853</v>
      </c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>
        <f t="shared" si="36"/>
        <v>-2.0908419921522921</v>
      </c>
      <c r="CW174" s="5">
        <f t="shared" si="37"/>
        <v>-2.0908419921522921</v>
      </c>
      <c r="DK174" s="5">
        <v>12.539834472020772</v>
      </c>
      <c r="DL174" s="5">
        <f t="shared" si="38"/>
        <v>-1.0920669148731255</v>
      </c>
      <c r="DN174">
        <f t="shared" si="42"/>
        <v>173</v>
      </c>
      <c r="DO174" s="8">
        <f t="shared" si="39"/>
        <v>0.68452380952380953</v>
      </c>
      <c r="DP174">
        <f t="shared" si="40"/>
        <v>0.48038679669982853</v>
      </c>
    </row>
    <row r="175" spans="3:120" x14ac:dyDescent="0.35">
      <c r="C175" s="2">
        <v>174</v>
      </c>
      <c r="D175" s="3">
        <v>44032</v>
      </c>
      <c r="E175" s="1">
        <v>98.011391000000003</v>
      </c>
      <c r="F175" s="1">
        <f t="shared" si="30"/>
        <v>97.954147428194219</v>
      </c>
      <c r="Q175" s="2">
        <v>174</v>
      </c>
      <c r="R175" s="3">
        <v>44032</v>
      </c>
      <c r="S175" s="1">
        <v>152.527557</v>
      </c>
      <c r="T175" s="1">
        <f t="shared" si="31"/>
        <v>156.18796273485773</v>
      </c>
      <c r="AC175" s="5"/>
      <c r="AD175" s="5">
        <f t="shared" si="32"/>
        <v>5.7243571805784654E-2</v>
      </c>
      <c r="AU175" s="5">
        <f t="shared" si="33"/>
        <v>5.7243571805784654E-2</v>
      </c>
      <c r="BH175" s="5">
        <v>6.7888417199013915</v>
      </c>
      <c r="BI175">
        <f>STANDARDIZE(BH175,AVERAGE($BH$2:$BH$253),_xlfn.STDEV.S($BH$2:$BH$253))</f>
        <v>0.65788005442441666</v>
      </c>
      <c r="BJ175" s="16"/>
      <c r="BK175">
        <f t="shared" si="41"/>
        <v>174</v>
      </c>
      <c r="BL175">
        <f t="shared" si="34"/>
        <v>0.68849206349206349</v>
      </c>
      <c r="BM175" s="5">
        <f t="shared" si="35"/>
        <v>0.49158058250786868</v>
      </c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>
        <f t="shared" si="36"/>
        <v>-3.6604057348577328</v>
      </c>
      <c r="CW175" s="5">
        <f t="shared" si="37"/>
        <v>-3.6604057348577328</v>
      </c>
      <c r="DK175" s="5">
        <v>12.545781957431643</v>
      </c>
      <c r="DL175" s="5">
        <f t="shared" si="38"/>
        <v>-1.1057127139596483</v>
      </c>
      <c r="DN175">
        <f t="shared" si="42"/>
        <v>174</v>
      </c>
      <c r="DO175" s="8">
        <f t="shared" si="39"/>
        <v>0.68849206349206349</v>
      </c>
      <c r="DP175">
        <f t="shared" si="40"/>
        <v>0.49158058250786868</v>
      </c>
    </row>
    <row r="176" spans="3:120" x14ac:dyDescent="0.35">
      <c r="C176" s="2">
        <v>175</v>
      </c>
      <c r="D176" s="3">
        <v>44033</v>
      </c>
      <c r="E176" s="1">
        <v>96.658660999999995</v>
      </c>
      <c r="F176" s="1">
        <f t="shared" si="30"/>
        <v>98.197719796548611</v>
      </c>
      <c r="Q176" s="2">
        <v>175</v>
      </c>
      <c r="R176" s="3">
        <v>44033</v>
      </c>
      <c r="S176" s="1">
        <v>153.889847</v>
      </c>
      <c r="T176" s="1">
        <f t="shared" si="31"/>
        <v>156.15657347756317</v>
      </c>
      <c r="AC176" s="5"/>
      <c r="AD176" s="5">
        <f t="shared" si="32"/>
        <v>-1.5390587965486162</v>
      </c>
      <c r="AU176" s="5">
        <f t="shared" si="33"/>
        <v>-1.5390587965486162</v>
      </c>
      <c r="BH176" s="5">
        <v>6.8649965085084972</v>
      </c>
      <c r="BI176">
        <f>STANDARDIZE(BH176,AVERAGE($BH$2:$BH$253),_xlfn.STDEV.S($BH$2:$BH$253))</f>
        <v>0.66554148500838017</v>
      </c>
      <c r="BJ176" s="16"/>
      <c r="BK176">
        <f t="shared" si="41"/>
        <v>175</v>
      </c>
      <c r="BL176">
        <f t="shared" si="34"/>
        <v>0.69246031746031744</v>
      </c>
      <c r="BM176" s="5">
        <f t="shared" si="35"/>
        <v>0.50283630670944168</v>
      </c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>
        <f t="shared" si="36"/>
        <v>-2.2667264775631679</v>
      </c>
      <c r="CW176" s="5">
        <f t="shared" si="37"/>
        <v>-2.2667264775631679</v>
      </c>
      <c r="DK176" s="5">
        <v>12.547021647090105</v>
      </c>
      <c r="DL176" s="5">
        <f t="shared" si="38"/>
        <v>-1.1212801558120788</v>
      </c>
      <c r="DN176">
        <f t="shared" si="42"/>
        <v>175</v>
      </c>
      <c r="DO176" s="8">
        <f t="shared" si="39"/>
        <v>0.69246031746031744</v>
      </c>
      <c r="DP176">
        <f t="shared" si="40"/>
        <v>0.50283630670944168</v>
      </c>
    </row>
    <row r="177" spans="3:120" x14ac:dyDescent="0.35">
      <c r="C177" s="2">
        <v>176</v>
      </c>
      <c r="D177" s="3">
        <v>44034</v>
      </c>
      <c r="E177" s="1">
        <v>96.930199000000002</v>
      </c>
      <c r="F177" s="1">
        <f t="shared" si="30"/>
        <v>98.44129216490299</v>
      </c>
      <c r="Q177" s="2">
        <v>176</v>
      </c>
      <c r="R177" s="3">
        <v>44034</v>
      </c>
      <c r="S177" s="1">
        <v>153.740692</v>
      </c>
      <c r="T177" s="1">
        <f t="shared" si="31"/>
        <v>156.12518422026864</v>
      </c>
      <c r="AC177" s="5"/>
      <c r="AD177" s="5">
        <f t="shared" si="32"/>
        <v>-1.511093164902988</v>
      </c>
      <c r="AU177" s="5">
        <f t="shared" si="33"/>
        <v>-1.511093164902988</v>
      </c>
      <c r="BH177" s="5">
        <v>6.8971980882557844</v>
      </c>
      <c r="BI177">
        <f>STANDARDIZE(BH177,AVERAGE($BH$2:$BH$253),_xlfn.STDEV.S($BH$2:$BH$253))</f>
        <v>0.66878107338411075</v>
      </c>
      <c r="BJ177" s="16"/>
      <c r="BK177">
        <f t="shared" si="41"/>
        <v>176</v>
      </c>
      <c r="BL177">
        <f t="shared" si="34"/>
        <v>0.6964285714285714</v>
      </c>
      <c r="BM177" s="5">
        <f t="shared" si="35"/>
        <v>0.51415610074453411</v>
      </c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>
        <f t="shared" si="36"/>
        <v>-2.3844922202686405</v>
      </c>
      <c r="CW177" s="5">
        <f t="shared" si="37"/>
        <v>-2.3844922202686405</v>
      </c>
      <c r="DK177" s="5">
        <v>12.624890811540553</v>
      </c>
      <c r="DL177" s="5">
        <f t="shared" si="38"/>
        <v>-1.1161743152480246</v>
      </c>
      <c r="DN177">
        <f t="shared" si="42"/>
        <v>176</v>
      </c>
      <c r="DO177" s="8">
        <f t="shared" si="39"/>
        <v>0.6964285714285714</v>
      </c>
      <c r="DP177">
        <f t="shared" si="40"/>
        <v>0.51415610074453411</v>
      </c>
    </row>
    <row r="178" spans="3:120" x14ac:dyDescent="0.35">
      <c r="C178" s="2">
        <v>177</v>
      </c>
      <c r="D178" s="3">
        <v>44035</v>
      </c>
      <c r="E178" s="1">
        <v>92.518287999999998</v>
      </c>
      <c r="F178" s="1">
        <f t="shared" si="30"/>
        <v>98.684864533257382</v>
      </c>
      <c r="Q178" s="2">
        <v>177</v>
      </c>
      <c r="R178" s="3">
        <v>44035</v>
      </c>
      <c r="S178" s="1">
        <v>152.86563100000001</v>
      </c>
      <c r="T178" s="1">
        <f t="shared" si="31"/>
        <v>156.09379496297407</v>
      </c>
      <c r="AC178" s="5"/>
      <c r="AD178" s="5">
        <f t="shared" si="32"/>
        <v>-6.1665765332573841</v>
      </c>
      <c r="AU178" s="5">
        <f t="shared" si="33"/>
        <v>-6.1665765332573841</v>
      </c>
      <c r="BH178" s="5">
        <v>6.9396693502804467</v>
      </c>
      <c r="BI178">
        <f>STANDARDIZE(BH178,AVERAGE($BH$2:$BH$253),_xlfn.STDEV.S($BH$2:$BH$253))</f>
        <v>0.67305382670359037</v>
      </c>
      <c r="BJ178" s="16"/>
      <c r="BK178">
        <f t="shared" si="41"/>
        <v>177</v>
      </c>
      <c r="BL178">
        <f t="shared" si="34"/>
        <v>0.70039682539682535</v>
      </c>
      <c r="BM178" s="5">
        <f t="shared" si="35"/>
        <v>0.52554216560793932</v>
      </c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>
        <f t="shared" si="36"/>
        <v>-3.2281639629740653</v>
      </c>
      <c r="CW178" s="5">
        <f t="shared" si="37"/>
        <v>-3.2281639629740653</v>
      </c>
      <c r="DK178" s="5">
        <v>12.655549501198976</v>
      </c>
      <c r="DL178" s="5">
        <f t="shared" si="38"/>
        <v>-1.124277256055523</v>
      </c>
      <c r="DN178">
        <f t="shared" si="42"/>
        <v>177</v>
      </c>
      <c r="DO178" s="8">
        <f t="shared" si="39"/>
        <v>0.70039682539682535</v>
      </c>
      <c r="DP178">
        <f t="shared" si="40"/>
        <v>0.52554216560793932</v>
      </c>
    </row>
    <row r="179" spans="3:120" x14ac:dyDescent="0.35">
      <c r="C179" s="2">
        <v>178</v>
      </c>
      <c r="D179" s="3">
        <v>44036</v>
      </c>
      <c r="E179" s="1">
        <v>92.289092999999994</v>
      </c>
      <c r="F179" s="1">
        <f t="shared" si="30"/>
        <v>98.928436901611775</v>
      </c>
      <c r="Q179" s="2">
        <v>178</v>
      </c>
      <c r="R179" s="3">
        <v>44036</v>
      </c>
      <c r="S179" s="1">
        <v>148.58981299999999</v>
      </c>
      <c r="T179" s="1">
        <f t="shared" si="31"/>
        <v>156.06240570567951</v>
      </c>
      <c r="AC179" s="5"/>
      <c r="AD179" s="5">
        <f t="shared" si="32"/>
        <v>-6.639343901611781</v>
      </c>
      <c r="AU179" s="5">
        <f t="shared" si="33"/>
        <v>-6.639343901611781</v>
      </c>
      <c r="BH179" s="5">
        <v>6.9907442452172788</v>
      </c>
      <c r="BI179">
        <f>STANDARDIZE(BH179,AVERAGE($BH$2:$BH$253),_xlfn.STDEV.S($BH$2:$BH$253))</f>
        <v>0.67819213473777817</v>
      </c>
      <c r="BJ179" s="16"/>
      <c r="BK179">
        <f t="shared" si="41"/>
        <v>178</v>
      </c>
      <c r="BL179">
        <f t="shared" si="34"/>
        <v>0.70436507936507942</v>
      </c>
      <c r="BM179" s="5">
        <f t="shared" si="35"/>
        <v>0.53699677566274295</v>
      </c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>
        <f t="shared" si="36"/>
        <v>-7.4725927056795172</v>
      </c>
      <c r="CW179" s="5">
        <f t="shared" si="37"/>
        <v>-7.4725927056795172</v>
      </c>
      <c r="DK179" s="5">
        <v>12.67935344284254</v>
      </c>
      <c r="DL179" s="5">
        <f t="shared" si="38"/>
        <v>-1.1347724401818398</v>
      </c>
      <c r="DN179">
        <f t="shared" si="42"/>
        <v>178</v>
      </c>
      <c r="DO179" s="8">
        <f t="shared" si="39"/>
        <v>0.70436507936507942</v>
      </c>
      <c r="DP179">
        <f t="shared" si="40"/>
        <v>0.53699677566274295</v>
      </c>
    </row>
    <row r="180" spans="3:120" x14ac:dyDescent="0.35">
      <c r="C180" s="2">
        <v>179</v>
      </c>
      <c r="D180" s="3">
        <v>44039</v>
      </c>
      <c r="E180" s="1">
        <v>94.476364000000004</v>
      </c>
      <c r="F180" s="1">
        <f t="shared" si="30"/>
        <v>99.172009269966168</v>
      </c>
      <c r="Q180" s="2">
        <v>179</v>
      </c>
      <c r="R180" s="3">
        <v>44039</v>
      </c>
      <c r="S180" s="1">
        <v>149.91233800000001</v>
      </c>
      <c r="T180" s="1">
        <f t="shared" si="31"/>
        <v>156.03101644838495</v>
      </c>
      <c r="AC180" s="5"/>
      <c r="AD180" s="5">
        <f t="shared" si="32"/>
        <v>-4.6956452699661639</v>
      </c>
      <c r="AU180" s="5">
        <f t="shared" si="33"/>
        <v>-4.6956452699661639</v>
      </c>
      <c r="BH180" s="5">
        <v>7.3353176781355103</v>
      </c>
      <c r="BI180">
        <f>STANDARDIZE(BH180,AVERAGE($BH$2:$BH$253),_xlfn.STDEV.S($BH$2:$BH$253))</f>
        <v>0.71285739329427955</v>
      </c>
      <c r="BJ180" s="16"/>
      <c r="BK180">
        <f t="shared" si="41"/>
        <v>179</v>
      </c>
      <c r="BL180">
        <f t="shared" si="34"/>
        <v>0.70833333333333337</v>
      </c>
      <c r="BM180" s="5">
        <f t="shared" si="35"/>
        <v>0.54852228269809822</v>
      </c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>
        <f t="shared" si="36"/>
        <v>-6.1186784483849408</v>
      </c>
      <c r="CW180" s="5">
        <f t="shared" si="37"/>
        <v>-6.1186784483849408</v>
      </c>
      <c r="DK180" s="5">
        <v>12.683105243904436</v>
      </c>
      <c r="DL180" s="5">
        <f t="shared" si="38"/>
        <v>-1.1514658311080261</v>
      </c>
      <c r="DN180">
        <f t="shared" si="42"/>
        <v>179</v>
      </c>
      <c r="DO180" s="8">
        <f t="shared" si="39"/>
        <v>0.70833333333333337</v>
      </c>
      <c r="DP180">
        <f t="shared" si="40"/>
        <v>0.54852228269809822</v>
      </c>
    </row>
    <row r="181" spans="3:120" x14ac:dyDescent="0.35">
      <c r="C181" s="2">
        <v>180</v>
      </c>
      <c r="D181" s="3">
        <v>44040</v>
      </c>
      <c r="E181" s="1">
        <v>92.924355000000006</v>
      </c>
      <c r="F181" s="1">
        <f t="shared" si="30"/>
        <v>99.41558163832056</v>
      </c>
      <c r="Q181" s="2">
        <v>180</v>
      </c>
      <c r="R181" s="3">
        <v>44040</v>
      </c>
      <c r="S181" s="1">
        <v>151.155304</v>
      </c>
      <c r="T181" s="1">
        <f t="shared" si="31"/>
        <v>155.99962719109041</v>
      </c>
      <c r="AC181" s="5"/>
      <c r="AD181" s="5">
        <f t="shared" si="32"/>
        <v>-6.4912266383205548</v>
      </c>
      <c r="AU181" s="5">
        <f t="shared" si="33"/>
        <v>-6.4912266383205548</v>
      </c>
      <c r="BH181" s="5">
        <v>7.3706532490169394</v>
      </c>
      <c r="BI181">
        <f>STANDARDIZE(BH181,AVERAGE($BH$2:$BH$253),_xlfn.STDEV.S($BH$2:$BH$253))</f>
        <v>0.71641227183053924</v>
      </c>
      <c r="BJ181" s="16"/>
      <c r="BK181">
        <f t="shared" si="41"/>
        <v>180</v>
      </c>
      <c r="BL181">
        <f t="shared" si="34"/>
        <v>0.71230158730158732</v>
      </c>
      <c r="BM181" s="5">
        <f t="shared" si="35"/>
        <v>0.56012112025115535</v>
      </c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>
        <f t="shared" si="36"/>
        <v>-4.8443231910904103</v>
      </c>
      <c r="CW181" s="5">
        <f t="shared" si="37"/>
        <v>-4.8443231910904103</v>
      </c>
      <c r="DK181" s="5">
        <v>12.687924021097558</v>
      </c>
      <c r="DL181" s="5">
        <f t="shared" si="38"/>
        <v>-1.168683109297068</v>
      </c>
      <c r="DN181">
        <f t="shared" si="42"/>
        <v>180</v>
      </c>
      <c r="DO181" s="8">
        <f t="shared" si="39"/>
        <v>0.71230158730158732</v>
      </c>
      <c r="DP181">
        <f t="shared" si="40"/>
        <v>0.56012112025115535</v>
      </c>
    </row>
    <row r="182" spans="3:120" x14ac:dyDescent="0.35">
      <c r="C182" s="2">
        <v>181</v>
      </c>
      <c r="D182" s="3">
        <v>44041</v>
      </c>
      <c r="E182" s="1">
        <v>94.705558999999994</v>
      </c>
      <c r="F182" s="1">
        <f t="shared" si="30"/>
        <v>99.659154006674953</v>
      </c>
      <c r="Q182" s="2">
        <v>181</v>
      </c>
      <c r="R182" s="3">
        <v>44041</v>
      </c>
      <c r="S182" s="1">
        <v>153.71086099999999</v>
      </c>
      <c r="T182" s="1">
        <f t="shared" si="31"/>
        <v>155.96823793379585</v>
      </c>
      <c r="AC182" s="5"/>
      <c r="AD182" s="5">
        <f t="shared" si="32"/>
        <v>-4.9535950066749592</v>
      </c>
      <c r="AU182" s="5">
        <f t="shared" si="33"/>
        <v>-4.9535950066749592</v>
      </c>
      <c r="BH182" s="5">
        <v>7.3923371414206542</v>
      </c>
      <c r="BI182">
        <f>STANDARDIZE(BH182,AVERAGE($BH$2:$BH$253),_xlfn.STDEV.S($BH$2:$BH$253))</f>
        <v>0.71859374510989238</v>
      </c>
      <c r="BJ182" s="16"/>
      <c r="BK182">
        <f t="shared" si="41"/>
        <v>181</v>
      </c>
      <c r="BL182">
        <f t="shared" si="34"/>
        <v>0.71626984126984128</v>
      </c>
      <c r="BM182" s="5">
        <f t="shared" si="35"/>
        <v>0.57179580821487397</v>
      </c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>
        <f t="shared" si="36"/>
        <v>-2.2573769337958538</v>
      </c>
      <c r="CW182" s="5">
        <f t="shared" si="37"/>
        <v>-2.2573769337958538</v>
      </c>
      <c r="DK182" s="5">
        <v>12.755105241273498</v>
      </c>
      <c r="DL182" s="5">
        <f t="shared" si="38"/>
        <v>-1.1691971752459334</v>
      </c>
      <c r="DN182">
        <f t="shared" si="42"/>
        <v>181</v>
      </c>
      <c r="DO182" s="8">
        <f t="shared" si="39"/>
        <v>0.71626984126984128</v>
      </c>
      <c r="DP182">
        <f t="shared" si="40"/>
        <v>0.57179580821487397</v>
      </c>
    </row>
    <row r="183" spans="3:120" x14ac:dyDescent="0.35">
      <c r="C183" s="2">
        <v>182</v>
      </c>
      <c r="D183" s="3">
        <v>44042</v>
      </c>
      <c r="E183" s="1">
        <v>95.851517000000001</v>
      </c>
      <c r="F183" s="1">
        <f t="shared" si="30"/>
        <v>99.902726375029346</v>
      </c>
      <c r="Q183" s="2">
        <v>182</v>
      </c>
      <c r="R183" s="3">
        <v>44042</v>
      </c>
      <c r="S183" s="1">
        <v>148.321335</v>
      </c>
      <c r="T183" s="1">
        <f t="shared" si="31"/>
        <v>155.93684867650128</v>
      </c>
      <c r="AC183" s="5"/>
      <c r="AD183" s="5">
        <f t="shared" si="32"/>
        <v>-4.0512093750293445</v>
      </c>
      <c r="AU183" s="5">
        <f t="shared" si="33"/>
        <v>-4.0512093750293445</v>
      </c>
      <c r="BH183" s="5">
        <v>7.4464717338334765</v>
      </c>
      <c r="BI183">
        <f>STANDARDIZE(BH183,AVERAGE($BH$2:$BH$253),_xlfn.STDEV.S($BH$2:$BH$253))</f>
        <v>0.72403986911007501</v>
      </c>
      <c r="BJ183" s="16"/>
      <c r="BK183">
        <f t="shared" si="41"/>
        <v>182</v>
      </c>
      <c r="BL183">
        <f t="shared" si="34"/>
        <v>0.72023809523809523</v>
      </c>
      <c r="BM183" s="5">
        <f t="shared" si="35"/>
        <v>0.5835489577555576</v>
      </c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>
        <f t="shared" si="36"/>
        <v>-7.6155136765012799</v>
      </c>
      <c r="CW183" s="5">
        <f t="shared" si="37"/>
        <v>-7.6155136765012799</v>
      </c>
      <c r="DK183" s="5">
        <v>12.759285275761187</v>
      </c>
      <c r="DL183" s="5">
        <f t="shared" si="38"/>
        <v>-1.1877679078379313</v>
      </c>
      <c r="DN183">
        <f t="shared" si="42"/>
        <v>182</v>
      </c>
      <c r="DO183" s="8">
        <f t="shared" si="39"/>
        <v>0.72023809523809523</v>
      </c>
      <c r="DP183">
        <f t="shared" si="40"/>
        <v>0.5835489577555576</v>
      </c>
    </row>
    <row r="184" spans="3:120" x14ac:dyDescent="0.35">
      <c r="C184" s="2">
        <v>183</v>
      </c>
      <c r="D184" s="3">
        <v>44043</v>
      </c>
      <c r="E184" s="1">
        <v>105.88608600000001</v>
      </c>
      <c r="F184" s="1">
        <f t="shared" si="30"/>
        <v>100.14629874338374</v>
      </c>
      <c r="Q184" s="2">
        <v>183</v>
      </c>
      <c r="R184" s="3">
        <v>44043</v>
      </c>
      <c r="S184" s="1">
        <v>148.53015099999999</v>
      </c>
      <c r="T184" s="1">
        <f t="shared" si="31"/>
        <v>155.90545941920675</v>
      </c>
      <c r="AC184" s="5"/>
      <c r="AD184" s="5">
        <f t="shared" si="32"/>
        <v>5.7397872566162675</v>
      </c>
      <c r="AU184" s="5">
        <f t="shared" si="33"/>
        <v>5.7397872566162675</v>
      </c>
      <c r="BH184" s="5">
        <v>7.4724241426872027</v>
      </c>
      <c r="BI184">
        <f>STANDARDIZE(BH184,AVERAGE($BH$2:$BH$253),_xlfn.STDEV.S($BH$2:$BH$253))</f>
        <v>0.7266507696529847</v>
      </c>
      <c r="BJ184" s="16"/>
      <c r="BK184">
        <f t="shared" si="41"/>
        <v>183</v>
      </c>
      <c r="BL184">
        <f t="shared" si="34"/>
        <v>0.72420634920634919</v>
      </c>
      <c r="BM184" s="5">
        <f t="shared" si="35"/>
        <v>0.59538327656628021</v>
      </c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>
        <f t="shared" si="36"/>
        <v>-7.3753084192067604</v>
      </c>
      <c r="CW184" s="5">
        <f t="shared" si="37"/>
        <v>-7.3753084192067604</v>
      </c>
      <c r="DK184" s="5">
        <v>12.891476928253439</v>
      </c>
      <c r="DL184" s="5">
        <f t="shared" si="38"/>
        <v>-1.1710241675995887</v>
      </c>
      <c r="DN184">
        <f t="shared" si="42"/>
        <v>183</v>
      </c>
      <c r="DO184" s="8">
        <f t="shared" si="39"/>
        <v>0.72420634920634919</v>
      </c>
      <c r="DP184">
        <f t="shared" si="40"/>
        <v>0.59538327656628021</v>
      </c>
    </row>
    <row r="185" spans="3:120" x14ac:dyDescent="0.35">
      <c r="C185" s="2">
        <v>184</v>
      </c>
      <c r="D185" s="3">
        <v>44046</v>
      </c>
      <c r="E185" s="1">
        <v>108.554153</v>
      </c>
      <c r="F185" s="1">
        <f t="shared" si="30"/>
        <v>100.38987111173813</v>
      </c>
      <c r="Q185" s="2">
        <v>184</v>
      </c>
      <c r="R185" s="3">
        <v>44046</v>
      </c>
      <c r="S185" s="1">
        <v>147.694885</v>
      </c>
      <c r="T185" s="1">
        <f t="shared" si="31"/>
        <v>155.87407016191219</v>
      </c>
      <c r="AC185" s="5"/>
      <c r="AD185" s="5">
        <f t="shared" si="32"/>
        <v>8.1642818882618684</v>
      </c>
      <c r="AU185" s="5">
        <f t="shared" si="33"/>
        <v>8.1642818882618684</v>
      </c>
      <c r="BH185" s="5">
        <v>7.5716237730662641</v>
      </c>
      <c r="BI185">
        <f>STANDARDIZE(BH185,AVERAGE($BH$2:$BH$253),_xlfn.STDEV.S($BH$2:$BH$253))</f>
        <v>0.73663058964861261</v>
      </c>
      <c r="BJ185" s="16"/>
      <c r="BK185">
        <f t="shared" si="41"/>
        <v>184</v>
      </c>
      <c r="BL185">
        <f t="shared" si="34"/>
        <v>0.72817460317460314</v>
      </c>
      <c r="BM185" s="5">
        <f t="shared" si="35"/>
        <v>0.60730157448496336</v>
      </c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>
        <f t="shared" si="36"/>
        <v>-8.1791851619121871</v>
      </c>
      <c r="CW185" s="5">
        <f t="shared" si="37"/>
        <v>-8.1791851619121871</v>
      </c>
      <c r="DK185" s="5">
        <v>13.044415986609863</v>
      </c>
      <c r="DL185" s="5">
        <f t="shared" si="38"/>
        <v>-1.1479260032770766</v>
      </c>
      <c r="DN185">
        <f t="shared" si="42"/>
        <v>184</v>
      </c>
      <c r="DO185" s="8">
        <f t="shared" si="39"/>
        <v>0.72817460317460314</v>
      </c>
      <c r="DP185">
        <f t="shared" si="40"/>
        <v>0.60730157448496336</v>
      </c>
    </row>
    <row r="186" spans="3:120" x14ac:dyDescent="0.35">
      <c r="C186" s="2">
        <v>185</v>
      </c>
      <c r="D186" s="3">
        <v>44047</v>
      </c>
      <c r="E186" s="1">
        <v>109.279099</v>
      </c>
      <c r="F186" s="1">
        <f t="shared" si="30"/>
        <v>100.63344348009252</v>
      </c>
      <c r="Q186" s="2">
        <v>185</v>
      </c>
      <c r="R186" s="3">
        <v>44047</v>
      </c>
      <c r="S186" s="1">
        <v>146.501633</v>
      </c>
      <c r="T186" s="1">
        <f t="shared" si="31"/>
        <v>155.84268090461762</v>
      </c>
      <c r="AC186" s="5"/>
      <c r="AD186" s="5">
        <f t="shared" si="32"/>
        <v>8.6456555199074785</v>
      </c>
      <c r="AU186" s="5">
        <f t="shared" si="33"/>
        <v>8.6456555199074785</v>
      </c>
      <c r="BH186" s="5">
        <v>7.6003330907888937</v>
      </c>
      <c r="BI186">
        <f>STANDARDIZE(BH186,AVERAGE($BH$2:$BH$253),_xlfn.STDEV.S($BH$2:$BH$253))</f>
        <v>0.73951884459446582</v>
      </c>
      <c r="BJ186" s="16"/>
      <c r="BK186">
        <f t="shared" si="41"/>
        <v>185</v>
      </c>
      <c r="BL186">
        <f t="shared" si="34"/>
        <v>0.7321428571428571</v>
      </c>
      <c r="BM186" s="5">
        <f t="shared" si="35"/>
        <v>0.61930676950877606</v>
      </c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>
        <f t="shared" si="36"/>
        <v>-9.3410479046176249</v>
      </c>
      <c r="CW186" s="5">
        <f t="shared" si="37"/>
        <v>-9.3410479046176249</v>
      </c>
      <c r="DK186" s="5">
        <v>13.102330726684386</v>
      </c>
      <c r="DL186" s="5">
        <f t="shared" si="38"/>
        <v>-1.1512341359002134</v>
      </c>
      <c r="DN186">
        <f t="shared" si="42"/>
        <v>185</v>
      </c>
      <c r="DO186" s="8">
        <f t="shared" si="39"/>
        <v>0.7321428571428571</v>
      </c>
      <c r="DP186">
        <f t="shared" si="40"/>
        <v>0.61930676950877606</v>
      </c>
    </row>
    <row r="187" spans="3:120" x14ac:dyDescent="0.35">
      <c r="C187" s="2">
        <v>186</v>
      </c>
      <c r="D187" s="3">
        <v>44048</v>
      </c>
      <c r="E187" s="1">
        <v>109.675194</v>
      </c>
      <c r="F187" s="1">
        <f t="shared" si="30"/>
        <v>100.87701584844692</v>
      </c>
      <c r="Q187" s="2">
        <v>186</v>
      </c>
      <c r="R187" s="3">
        <v>44048</v>
      </c>
      <c r="S187" s="1">
        <v>149.972015</v>
      </c>
      <c r="T187" s="1">
        <f t="shared" si="31"/>
        <v>155.81129164732306</v>
      </c>
      <c r="AC187" s="5"/>
      <c r="AD187" s="5">
        <f t="shared" si="32"/>
        <v>8.7981781515530884</v>
      </c>
      <c r="AU187" s="5">
        <f t="shared" si="33"/>
        <v>8.7981781515530884</v>
      </c>
      <c r="BH187" s="5">
        <v>7.643968837630112</v>
      </c>
      <c r="BI187">
        <f>STANDARDIZE(BH187,AVERAGE($BH$2:$BH$253),_xlfn.STDEV.S($BH$2:$BH$253))</f>
        <v>0.74390874904457427</v>
      </c>
      <c r="BJ187" s="16"/>
      <c r="BK187">
        <f t="shared" si="41"/>
        <v>186</v>
      </c>
      <c r="BL187">
        <f t="shared" si="34"/>
        <v>0.73611111111111116</v>
      </c>
      <c r="BM187" s="5">
        <f t="shared" si="35"/>
        <v>0.63140189423976112</v>
      </c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>
        <f t="shared" si="36"/>
        <v>-5.8392766473230608</v>
      </c>
      <c r="CW187" s="5">
        <f t="shared" si="37"/>
        <v>-5.8392766473230608</v>
      </c>
      <c r="DK187" s="5">
        <v>13.256381758493546</v>
      </c>
      <c r="DL187" s="5">
        <f t="shared" si="38"/>
        <v>-1.1274400875550137</v>
      </c>
      <c r="DN187">
        <f t="shared" si="42"/>
        <v>186</v>
      </c>
      <c r="DO187" s="8">
        <f t="shared" si="39"/>
        <v>0.73611111111111116</v>
      </c>
      <c r="DP187">
        <f t="shared" si="40"/>
        <v>0.63140189423976112</v>
      </c>
    </row>
    <row r="188" spans="3:120" x14ac:dyDescent="0.35">
      <c r="C188" s="2">
        <v>187</v>
      </c>
      <c r="D188" s="3">
        <v>44049</v>
      </c>
      <c r="E188" s="1">
        <v>113.501678</v>
      </c>
      <c r="F188" s="1">
        <f t="shared" si="30"/>
        <v>101.12058821680131</v>
      </c>
      <c r="Q188" s="2">
        <v>187</v>
      </c>
      <c r="R188" s="3">
        <v>44049</v>
      </c>
      <c r="S188" s="1">
        <v>151.72210699999999</v>
      </c>
      <c r="T188" s="1">
        <f t="shared" si="31"/>
        <v>155.77990239002852</v>
      </c>
      <c r="AC188" s="5"/>
      <c r="AD188" s="5">
        <f t="shared" si="32"/>
        <v>12.381089783198689</v>
      </c>
      <c r="AU188" s="5">
        <f t="shared" si="33"/>
        <v>12.381089783198689</v>
      </c>
      <c r="BH188" s="5">
        <v>7.6629485097750489</v>
      </c>
      <c r="BI188">
        <f>STANDARDIZE(BH188,AVERAGE($BH$2:$BH$253),_xlfn.STDEV.S($BH$2:$BH$253))</f>
        <v>0.74581816857425109</v>
      </c>
      <c r="BJ188" s="16"/>
      <c r="BK188">
        <f t="shared" si="41"/>
        <v>187</v>
      </c>
      <c r="BL188">
        <f t="shared" si="34"/>
        <v>0.74007936507936511</v>
      </c>
      <c r="BM188" s="5">
        <f t="shared" si="35"/>
        <v>0.64359010280021778</v>
      </c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>
        <f t="shared" si="36"/>
        <v>-4.0577953900285308</v>
      </c>
      <c r="CW188" s="5">
        <f t="shared" si="37"/>
        <v>-4.0577953900285308</v>
      </c>
      <c r="DK188" s="5">
        <v>13.262629670958887</v>
      </c>
      <c r="DL188" s="5">
        <f t="shared" si="38"/>
        <v>-1.1452973298960776</v>
      </c>
      <c r="DN188">
        <f t="shared" si="42"/>
        <v>187</v>
      </c>
      <c r="DO188" s="8">
        <f t="shared" si="39"/>
        <v>0.74007936507936511</v>
      </c>
      <c r="DP188">
        <f t="shared" si="40"/>
        <v>0.64359010280021778</v>
      </c>
    </row>
    <row r="189" spans="3:120" x14ac:dyDescent="0.35">
      <c r="C189" s="2">
        <v>188</v>
      </c>
      <c r="D189" s="3">
        <v>44050</v>
      </c>
      <c r="E189" s="1">
        <v>110.92113500000001</v>
      </c>
      <c r="F189" s="1">
        <f t="shared" si="30"/>
        <v>101.3641605851557</v>
      </c>
      <c r="Q189" s="2">
        <v>188</v>
      </c>
      <c r="R189" s="3">
        <v>44050</v>
      </c>
      <c r="S189" s="1">
        <v>154.23788500000001</v>
      </c>
      <c r="T189" s="1">
        <f t="shared" si="31"/>
        <v>155.74851313273396</v>
      </c>
      <c r="AC189" s="5"/>
      <c r="AD189" s="5">
        <f t="shared" si="32"/>
        <v>9.556974414844305</v>
      </c>
      <c r="AU189" s="5">
        <f t="shared" si="33"/>
        <v>9.556974414844305</v>
      </c>
      <c r="BH189" s="5">
        <v>7.7078462059844952</v>
      </c>
      <c r="BI189">
        <f>STANDARDIZE(BH189,AVERAGE($BH$2:$BH$253),_xlfn.STDEV.S($BH$2:$BH$253))</f>
        <v>0.7503350294201685</v>
      </c>
      <c r="BJ189" s="16"/>
      <c r="BK189">
        <f t="shared" si="41"/>
        <v>188</v>
      </c>
      <c r="BL189">
        <f t="shared" si="34"/>
        <v>0.74404761904761907</v>
      </c>
      <c r="BM189" s="5">
        <f t="shared" si="35"/>
        <v>0.6558746782604522</v>
      </c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>
        <f t="shared" si="36"/>
        <v>-1.5106281327339559</v>
      </c>
      <c r="CW189" s="5">
        <f t="shared" si="37"/>
        <v>-1.5106281327339559</v>
      </c>
      <c r="DK189" s="5">
        <v>13.36761055692449</v>
      </c>
      <c r="DL189" s="5">
        <f t="shared" si="38"/>
        <v>-1.1357844840141313</v>
      </c>
      <c r="DN189">
        <f t="shared" si="42"/>
        <v>188</v>
      </c>
      <c r="DO189" s="8">
        <f t="shared" si="39"/>
        <v>0.74404761904761907</v>
      </c>
      <c r="DP189">
        <f t="shared" si="40"/>
        <v>0.6558746782604522</v>
      </c>
    </row>
    <row r="190" spans="3:120" x14ac:dyDescent="0.35">
      <c r="C190" s="2">
        <v>189</v>
      </c>
      <c r="D190" s="3">
        <v>44053</v>
      </c>
      <c r="E190" s="1">
        <v>112.533356</v>
      </c>
      <c r="F190" s="1">
        <f t="shared" si="30"/>
        <v>101.60773295351009</v>
      </c>
      <c r="Q190" s="2">
        <v>189</v>
      </c>
      <c r="R190" s="3">
        <v>44053</v>
      </c>
      <c r="S190" s="1">
        <v>158.53358499999999</v>
      </c>
      <c r="T190" s="1">
        <f t="shared" si="31"/>
        <v>155.7171238754394</v>
      </c>
      <c r="AC190" s="5"/>
      <c r="AD190" s="5">
        <f t="shared" si="32"/>
        <v>10.925623046489903</v>
      </c>
      <c r="AU190" s="5">
        <f t="shared" si="33"/>
        <v>10.925623046489903</v>
      </c>
      <c r="BH190" s="5">
        <v>7.7787428236980176</v>
      </c>
      <c r="BI190">
        <f>STANDARDIZE(BH190,AVERAGE($BH$2:$BH$253),_xlfn.STDEV.S($BH$2:$BH$253))</f>
        <v>0.75746747013971727</v>
      </c>
      <c r="BJ190" s="16"/>
      <c r="BK190">
        <f t="shared" si="41"/>
        <v>189</v>
      </c>
      <c r="BL190">
        <f t="shared" si="34"/>
        <v>0.74801587301587302</v>
      </c>
      <c r="BM190" s="5">
        <f t="shared" si="35"/>
        <v>0.66825904062605401</v>
      </c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>
        <f t="shared" si="36"/>
        <v>2.8164611245605897</v>
      </c>
      <c r="CW190" s="5">
        <f t="shared" si="37"/>
        <v>2.8164611245605897</v>
      </c>
      <c r="DK190" s="5">
        <v>13.402975190857433</v>
      </c>
      <c r="DL190" s="5">
        <f t="shared" si="38"/>
        <v>-1.146196210873653</v>
      </c>
      <c r="DN190">
        <f t="shared" si="42"/>
        <v>189</v>
      </c>
      <c r="DO190" s="8">
        <f t="shared" si="39"/>
        <v>0.74801587301587302</v>
      </c>
      <c r="DP190">
        <f t="shared" si="40"/>
        <v>0.66825904062605401</v>
      </c>
    </row>
    <row r="191" spans="3:120" x14ac:dyDescent="0.35">
      <c r="C191" s="2">
        <v>190</v>
      </c>
      <c r="D191" s="3">
        <v>44054</v>
      </c>
      <c r="E191" s="1">
        <v>109.186623</v>
      </c>
      <c r="F191" s="1">
        <f t="shared" si="30"/>
        <v>101.85130532186449</v>
      </c>
      <c r="Q191" s="2">
        <v>190</v>
      </c>
      <c r="R191" s="3">
        <v>44054</v>
      </c>
      <c r="S191" s="1">
        <v>159.378815</v>
      </c>
      <c r="T191" s="1">
        <f t="shared" si="31"/>
        <v>155.68573461814483</v>
      </c>
      <c r="AC191" s="5"/>
      <c r="AD191" s="5">
        <f t="shared" si="32"/>
        <v>7.3353176781355103</v>
      </c>
      <c r="AU191" s="5">
        <f t="shared" si="33"/>
        <v>7.3353176781355103</v>
      </c>
      <c r="BH191" s="5">
        <v>7.8517024047118724</v>
      </c>
      <c r="BI191">
        <f>STANDARDIZE(BH191,AVERAGE($BH$2:$BH$253),_xlfn.STDEV.S($BH$2:$BH$253))</f>
        <v>0.76480745197929068</v>
      </c>
      <c r="BJ191" s="16"/>
      <c r="BK191">
        <f t="shared" si="41"/>
        <v>190</v>
      </c>
      <c r="BL191">
        <f t="shared" si="34"/>
        <v>0.75198412698412698</v>
      </c>
      <c r="BM191" s="5">
        <f t="shared" si="35"/>
        <v>0.68074675543701968</v>
      </c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>
        <f t="shared" si="36"/>
        <v>3.6930803818551681</v>
      </c>
      <c r="CW191" s="5">
        <f t="shared" si="37"/>
        <v>3.6930803818551681</v>
      </c>
      <c r="DK191" s="5">
        <v>13.506219299629947</v>
      </c>
      <c r="DL191" s="5">
        <f t="shared" si="38"/>
        <v>-1.137729975426151</v>
      </c>
      <c r="DN191">
        <f t="shared" si="42"/>
        <v>190</v>
      </c>
      <c r="DO191" s="8">
        <f t="shared" si="39"/>
        <v>0.75198412698412698</v>
      </c>
      <c r="DP191">
        <f t="shared" si="40"/>
        <v>0.68074675543701968</v>
      </c>
    </row>
    <row r="192" spans="3:120" x14ac:dyDescent="0.35">
      <c r="C192" s="2">
        <v>191</v>
      </c>
      <c r="D192" s="3">
        <v>44055</v>
      </c>
      <c r="E192" s="1">
        <v>112.815369</v>
      </c>
      <c r="F192" s="1">
        <f t="shared" si="30"/>
        <v>102.09487769021888</v>
      </c>
      <c r="Q192" s="2">
        <v>191</v>
      </c>
      <c r="R192" s="3">
        <v>44055</v>
      </c>
      <c r="S192" s="1">
        <v>159.16999799999999</v>
      </c>
      <c r="T192" s="1">
        <f t="shared" si="31"/>
        <v>155.6543453608503</v>
      </c>
      <c r="AC192" s="5"/>
      <c r="AD192" s="5">
        <f t="shared" si="32"/>
        <v>10.720491309781124</v>
      </c>
      <c r="AU192" s="5">
        <f t="shared" si="33"/>
        <v>10.720491309781124</v>
      </c>
      <c r="BH192" s="5">
        <v>7.9453727186348502</v>
      </c>
      <c r="BI192">
        <f>STANDARDIZE(BH192,AVERAGE($BH$2:$BH$253),_xlfn.STDEV.S($BH$2:$BH$253))</f>
        <v>0.77423100394529276</v>
      </c>
      <c r="BJ192" s="16"/>
      <c r="BK192">
        <f t="shared" si="41"/>
        <v>191</v>
      </c>
      <c r="BL192">
        <f t="shared" si="34"/>
        <v>0.75595238095238093</v>
      </c>
      <c r="BM192" s="5">
        <f t="shared" si="35"/>
        <v>0.69334154303681728</v>
      </c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>
        <f t="shared" si="36"/>
        <v>3.5156526391496925</v>
      </c>
      <c r="CW192" s="5">
        <f t="shared" si="37"/>
        <v>3.5156526391496925</v>
      </c>
      <c r="DK192" s="5">
        <v>13.851281530377207</v>
      </c>
      <c r="DL192" s="5">
        <f t="shared" si="38"/>
        <v>-1.059174614006464</v>
      </c>
      <c r="DN192">
        <f t="shared" si="42"/>
        <v>191</v>
      </c>
      <c r="DO192" s="8">
        <f t="shared" si="39"/>
        <v>0.75595238095238093</v>
      </c>
      <c r="DP192">
        <f t="shared" si="40"/>
        <v>0.69334154303681728</v>
      </c>
    </row>
    <row r="193" spans="3:120" x14ac:dyDescent="0.35">
      <c r="C193" s="2">
        <v>192</v>
      </c>
      <c r="D193" s="3">
        <v>44056</v>
      </c>
      <c r="E193" s="1">
        <v>114.81192</v>
      </c>
      <c r="F193" s="1">
        <f t="shared" si="30"/>
        <v>102.33845005857327</v>
      </c>
      <c r="Q193" s="2">
        <v>192</v>
      </c>
      <c r="R193" s="3">
        <v>44056</v>
      </c>
      <c r="S193" s="1">
        <v>158.979996</v>
      </c>
      <c r="T193" s="1">
        <f t="shared" si="31"/>
        <v>155.62295610355574</v>
      </c>
      <c r="AC193" s="5"/>
      <c r="AD193" s="5">
        <f t="shared" si="32"/>
        <v>12.473469941426728</v>
      </c>
      <c r="AU193" s="5">
        <f t="shared" si="33"/>
        <v>12.473469941426728</v>
      </c>
      <c r="BH193" s="5">
        <v>8.0427349312943051</v>
      </c>
      <c r="BI193">
        <f>STANDARDIZE(BH193,AVERAGE($BH$2:$BH$253),_xlfn.STDEV.S($BH$2:$BH$253))</f>
        <v>0.78402597347294634</v>
      </c>
      <c r="BJ193" s="16"/>
      <c r="BK193">
        <f t="shared" si="41"/>
        <v>192</v>
      </c>
      <c r="BL193">
        <f t="shared" si="34"/>
        <v>0.75992063492063489</v>
      </c>
      <c r="BM193" s="5">
        <f t="shared" si="35"/>
        <v>0.70604728857604471</v>
      </c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>
        <f t="shared" si="36"/>
        <v>3.3570398964442631</v>
      </c>
      <c r="CW193" s="5">
        <f t="shared" si="37"/>
        <v>3.3570398964442631</v>
      </c>
      <c r="DK193" s="5">
        <v>13.861772328808172</v>
      </c>
      <c r="DL193" s="5">
        <f t="shared" si="38"/>
        <v>-1.0747575318371043</v>
      </c>
      <c r="DN193">
        <f t="shared" si="42"/>
        <v>192</v>
      </c>
      <c r="DO193" s="8">
        <f t="shared" si="39"/>
        <v>0.75992063492063489</v>
      </c>
      <c r="DP193">
        <f t="shared" si="40"/>
        <v>0.70604728857604471</v>
      </c>
    </row>
    <row r="194" spans="3:120" x14ac:dyDescent="0.35">
      <c r="C194" s="2">
        <v>193</v>
      </c>
      <c r="D194" s="3">
        <v>44057</v>
      </c>
      <c r="E194" s="1">
        <v>114.709602</v>
      </c>
      <c r="F194" s="1">
        <f t="shared" si="30"/>
        <v>102.58202242692767</v>
      </c>
      <c r="Q194" s="2">
        <v>193</v>
      </c>
      <c r="R194" s="3">
        <v>44057</v>
      </c>
      <c r="S194" s="1">
        <v>160.279999</v>
      </c>
      <c r="T194" s="1">
        <f t="shared" si="31"/>
        <v>155.59156684626117</v>
      </c>
      <c r="AC194" s="5"/>
      <c r="AD194" s="5">
        <f t="shared" si="32"/>
        <v>12.127579573072339</v>
      </c>
      <c r="AU194" s="5">
        <f t="shared" si="33"/>
        <v>12.127579573072339</v>
      </c>
      <c r="BH194" s="5">
        <v>8.098705560406799</v>
      </c>
      <c r="BI194">
        <f>STANDARDIZE(BH194,AVERAGE($BH$2:$BH$253),_xlfn.STDEV.S($BH$2:$BH$253))</f>
        <v>0.78965680900580382</v>
      </c>
      <c r="BJ194" s="16"/>
      <c r="BK194">
        <f t="shared" si="41"/>
        <v>193</v>
      </c>
      <c r="BL194">
        <f t="shared" si="34"/>
        <v>0.76388888888888884</v>
      </c>
      <c r="BM194" s="5">
        <f t="shared" si="35"/>
        <v>0.71886805282271604</v>
      </c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>
        <f t="shared" si="36"/>
        <v>4.6884321537388303</v>
      </c>
      <c r="CW194" s="5">
        <f t="shared" si="37"/>
        <v>4.6884321537388303</v>
      </c>
      <c r="DK194" s="5">
        <v>13.886264875206422</v>
      </c>
      <c r="DL194" s="5">
        <f t="shared" si="38"/>
        <v>-1.0871781557780544</v>
      </c>
      <c r="DN194">
        <f t="shared" si="42"/>
        <v>193</v>
      </c>
      <c r="DO194" s="8">
        <f t="shared" si="39"/>
        <v>0.76388888888888884</v>
      </c>
      <c r="DP194">
        <f t="shared" si="40"/>
        <v>0.71886805282271604</v>
      </c>
    </row>
    <row r="195" spans="3:120" x14ac:dyDescent="0.35">
      <c r="C195" s="2">
        <v>194</v>
      </c>
      <c r="D195" s="3">
        <v>44060</v>
      </c>
      <c r="E195" s="1">
        <v>114.41011</v>
      </c>
      <c r="F195" s="1">
        <f t="shared" ref="F195:F258" si="43">$B$5*C195+$B$6</f>
        <v>102.82559479528206</v>
      </c>
      <c r="Q195" s="2">
        <v>194</v>
      </c>
      <c r="R195" s="3">
        <v>44060</v>
      </c>
      <c r="S195" s="1">
        <v>158.759995</v>
      </c>
      <c r="T195" s="1">
        <f t="shared" ref="T195:T258" si="44">$P$5*Q195+$P$6</f>
        <v>155.56017758896661</v>
      </c>
      <c r="AC195" s="5"/>
      <c r="AD195" s="5">
        <f t="shared" ref="AD195:AD258" si="45">E195-F195</f>
        <v>11.584515204717945</v>
      </c>
      <c r="AU195" s="5">
        <f t="shared" ref="AU195:AU253" si="46">E195-F195</f>
        <v>11.584515204717945</v>
      </c>
      <c r="BG195" t="s">
        <v>65</v>
      </c>
      <c r="BH195" s="5">
        <v>8.1384162971155831</v>
      </c>
      <c r="BI195">
        <f>STANDARDIZE(BH195,AVERAGE($BH$2:$BH$253),_xlfn.STDEV.S($BH$2:$BH$253))</f>
        <v>0.79365184409548184</v>
      </c>
      <c r="BJ195" s="16"/>
      <c r="BK195">
        <f t="shared" si="41"/>
        <v>194</v>
      </c>
      <c r="BL195">
        <f t="shared" ref="BL195:BL253" si="47">(BK195-0.5)/252</f>
        <v>0.7678571428571429</v>
      </c>
      <c r="BM195" s="5">
        <f t="shared" ref="BM195:BM253" si="48">_xlfn.NORM.S.INV(BL195)</f>
        <v>0.73180808385961771</v>
      </c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>
        <f t="shared" ref="CH195:CH253" si="49">S195-T195</f>
        <v>3.1998174110333935</v>
      </c>
      <c r="CW195" s="5">
        <f t="shared" ref="CW195:CW258" si="50">S195-T195</f>
        <v>3.1998174110333935</v>
      </c>
      <c r="DK195" s="5">
        <v>13.911548933562869</v>
      </c>
      <c r="DL195" s="5">
        <f t="shared" ref="DL195:DL253" si="51">STANDARDIZE(DK195, AVERAGE(DK195:DK446),_xlfn.STDEV.S(DK195:DK446))</f>
        <v>-1.1001824310020274</v>
      </c>
      <c r="DN195">
        <f t="shared" si="42"/>
        <v>194</v>
      </c>
      <c r="DO195" s="8">
        <f t="shared" ref="DO195:DO253" si="52">(DN195-0.5)/252</f>
        <v>0.7678571428571429</v>
      </c>
      <c r="DP195">
        <f t="shared" ref="DP195:DP253" si="53">_xlfn.NORM.S.INV(DO195)</f>
        <v>0.73180808385961771</v>
      </c>
    </row>
    <row r="196" spans="3:120" x14ac:dyDescent="0.35">
      <c r="C196" s="2">
        <v>195</v>
      </c>
      <c r="D196" s="3">
        <v>44061</v>
      </c>
      <c r="E196" s="1">
        <v>115.363472</v>
      </c>
      <c r="F196" s="1">
        <f t="shared" si="43"/>
        <v>103.06916716363645</v>
      </c>
      <c r="Q196" s="2">
        <v>195</v>
      </c>
      <c r="R196" s="3">
        <v>44061</v>
      </c>
      <c r="S196" s="1">
        <v>157.38000500000001</v>
      </c>
      <c r="T196" s="1">
        <f t="shared" si="44"/>
        <v>155.52878833167208</v>
      </c>
      <c r="AC196" s="5"/>
      <c r="AD196" s="5">
        <f t="shared" si="45"/>
        <v>12.294304836363551</v>
      </c>
      <c r="AU196" s="5">
        <f t="shared" si="46"/>
        <v>12.294304836363551</v>
      </c>
      <c r="BH196" s="5">
        <v>8.1642818882618684</v>
      </c>
      <c r="BI196">
        <f>STANDARDIZE(BH196,AVERAGE($BH$2:$BH$253),_xlfn.STDEV.S($BH$2:$BH$253))</f>
        <v>0.79625401048192956</v>
      </c>
      <c r="BJ196" s="16"/>
      <c r="BK196">
        <f t="shared" ref="BK196:BK253" si="54">BK195+1</f>
        <v>195</v>
      </c>
      <c r="BL196">
        <f t="shared" si="47"/>
        <v>0.77182539682539686</v>
      </c>
      <c r="BM196" s="5">
        <f t="shared" si="48"/>
        <v>0.74487182975869159</v>
      </c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>
        <f t="shared" si="49"/>
        <v>1.8512166683279361</v>
      </c>
      <c r="CW196" s="5">
        <f t="shared" si="50"/>
        <v>1.8512166683279361</v>
      </c>
      <c r="DK196" s="5">
        <v>13.980845787671768</v>
      </c>
      <c r="DL196" s="5">
        <f t="shared" si="51"/>
        <v>-1.1012356567732335</v>
      </c>
      <c r="DN196">
        <f t="shared" ref="DN196:DN253" si="55">DN195+1</f>
        <v>195</v>
      </c>
      <c r="DO196" s="8">
        <f t="shared" si="52"/>
        <v>0.77182539682539686</v>
      </c>
      <c r="DP196">
        <f t="shared" si="53"/>
        <v>0.74487182975869159</v>
      </c>
    </row>
    <row r="197" spans="3:120" x14ac:dyDescent="0.35">
      <c r="C197" s="2">
        <v>196</v>
      </c>
      <c r="D197" s="3">
        <v>44062</v>
      </c>
      <c r="E197" s="1">
        <v>115.508217</v>
      </c>
      <c r="F197" s="1">
        <f t="shared" si="43"/>
        <v>103.31273953199084</v>
      </c>
      <c r="Q197" s="2">
        <v>196</v>
      </c>
      <c r="R197" s="3">
        <v>44062</v>
      </c>
      <c r="S197" s="1">
        <v>156.85000600000001</v>
      </c>
      <c r="T197" s="1">
        <f t="shared" si="44"/>
        <v>155.49739907437751</v>
      </c>
      <c r="AC197" s="5"/>
      <c r="AD197" s="5">
        <f t="shared" si="45"/>
        <v>12.195477468009159</v>
      </c>
      <c r="AU197" s="5">
        <f t="shared" si="46"/>
        <v>12.195477468009159</v>
      </c>
      <c r="BH197" s="5">
        <v>8.1692151021878772</v>
      </c>
      <c r="BI197">
        <f>STANDARDIZE(BH197,AVERAGE($BH$2:$BH$253),_xlfn.STDEV.S($BH$2:$BH$253))</f>
        <v>0.7967503085708777</v>
      </c>
      <c r="BJ197" s="16"/>
      <c r="BK197">
        <f t="shared" si="54"/>
        <v>196</v>
      </c>
      <c r="BL197">
        <f t="shared" si="47"/>
        <v>0.77579365079365081</v>
      </c>
      <c r="BM197" s="5">
        <f t="shared" si="48"/>
        <v>0.75806395233324275</v>
      </c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>
        <f t="shared" si="49"/>
        <v>1.3526069256224957</v>
      </c>
      <c r="CW197" s="5">
        <f t="shared" si="50"/>
        <v>1.3526069256224957</v>
      </c>
      <c r="DK197" s="5">
        <v>14.026753840718754</v>
      </c>
      <c r="DL197" s="5">
        <f t="shared" si="51"/>
        <v>-1.109498634265115</v>
      </c>
      <c r="DN197">
        <f t="shared" si="55"/>
        <v>196</v>
      </c>
      <c r="DO197" s="8">
        <f t="shared" si="52"/>
        <v>0.77579365079365081</v>
      </c>
      <c r="DP197">
        <f t="shared" si="53"/>
        <v>0.75806395233324275</v>
      </c>
    </row>
    <row r="198" spans="3:120" x14ac:dyDescent="0.35">
      <c r="C198" s="2">
        <v>197</v>
      </c>
      <c r="D198" s="3">
        <v>44063</v>
      </c>
      <c r="E198" s="1">
        <v>118.071297</v>
      </c>
      <c r="F198" s="1">
        <f t="shared" si="43"/>
        <v>103.55631190034524</v>
      </c>
      <c r="Q198" s="2">
        <v>197</v>
      </c>
      <c r="R198" s="3">
        <v>44063</v>
      </c>
      <c r="S198" s="1">
        <v>156.16999799999999</v>
      </c>
      <c r="T198" s="1">
        <f t="shared" si="44"/>
        <v>155.46600981708295</v>
      </c>
      <c r="AC198" s="5"/>
      <c r="AD198" s="5">
        <f t="shared" si="45"/>
        <v>14.514985099654766</v>
      </c>
      <c r="AU198" s="5">
        <f t="shared" si="46"/>
        <v>14.514985099654766</v>
      </c>
      <c r="BH198" s="5">
        <v>8.1855569857257251</v>
      </c>
      <c r="BI198">
        <f>STANDARDIZE(BH198,AVERAGE($BH$2:$BH$253),_xlfn.STDEV.S($BH$2:$BH$253))</f>
        <v>0.79839435760083921</v>
      </c>
      <c r="BJ198" s="16"/>
      <c r="BK198">
        <f t="shared" si="54"/>
        <v>197</v>
      </c>
      <c r="BL198">
        <f t="shared" si="47"/>
        <v>0.77976190476190477</v>
      </c>
      <c r="BM198" s="5">
        <f t="shared" si="48"/>
        <v>0.77138934208115728</v>
      </c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>
        <f t="shared" si="49"/>
        <v>0.70398818291704401</v>
      </c>
      <c r="CW198" s="5">
        <f t="shared" si="50"/>
        <v>0.70398818291704401</v>
      </c>
      <c r="DK198" s="5">
        <v>14.054819705446562</v>
      </c>
      <c r="DL198" s="5">
        <f t="shared" si="51"/>
        <v>-1.1237028885563709</v>
      </c>
      <c r="DN198">
        <f t="shared" si="55"/>
        <v>197</v>
      </c>
      <c r="DO198" s="8">
        <f t="shared" si="52"/>
        <v>0.77976190476190477</v>
      </c>
      <c r="DP198">
        <f t="shared" si="53"/>
        <v>0.77138934208115728</v>
      </c>
    </row>
    <row r="199" spans="3:120" x14ac:dyDescent="0.35">
      <c r="C199" s="2">
        <v>198</v>
      </c>
      <c r="D199" s="3">
        <v>44064</v>
      </c>
      <c r="E199" s="1">
        <v>124.1558</v>
      </c>
      <c r="F199" s="1">
        <f t="shared" si="43"/>
        <v>103.79988426869963</v>
      </c>
      <c r="Q199" s="2">
        <v>198</v>
      </c>
      <c r="R199" s="3">
        <v>44064</v>
      </c>
      <c r="S199" s="1">
        <v>157.5</v>
      </c>
      <c r="T199" s="1">
        <f t="shared" si="44"/>
        <v>155.43462055978839</v>
      </c>
      <c r="AC199" s="5"/>
      <c r="AD199" s="5">
        <f t="shared" si="45"/>
        <v>20.355915731300371</v>
      </c>
      <c r="AU199" s="5">
        <f t="shared" si="46"/>
        <v>20.355915731300371</v>
      </c>
      <c r="BH199" s="5">
        <v>8.1909788274976734</v>
      </c>
      <c r="BI199">
        <f>STANDARDIZE(BH199,AVERAGE($BH$2:$BH$253),_xlfn.STDEV.S($BH$2:$BH$253))</f>
        <v>0.79893981331193475</v>
      </c>
      <c r="BJ199" s="16"/>
      <c r="BK199">
        <f t="shared" si="54"/>
        <v>198</v>
      </c>
      <c r="BL199">
        <f t="shared" si="47"/>
        <v>0.78373015873015872</v>
      </c>
      <c r="BM199" s="5">
        <f t="shared" si="48"/>
        <v>0.78485313444643534</v>
      </c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>
        <f t="shared" si="49"/>
        <v>2.0653794402116148</v>
      </c>
      <c r="CW199" s="5">
        <f t="shared" si="50"/>
        <v>2.0653794402116148</v>
      </c>
      <c r="DK199" s="5">
        <v>14.118997355307869</v>
      </c>
      <c r="DL199" s="5">
        <f t="shared" si="51"/>
        <v>-1.1283388264122614</v>
      </c>
      <c r="DN199">
        <f t="shared" si="55"/>
        <v>198</v>
      </c>
      <c r="DO199" s="8">
        <f t="shared" si="52"/>
        <v>0.78373015873015872</v>
      </c>
      <c r="DP199">
        <f t="shared" si="53"/>
        <v>0.78485313444643534</v>
      </c>
    </row>
    <row r="200" spans="3:120" x14ac:dyDescent="0.35">
      <c r="C200" s="2">
        <v>199</v>
      </c>
      <c r="D200" s="3">
        <v>44067</v>
      </c>
      <c r="E200" s="1">
        <v>125.640739</v>
      </c>
      <c r="F200" s="1">
        <f t="shared" si="43"/>
        <v>104.04345663705402</v>
      </c>
      <c r="Q200" s="2">
        <v>199</v>
      </c>
      <c r="R200" s="3">
        <v>44067</v>
      </c>
      <c r="S200" s="1">
        <v>159.36999499999999</v>
      </c>
      <c r="T200" s="1">
        <f t="shared" si="44"/>
        <v>155.40323130249385</v>
      </c>
      <c r="AC200" s="5"/>
      <c r="AD200" s="5">
        <f t="shared" si="45"/>
        <v>21.597282362945975</v>
      </c>
      <c r="AU200" s="5">
        <f t="shared" si="46"/>
        <v>21.597282362945975</v>
      </c>
      <c r="BH200" s="5">
        <v>8.2938486680030792</v>
      </c>
      <c r="BI200">
        <f>STANDARDIZE(BH200,AVERAGE($BH$2:$BH$253),_xlfn.STDEV.S($BH$2:$BH$253))</f>
        <v>0.80928886892131524</v>
      </c>
      <c r="BJ200" s="16"/>
      <c r="BK200">
        <f t="shared" si="54"/>
        <v>199</v>
      </c>
      <c r="BL200">
        <f t="shared" si="47"/>
        <v>0.78769841269841268</v>
      </c>
      <c r="BM200" s="5">
        <f t="shared" si="48"/>
        <v>0.7984607275425748</v>
      </c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>
        <f t="shared" si="49"/>
        <v>3.9667636975061384</v>
      </c>
      <c r="CW200" s="5">
        <f t="shared" si="50"/>
        <v>3.9667636975061384</v>
      </c>
      <c r="DK200" s="5">
        <v>14.159498044966313</v>
      </c>
      <c r="DL200" s="5">
        <f t="shared" si="51"/>
        <v>-1.1405459814496102</v>
      </c>
      <c r="DN200">
        <f t="shared" si="55"/>
        <v>199</v>
      </c>
      <c r="DO200" s="8">
        <f t="shared" si="52"/>
        <v>0.78769841269841268</v>
      </c>
      <c r="DP200">
        <f t="shared" si="53"/>
        <v>0.7984607275425748</v>
      </c>
    </row>
    <row r="201" spans="3:120" x14ac:dyDescent="0.35">
      <c r="C201" s="2">
        <v>200</v>
      </c>
      <c r="D201" s="3">
        <v>44068</v>
      </c>
      <c r="E201" s="1">
        <v>124.610016</v>
      </c>
      <c r="F201" s="1">
        <f t="shared" si="43"/>
        <v>104.28702900540841</v>
      </c>
      <c r="Q201" s="2">
        <v>200</v>
      </c>
      <c r="R201" s="3">
        <v>44068</v>
      </c>
      <c r="S201" s="1">
        <v>164.529999</v>
      </c>
      <c r="T201" s="1">
        <f t="shared" si="44"/>
        <v>155.37184204519929</v>
      </c>
      <c r="AC201" s="5"/>
      <c r="AD201" s="5">
        <f t="shared" si="45"/>
        <v>20.322986994591588</v>
      </c>
      <c r="AU201" s="5">
        <f t="shared" si="46"/>
        <v>20.322986994591588</v>
      </c>
      <c r="BH201" s="5">
        <v>8.3022224553436317</v>
      </c>
      <c r="BI201">
        <f>STANDARDIZE(BH201,AVERAGE($BH$2:$BH$253),_xlfn.STDEV.S($BH$2:$BH$253))</f>
        <v>0.81013130039027381</v>
      </c>
      <c r="BJ201" s="16"/>
      <c r="BK201">
        <f t="shared" si="54"/>
        <v>200</v>
      </c>
      <c r="BL201">
        <f t="shared" si="47"/>
        <v>0.79166666666666663</v>
      </c>
      <c r="BM201" s="5">
        <f t="shared" si="48"/>
        <v>0.81221780149991241</v>
      </c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>
        <f t="shared" si="49"/>
        <v>9.1581569548007167</v>
      </c>
      <c r="CW201" s="5">
        <f t="shared" si="50"/>
        <v>9.1581569548007167</v>
      </c>
      <c r="DK201" s="5">
        <v>14.227058159048283</v>
      </c>
      <c r="DL201" s="5">
        <f t="shared" si="51"/>
        <v>-1.1457744494144622</v>
      </c>
      <c r="DN201">
        <f t="shared" si="55"/>
        <v>200</v>
      </c>
      <c r="DO201" s="8">
        <f t="shared" si="52"/>
        <v>0.79166666666666663</v>
      </c>
      <c r="DP201">
        <f t="shared" si="53"/>
        <v>0.81221780149991241</v>
      </c>
    </row>
    <row r="202" spans="3:120" x14ac:dyDescent="0.35">
      <c r="C202" s="2">
        <v>201</v>
      </c>
      <c r="D202" s="3">
        <v>44069</v>
      </c>
      <c r="E202" s="1">
        <v>126.304596</v>
      </c>
      <c r="F202" s="1">
        <f t="shared" si="43"/>
        <v>104.53060137376281</v>
      </c>
      <c r="Q202" s="2">
        <v>201</v>
      </c>
      <c r="R202" s="3">
        <v>44069</v>
      </c>
      <c r="S202" s="1">
        <v>165.30999800000001</v>
      </c>
      <c r="T202" s="1">
        <f t="shared" si="44"/>
        <v>155.34045278790472</v>
      </c>
      <c r="AC202" s="5"/>
      <c r="AD202" s="5">
        <f t="shared" si="45"/>
        <v>21.773994626237197</v>
      </c>
      <c r="AU202" s="5">
        <f t="shared" si="46"/>
        <v>21.773994626237197</v>
      </c>
      <c r="BH202" s="5">
        <v>8.3219794591432787</v>
      </c>
      <c r="BI202">
        <f>STANDARDIZE(BH202,AVERAGE($BH$2:$BH$253),_xlfn.STDEV.S($BH$2:$BH$253))</f>
        <v>0.81211892212656445</v>
      </c>
      <c r="BJ202" s="16"/>
      <c r="BK202">
        <f t="shared" si="54"/>
        <v>201</v>
      </c>
      <c r="BL202">
        <f t="shared" si="47"/>
        <v>0.79563492063492058</v>
      </c>
      <c r="BM202" s="5">
        <f t="shared" si="48"/>
        <v>0.82613033962053162</v>
      </c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>
        <f t="shared" si="49"/>
        <v>9.9695452120952837</v>
      </c>
      <c r="CW202" s="5">
        <f t="shared" si="50"/>
        <v>9.9695452120952837</v>
      </c>
      <c r="DK202" s="5">
        <v>14.885060782362302</v>
      </c>
      <c r="DL202" s="5">
        <f t="shared" si="51"/>
        <v>-0.97680419255361961</v>
      </c>
      <c r="DN202">
        <f t="shared" si="55"/>
        <v>201</v>
      </c>
      <c r="DO202" s="8">
        <f t="shared" si="52"/>
        <v>0.79563492063492058</v>
      </c>
      <c r="DP202">
        <f t="shared" si="53"/>
        <v>0.82613033962053162</v>
      </c>
    </row>
    <row r="203" spans="3:120" x14ac:dyDescent="0.35">
      <c r="C203" s="2">
        <v>202</v>
      </c>
      <c r="D203" s="3">
        <v>44070</v>
      </c>
      <c r="E203" s="1">
        <v>124.794701</v>
      </c>
      <c r="F203" s="1">
        <f t="shared" si="43"/>
        <v>104.7741737421172</v>
      </c>
      <c r="Q203" s="2">
        <v>202</v>
      </c>
      <c r="R203" s="3">
        <v>44070</v>
      </c>
      <c r="S203" s="1">
        <v>165.990005</v>
      </c>
      <c r="T203" s="1">
        <f t="shared" si="44"/>
        <v>155.30906353061016</v>
      </c>
      <c r="AC203" s="5"/>
      <c r="AD203" s="5">
        <f t="shared" si="45"/>
        <v>20.020527257882804</v>
      </c>
      <c r="AU203" s="5">
        <f t="shared" si="46"/>
        <v>20.020527257882804</v>
      </c>
      <c r="BH203" s="5">
        <v>8.3229444705422679</v>
      </c>
      <c r="BI203">
        <f>STANDARDIZE(BH203,AVERAGE($BH$2:$BH$253),_xlfn.STDEV.S($BH$2:$BH$253))</f>
        <v>0.81221600555337603</v>
      </c>
      <c r="BJ203" s="16"/>
      <c r="BK203">
        <f t="shared" si="54"/>
        <v>202</v>
      </c>
      <c r="BL203">
        <f t="shared" si="47"/>
        <v>0.79960317460317465</v>
      </c>
      <c r="BM203" s="5">
        <f t="shared" si="48"/>
        <v>0.84020465154900847</v>
      </c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>
        <f t="shared" si="49"/>
        <v>10.680941469389836</v>
      </c>
      <c r="CW203" s="5">
        <f t="shared" si="50"/>
        <v>10.680941469389836</v>
      </c>
      <c r="DK203" s="5">
        <v>14.941749098013304</v>
      </c>
      <c r="DL203" s="5">
        <f t="shared" si="51"/>
        <v>-0.97890099771884553</v>
      </c>
      <c r="DN203">
        <f t="shared" si="55"/>
        <v>202</v>
      </c>
      <c r="DO203" s="8">
        <f t="shared" si="52"/>
        <v>0.79960317460317465</v>
      </c>
      <c r="DP203">
        <f t="shared" si="53"/>
        <v>0.84020465154900847</v>
      </c>
    </row>
    <row r="204" spans="3:120" x14ac:dyDescent="0.35">
      <c r="C204" s="2">
        <v>203</v>
      </c>
      <c r="D204" s="3">
        <v>44071</v>
      </c>
      <c r="E204" s="1">
        <v>124.592552</v>
      </c>
      <c r="F204" s="1">
        <f t="shared" si="43"/>
        <v>105.01774611047159</v>
      </c>
      <c r="Q204" s="2">
        <v>203</v>
      </c>
      <c r="R204" s="3">
        <v>44071</v>
      </c>
      <c r="S204" s="1">
        <v>168.38000500000001</v>
      </c>
      <c r="T204" s="1">
        <f t="shared" si="44"/>
        <v>155.27767427331563</v>
      </c>
      <c r="AC204" s="5"/>
      <c r="AD204" s="5">
        <f t="shared" si="45"/>
        <v>19.574805889528406</v>
      </c>
      <c r="AU204" s="5">
        <f t="shared" si="46"/>
        <v>19.574805889528406</v>
      </c>
      <c r="BH204" s="5">
        <v>8.3880720869892329</v>
      </c>
      <c r="BI204">
        <f>STANDARDIZE(BH204,AVERAGE($BH$2:$BH$253),_xlfn.STDEV.S($BH$2:$BH$253))</f>
        <v>0.81876806513667666</v>
      </c>
      <c r="BJ204" s="16"/>
      <c r="BK204">
        <f t="shared" si="54"/>
        <v>203</v>
      </c>
      <c r="BL204">
        <f t="shared" si="47"/>
        <v>0.8035714285714286</v>
      </c>
      <c r="BM204" s="5">
        <f t="shared" si="48"/>
        <v>0.85444739869598973</v>
      </c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>
        <f t="shared" si="49"/>
        <v>13.102330726684386</v>
      </c>
      <c r="CW204" s="5">
        <f t="shared" si="50"/>
        <v>13.102330726684386</v>
      </c>
      <c r="DK204" s="5">
        <v>15.071227010478623</v>
      </c>
      <c r="DL204" s="5">
        <f t="shared" si="51"/>
        <v>-0.95991808743055906</v>
      </c>
      <c r="DN204">
        <f t="shared" si="55"/>
        <v>203</v>
      </c>
      <c r="DO204" s="8">
        <f t="shared" si="52"/>
        <v>0.8035714285714286</v>
      </c>
      <c r="DP204">
        <f t="shared" si="53"/>
        <v>0.85444739869598973</v>
      </c>
    </row>
    <row r="205" spans="3:120" x14ac:dyDescent="0.35">
      <c r="C205" s="2">
        <v>204</v>
      </c>
      <c r="D205" s="3">
        <v>44074</v>
      </c>
      <c r="E205" s="1">
        <v>128.81774899999999</v>
      </c>
      <c r="F205" s="1">
        <f t="shared" si="43"/>
        <v>105.26131847882597</v>
      </c>
      <c r="Q205" s="2">
        <v>204</v>
      </c>
      <c r="R205" s="3">
        <v>44074</v>
      </c>
      <c r="S205" s="1">
        <v>165.550003</v>
      </c>
      <c r="T205" s="1">
        <f t="shared" si="44"/>
        <v>155.24628501602106</v>
      </c>
      <c r="AC205" s="5"/>
      <c r="AD205" s="5">
        <f t="shared" si="45"/>
        <v>23.556430521174022</v>
      </c>
      <c r="AU205" s="5">
        <f t="shared" si="46"/>
        <v>23.556430521174022</v>
      </c>
      <c r="BG205" t="s">
        <v>66</v>
      </c>
      <c r="BH205" s="5">
        <v>8.401290928761199</v>
      </c>
      <c r="BI205">
        <f>STANDARDIZE(BH205,AVERAGE($BH$2:$BH$253),_xlfn.STDEV.S($BH$2:$BH$253))</f>
        <v>0.82009792554977301</v>
      </c>
      <c r="BJ205" s="16"/>
      <c r="BK205">
        <f t="shared" si="54"/>
        <v>204</v>
      </c>
      <c r="BL205">
        <f t="shared" si="47"/>
        <v>0.80753968253968256</v>
      </c>
      <c r="BM205" s="5">
        <f t="shared" si="48"/>
        <v>0.8688656221847797</v>
      </c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>
        <f t="shared" si="49"/>
        <v>10.303717983978942</v>
      </c>
      <c r="CW205" s="5">
        <f t="shared" si="50"/>
        <v>10.303717983978942</v>
      </c>
      <c r="DK205" s="5">
        <v>15.095101296951412</v>
      </c>
      <c r="DL205" s="5">
        <f t="shared" si="51"/>
        <v>-0.97183576442206876</v>
      </c>
      <c r="DN205">
        <f t="shared" si="55"/>
        <v>204</v>
      </c>
      <c r="DO205" s="8">
        <f t="shared" si="52"/>
        <v>0.80753968253968256</v>
      </c>
      <c r="DP205">
        <f t="shared" si="53"/>
        <v>0.8688656221847797</v>
      </c>
    </row>
    <row r="206" spans="3:120" x14ac:dyDescent="0.35">
      <c r="C206" s="2">
        <v>205</v>
      </c>
      <c r="D206" s="3">
        <v>44075</v>
      </c>
      <c r="E206" s="1">
        <v>133.94889800000001</v>
      </c>
      <c r="F206" s="1">
        <f t="shared" si="43"/>
        <v>105.50489084718036</v>
      </c>
      <c r="Q206" s="2">
        <v>205</v>
      </c>
      <c r="R206" s="3">
        <v>44075</v>
      </c>
      <c r="S206" s="1">
        <v>167.970001</v>
      </c>
      <c r="T206" s="1">
        <f t="shared" si="44"/>
        <v>155.2148957587265</v>
      </c>
      <c r="AC206" s="5"/>
      <c r="AD206" s="5">
        <f t="shared" si="45"/>
        <v>28.444007152819651</v>
      </c>
      <c r="AU206" s="5">
        <f t="shared" si="46"/>
        <v>28.444007152819651</v>
      </c>
      <c r="BH206" s="5">
        <v>8.4094073540801162</v>
      </c>
      <c r="BI206">
        <f>STANDARDIZE(BH206,AVERAGE($BH$2:$BH$253),_xlfn.STDEV.S($BH$2:$BH$253))</f>
        <v>0.82091446552458169</v>
      </c>
      <c r="BJ206" s="16"/>
      <c r="BK206">
        <f t="shared" si="54"/>
        <v>205</v>
      </c>
      <c r="BL206">
        <f t="shared" si="47"/>
        <v>0.81150793650793651</v>
      </c>
      <c r="BM206" s="5">
        <f t="shared" si="48"/>
        <v>0.88346677362987858</v>
      </c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>
        <f t="shared" si="49"/>
        <v>12.755105241273498</v>
      </c>
      <c r="CW206" s="5">
        <f t="shared" si="50"/>
        <v>12.755105241273498</v>
      </c>
      <c r="DK206" s="5">
        <v>15.098996814219049</v>
      </c>
      <c r="DL206" s="5">
        <f t="shared" si="51"/>
        <v>-0.99055202271197651</v>
      </c>
      <c r="DN206">
        <f t="shared" si="55"/>
        <v>205</v>
      </c>
      <c r="DO206" s="8">
        <f t="shared" si="52"/>
        <v>0.81150793650793651</v>
      </c>
      <c r="DP206">
        <f t="shared" si="53"/>
        <v>0.88346677362987858</v>
      </c>
    </row>
    <row r="207" spans="3:120" x14ac:dyDescent="0.35">
      <c r="C207" s="2">
        <v>206</v>
      </c>
      <c r="D207" s="3">
        <v>44076</v>
      </c>
      <c r="E207" s="1">
        <v>131.17369099999999</v>
      </c>
      <c r="F207" s="1">
        <f t="shared" si="43"/>
        <v>105.74846321553476</v>
      </c>
      <c r="Q207" s="2">
        <v>206</v>
      </c>
      <c r="R207" s="3">
        <v>44076</v>
      </c>
      <c r="S207" s="1">
        <v>172.470001</v>
      </c>
      <c r="T207" s="1">
        <f t="shared" si="44"/>
        <v>155.18350650143196</v>
      </c>
      <c r="AC207" s="5"/>
      <c r="AD207" s="5">
        <f t="shared" si="45"/>
        <v>25.425227784465235</v>
      </c>
      <c r="AU207" s="5">
        <f t="shared" si="46"/>
        <v>25.425227784465235</v>
      </c>
      <c r="BH207" s="5">
        <v>8.4448739325608528</v>
      </c>
      <c r="BI207">
        <f>STANDARDIZE(BH207,AVERAGE($BH$2:$BH$253),_xlfn.STDEV.S($BH$2:$BH$253))</f>
        <v>0.82448252387062648</v>
      </c>
      <c r="BJ207" s="16"/>
      <c r="BK207">
        <f t="shared" si="54"/>
        <v>206</v>
      </c>
      <c r="BL207">
        <f t="shared" si="47"/>
        <v>0.81547619047619047</v>
      </c>
      <c r="BM207" s="5">
        <f t="shared" si="48"/>
        <v>0.89825874910156867</v>
      </c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>
        <f t="shared" si="49"/>
        <v>17.286494498568032</v>
      </c>
      <c r="CW207" s="5">
        <f t="shared" si="50"/>
        <v>17.286494498568032</v>
      </c>
      <c r="DK207" s="5">
        <v>15.12550555955545</v>
      </c>
      <c r="DL207" s="5">
        <f t="shared" si="51"/>
        <v>-1.0038103550729363</v>
      </c>
      <c r="DN207">
        <f t="shared" si="55"/>
        <v>206</v>
      </c>
      <c r="DO207" s="8">
        <f t="shared" si="52"/>
        <v>0.81547619047619047</v>
      </c>
      <c r="DP207">
        <f t="shared" si="53"/>
        <v>0.89825874910156867</v>
      </c>
    </row>
    <row r="208" spans="3:120" x14ac:dyDescent="0.35">
      <c r="C208" s="2">
        <v>207</v>
      </c>
      <c r="D208" s="3">
        <v>44077</v>
      </c>
      <c r="E208" s="1">
        <v>120.671806</v>
      </c>
      <c r="F208" s="1">
        <f t="shared" si="43"/>
        <v>105.99203558388915</v>
      </c>
      <c r="Q208" s="2">
        <v>207</v>
      </c>
      <c r="R208" s="3">
        <v>44077</v>
      </c>
      <c r="S208" s="1">
        <v>166.300003</v>
      </c>
      <c r="T208" s="1">
        <f t="shared" si="44"/>
        <v>155.1521172441374</v>
      </c>
      <c r="AC208" s="5"/>
      <c r="AD208" s="5">
        <f t="shared" si="45"/>
        <v>14.679770416110856</v>
      </c>
      <c r="AU208" s="5">
        <f t="shared" si="46"/>
        <v>14.679770416110856</v>
      </c>
      <c r="BH208" s="5">
        <v>8.4722061920524112</v>
      </c>
      <c r="BI208">
        <f>STANDARDIZE(BH208,AVERAGE($BH$2:$BH$253),_xlfn.STDEV.S($BH$2:$BH$253))</f>
        <v>0.82723224207781365</v>
      </c>
      <c r="BJ208" s="16"/>
      <c r="BK208">
        <f t="shared" si="54"/>
        <v>207</v>
      </c>
      <c r="BL208">
        <f t="shared" si="47"/>
        <v>0.81944444444444442</v>
      </c>
      <c r="BM208" s="5">
        <f t="shared" si="48"/>
        <v>0.91324992668360727</v>
      </c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>
        <f t="shared" si="49"/>
        <v>11.147885755862603</v>
      </c>
      <c r="CW208" s="5">
        <f t="shared" si="50"/>
        <v>11.147885755862603</v>
      </c>
      <c r="DK208" s="5">
        <v>15.145301273082652</v>
      </c>
      <c r="DL208" s="5">
        <f t="shared" si="51"/>
        <v>-1.0201125889366693</v>
      </c>
      <c r="DN208">
        <f t="shared" si="55"/>
        <v>207</v>
      </c>
      <c r="DO208" s="8">
        <f t="shared" si="52"/>
        <v>0.81944444444444442</v>
      </c>
      <c r="DP208">
        <f t="shared" si="53"/>
        <v>0.91324992668360727</v>
      </c>
    </row>
    <row r="209" spans="3:120" x14ac:dyDescent="0.35">
      <c r="C209" s="2">
        <v>208</v>
      </c>
      <c r="D209" s="3">
        <v>44078</v>
      </c>
      <c r="E209" s="1">
        <v>120.751671</v>
      </c>
      <c r="F209" s="1">
        <f t="shared" si="43"/>
        <v>106.23560795224354</v>
      </c>
      <c r="Q209" s="2">
        <v>208</v>
      </c>
      <c r="R209" s="3">
        <v>44078</v>
      </c>
      <c r="S209" s="1">
        <v>166.69000199999999</v>
      </c>
      <c r="T209" s="1">
        <f t="shared" si="44"/>
        <v>155.12072798684284</v>
      </c>
      <c r="AC209" s="5"/>
      <c r="AD209" s="5">
        <f t="shared" si="45"/>
        <v>14.516063047756461</v>
      </c>
      <c r="AU209" s="5">
        <f t="shared" si="46"/>
        <v>14.516063047756461</v>
      </c>
      <c r="BH209" s="5">
        <v>8.6329412996486923</v>
      </c>
      <c r="BI209">
        <f>STANDARDIZE(BH209,AVERAGE($BH$2:$BH$253),_xlfn.STDEV.S($BH$2:$BH$253))</f>
        <v>0.8434027402405504</v>
      </c>
      <c r="BJ209" s="16"/>
      <c r="BK209">
        <f t="shared" si="54"/>
        <v>208</v>
      </c>
      <c r="BL209">
        <f t="shared" si="47"/>
        <v>0.82341269841269837</v>
      </c>
      <c r="BM209" s="5">
        <f t="shared" si="48"/>
        <v>0.92844920809329989</v>
      </c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>
        <f t="shared" si="49"/>
        <v>11.569274013157155</v>
      </c>
      <c r="CW209" s="5">
        <f t="shared" si="50"/>
        <v>11.569274013157155</v>
      </c>
      <c r="DK209" s="5">
        <v>15.199764904384637</v>
      </c>
      <c r="DL209" s="5">
        <f t="shared" si="51"/>
        <v>-1.0274133817311408</v>
      </c>
      <c r="DN209">
        <f t="shared" si="55"/>
        <v>208</v>
      </c>
      <c r="DO209" s="8">
        <f t="shared" si="52"/>
        <v>0.82341269841269837</v>
      </c>
      <c r="DP209">
        <f t="shared" si="53"/>
        <v>0.92844920809329989</v>
      </c>
    </row>
    <row r="210" spans="3:120" x14ac:dyDescent="0.35">
      <c r="C210" s="2">
        <v>209</v>
      </c>
      <c r="D210" s="3">
        <v>44082</v>
      </c>
      <c r="E210" s="1">
        <v>112.625694</v>
      </c>
      <c r="F210" s="1">
        <f t="shared" si="43"/>
        <v>106.47918032059793</v>
      </c>
      <c r="Q210" s="2">
        <v>209</v>
      </c>
      <c r="R210" s="3">
        <v>44082</v>
      </c>
      <c r="S210" s="1">
        <v>164.270004</v>
      </c>
      <c r="T210" s="1">
        <f t="shared" si="44"/>
        <v>155.08933872954827</v>
      </c>
      <c r="AC210" s="5"/>
      <c r="AD210" s="5">
        <f t="shared" si="45"/>
        <v>6.1465136794020623</v>
      </c>
      <c r="AU210" s="5">
        <f t="shared" si="46"/>
        <v>6.1465136794020623</v>
      </c>
      <c r="BH210" s="5">
        <v>8.6456555199074785</v>
      </c>
      <c r="BI210">
        <f>STANDARDIZE(BH210,AVERAGE($BH$2:$BH$253),_xlfn.STDEV.S($BH$2:$BH$253))</f>
        <v>0.8446818340142126</v>
      </c>
      <c r="BJ210" s="16"/>
      <c r="BK210">
        <f t="shared" si="54"/>
        <v>209</v>
      </c>
      <c r="BL210">
        <f t="shared" si="47"/>
        <v>0.82738095238095233</v>
      </c>
      <c r="BM210" s="5">
        <f t="shared" si="48"/>
        <v>0.94386606490653491</v>
      </c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>
        <f t="shared" si="49"/>
        <v>9.1806652704517262</v>
      </c>
      <c r="CW210" s="5">
        <f t="shared" si="50"/>
        <v>9.1806652704517262</v>
      </c>
      <c r="DK210" s="5">
        <v>15.411068753184082</v>
      </c>
      <c r="DL210" s="5">
        <f t="shared" si="51"/>
        <v>-0.98911995882884651</v>
      </c>
      <c r="DN210">
        <f t="shared" si="55"/>
        <v>209</v>
      </c>
      <c r="DO210" s="8">
        <f t="shared" si="52"/>
        <v>0.82738095238095233</v>
      </c>
      <c r="DP210">
        <f t="shared" si="53"/>
        <v>0.94386606490653491</v>
      </c>
    </row>
    <row r="211" spans="3:120" x14ac:dyDescent="0.35">
      <c r="C211" s="2">
        <v>210</v>
      </c>
      <c r="D211" s="3">
        <v>44083</v>
      </c>
      <c r="E211" s="1">
        <v>117.117943</v>
      </c>
      <c r="F211" s="1">
        <f t="shared" si="43"/>
        <v>106.72275268895233</v>
      </c>
      <c r="Q211" s="2">
        <v>210</v>
      </c>
      <c r="R211" s="3">
        <v>44083</v>
      </c>
      <c r="S211" s="1">
        <v>165.75</v>
      </c>
      <c r="T211" s="1">
        <f t="shared" si="44"/>
        <v>155.05794947225374</v>
      </c>
      <c r="AC211" s="5"/>
      <c r="AD211" s="5">
        <f t="shared" si="45"/>
        <v>10.395190311047671</v>
      </c>
      <c r="AU211" s="5">
        <f t="shared" si="46"/>
        <v>10.395190311047671</v>
      </c>
      <c r="BH211" s="5">
        <v>8.7981781515530884</v>
      </c>
      <c r="BI211">
        <f>STANDARDIZE(BH211,AVERAGE($BH$2:$BH$253),_xlfn.STDEV.S($BH$2:$BH$253))</f>
        <v>0.86002612918211019</v>
      </c>
      <c r="BJ211" s="16"/>
      <c r="BK211">
        <f t="shared" si="54"/>
        <v>210</v>
      </c>
      <c r="BL211">
        <f t="shared" si="47"/>
        <v>0.83134920634920639</v>
      </c>
      <c r="BM211" s="5">
        <f t="shared" si="48"/>
        <v>0.95951059001724914</v>
      </c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>
        <f t="shared" si="49"/>
        <v>10.692050527746261</v>
      </c>
      <c r="CW211" s="5">
        <f t="shared" si="50"/>
        <v>10.692050527746261</v>
      </c>
      <c r="DK211" s="5">
        <v>15.440669554245972</v>
      </c>
      <c r="DL211" s="5">
        <f t="shared" si="51"/>
        <v>-1.0033641885015661</v>
      </c>
      <c r="DN211">
        <f t="shared" si="55"/>
        <v>210</v>
      </c>
      <c r="DO211" s="8">
        <f t="shared" si="52"/>
        <v>0.83134920634920639</v>
      </c>
      <c r="DP211">
        <f t="shared" si="53"/>
        <v>0.95951059001724914</v>
      </c>
    </row>
    <row r="212" spans="3:120" x14ac:dyDescent="0.35">
      <c r="C212" s="2">
        <v>211</v>
      </c>
      <c r="D212" s="3">
        <v>44084</v>
      </c>
      <c r="E212" s="1">
        <v>113.29454</v>
      </c>
      <c r="F212" s="1">
        <f t="shared" si="43"/>
        <v>106.96632505730672</v>
      </c>
      <c r="Q212" s="2">
        <v>211</v>
      </c>
      <c r="R212" s="3">
        <v>44084</v>
      </c>
      <c r="S212" s="1">
        <v>164.270004</v>
      </c>
      <c r="T212" s="1">
        <f t="shared" si="44"/>
        <v>155.02656021495918</v>
      </c>
      <c r="AC212" s="5"/>
      <c r="AD212" s="5">
        <f t="shared" si="45"/>
        <v>6.328214942693279</v>
      </c>
      <c r="AU212" s="5">
        <f t="shared" si="46"/>
        <v>6.328214942693279</v>
      </c>
      <c r="BH212" s="5">
        <v>8.8405075642064617</v>
      </c>
      <c r="BI212">
        <f>STANDARDIZE(BH212,AVERAGE($BH$2:$BH$253),_xlfn.STDEV.S($BH$2:$BH$253))</f>
        <v>0.86428461197269213</v>
      </c>
      <c r="BJ212" s="16"/>
      <c r="BK212">
        <f t="shared" si="54"/>
        <v>211</v>
      </c>
      <c r="BL212">
        <f t="shared" si="47"/>
        <v>0.83531746031746035</v>
      </c>
      <c r="BM212" s="5">
        <f t="shared" si="48"/>
        <v>0.97539355506375336</v>
      </c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>
        <f t="shared" si="49"/>
        <v>9.2434437850408244</v>
      </c>
      <c r="CW212" s="5">
        <f t="shared" si="50"/>
        <v>9.2434437850408244</v>
      </c>
      <c r="DK212" s="5">
        <v>15.470382071513626</v>
      </c>
      <c r="DL212" s="5">
        <f t="shared" si="51"/>
        <v>-1.0188303933050333</v>
      </c>
      <c r="DN212">
        <f t="shared" si="55"/>
        <v>211</v>
      </c>
      <c r="DO212" s="8">
        <f t="shared" si="52"/>
        <v>0.83531746031746035</v>
      </c>
      <c r="DP212">
        <f t="shared" si="53"/>
        <v>0.97539355506375336</v>
      </c>
    </row>
    <row r="213" spans="3:120" x14ac:dyDescent="0.35">
      <c r="C213" s="2">
        <v>212</v>
      </c>
      <c r="D213" s="3">
        <v>44085</v>
      </c>
      <c r="E213" s="1">
        <v>111.807106</v>
      </c>
      <c r="F213" s="1">
        <f t="shared" si="43"/>
        <v>107.20989742566111</v>
      </c>
      <c r="Q213" s="2">
        <v>212</v>
      </c>
      <c r="R213" s="3">
        <v>44085</v>
      </c>
      <c r="S213" s="1">
        <v>166.449997</v>
      </c>
      <c r="T213" s="1">
        <f t="shared" si="44"/>
        <v>154.99517095766461</v>
      </c>
      <c r="AC213" s="5"/>
      <c r="AD213" s="5">
        <f t="shared" si="45"/>
        <v>4.5972085743388931</v>
      </c>
      <c r="AU213" s="5">
        <f t="shared" si="46"/>
        <v>4.5972085743388931</v>
      </c>
      <c r="BH213" s="5">
        <v>8.9792165629399108</v>
      </c>
      <c r="BI213">
        <f>STANDARDIZE(BH213,AVERAGE($BH$2:$BH$253),_xlfn.STDEV.S($BH$2:$BH$253))</f>
        <v>0.87823920871709493</v>
      </c>
      <c r="BJ213" s="16"/>
      <c r="BK213">
        <f t="shared" si="54"/>
        <v>212</v>
      </c>
      <c r="BL213">
        <f t="shared" si="47"/>
        <v>0.8392857142857143</v>
      </c>
      <c r="BM213" s="5">
        <f t="shared" si="48"/>
        <v>0.99152647467733057</v>
      </c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>
        <f t="shared" si="49"/>
        <v>11.454826042335384</v>
      </c>
      <c r="CW213" s="5">
        <f t="shared" si="50"/>
        <v>11.454826042335384</v>
      </c>
      <c r="DK213" s="5">
        <v>15.477035302260873</v>
      </c>
      <c r="DL213" s="5">
        <f t="shared" si="51"/>
        <v>-1.0425332072051905</v>
      </c>
      <c r="DN213">
        <f t="shared" si="55"/>
        <v>212</v>
      </c>
      <c r="DO213" s="8">
        <f t="shared" si="52"/>
        <v>0.8392857142857143</v>
      </c>
      <c r="DP213">
        <f t="shared" si="53"/>
        <v>0.99152647467733057</v>
      </c>
    </row>
    <row r="214" spans="3:120" x14ac:dyDescent="0.35">
      <c r="C214" s="2">
        <v>213</v>
      </c>
      <c r="D214" s="3">
        <v>44088</v>
      </c>
      <c r="E214" s="1">
        <v>115.161316</v>
      </c>
      <c r="F214" s="1">
        <f t="shared" si="43"/>
        <v>107.4534697940155</v>
      </c>
      <c r="Q214" s="2">
        <v>213</v>
      </c>
      <c r="R214" s="3">
        <v>44088</v>
      </c>
      <c r="S214" s="1">
        <v>168.470001</v>
      </c>
      <c r="T214" s="1">
        <f t="shared" si="44"/>
        <v>154.96378170037005</v>
      </c>
      <c r="AC214" s="5"/>
      <c r="AD214" s="5">
        <f t="shared" si="45"/>
        <v>7.7078462059844952</v>
      </c>
      <c r="AU214" s="5">
        <f t="shared" si="46"/>
        <v>7.7078462059844952</v>
      </c>
      <c r="BH214" s="5">
        <v>9.2271677224345012</v>
      </c>
      <c r="BI214">
        <f>STANDARDIZE(BH214,AVERAGE($BH$2:$BH$253),_xlfn.STDEV.S($BH$2:$BH$253))</f>
        <v>0.90318393814811859</v>
      </c>
      <c r="BJ214" s="16"/>
      <c r="BK214">
        <f t="shared" si="54"/>
        <v>213</v>
      </c>
      <c r="BL214">
        <f t="shared" si="47"/>
        <v>0.84325396825396826</v>
      </c>
      <c r="BM214" s="5">
        <f t="shared" si="48"/>
        <v>1.0079216785556244</v>
      </c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>
        <f t="shared" si="49"/>
        <v>13.506219299629947</v>
      </c>
      <c r="CW214" s="5">
        <f t="shared" si="50"/>
        <v>13.506219299629947</v>
      </c>
      <c r="DK214" s="5">
        <v>16.147894018466616</v>
      </c>
      <c r="DL214" s="5">
        <f t="shared" si="51"/>
        <v>-0.87083538072367084</v>
      </c>
      <c r="DN214">
        <f t="shared" si="55"/>
        <v>213</v>
      </c>
      <c r="DO214" s="8">
        <f t="shared" si="52"/>
        <v>0.84325396825396826</v>
      </c>
      <c r="DP214">
        <f t="shared" si="53"/>
        <v>1.0079216785556244</v>
      </c>
    </row>
    <row r="215" spans="3:120" x14ac:dyDescent="0.35">
      <c r="C215" s="2">
        <v>214</v>
      </c>
      <c r="D215" s="3">
        <v>44089</v>
      </c>
      <c r="E215" s="1">
        <v>115.34101099999999</v>
      </c>
      <c r="F215" s="1">
        <f t="shared" si="43"/>
        <v>107.69704216236988</v>
      </c>
      <c r="Q215" s="2">
        <v>214</v>
      </c>
      <c r="R215" s="3">
        <v>44089</v>
      </c>
      <c r="S215" s="1">
        <v>168.300003</v>
      </c>
      <c r="T215" s="1">
        <f t="shared" si="44"/>
        <v>154.93239244307551</v>
      </c>
      <c r="AC215" s="5"/>
      <c r="AD215" s="5">
        <f t="shared" si="45"/>
        <v>7.643968837630112</v>
      </c>
      <c r="AU215" s="5">
        <f t="shared" si="46"/>
        <v>7.643968837630112</v>
      </c>
      <c r="BH215" s="5">
        <v>9.2553090363574739</v>
      </c>
      <c r="BI215">
        <f>STANDARDIZE(BH215,AVERAGE($BH$2:$BH$253),_xlfn.STDEV.S($BH$2:$BH$253))</f>
        <v>0.90601504998108173</v>
      </c>
      <c r="BJ215" s="16"/>
      <c r="BK215">
        <f t="shared" si="54"/>
        <v>214</v>
      </c>
      <c r="BL215">
        <f t="shared" si="47"/>
        <v>0.84722222222222221</v>
      </c>
      <c r="BM215" s="5">
        <f t="shared" si="48"/>
        <v>1.024592392540099</v>
      </c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>
        <f t="shared" si="49"/>
        <v>13.36761055692449</v>
      </c>
      <c r="CW215" s="5">
        <f t="shared" si="50"/>
        <v>13.36761055692449</v>
      </c>
      <c r="DK215" s="5">
        <v>16.228182525067751</v>
      </c>
      <c r="DL215" s="5">
        <f t="shared" si="51"/>
        <v>-0.86677849173373001</v>
      </c>
      <c r="DN215">
        <f t="shared" si="55"/>
        <v>214</v>
      </c>
      <c r="DO215" s="8">
        <f t="shared" si="52"/>
        <v>0.84722222222222221</v>
      </c>
      <c r="DP215">
        <f t="shared" si="53"/>
        <v>1.024592392540099</v>
      </c>
    </row>
    <row r="216" spans="3:120" x14ac:dyDescent="0.35">
      <c r="C216" s="2">
        <v>215</v>
      </c>
      <c r="D216" s="3">
        <v>44090</v>
      </c>
      <c r="E216" s="1">
        <v>111.936882</v>
      </c>
      <c r="F216" s="1">
        <f t="shared" si="43"/>
        <v>107.94061453072428</v>
      </c>
      <c r="Q216" s="2">
        <v>215</v>
      </c>
      <c r="R216" s="3">
        <v>44090</v>
      </c>
      <c r="S216" s="1">
        <v>170</v>
      </c>
      <c r="T216" s="1">
        <f t="shared" si="44"/>
        <v>154.90100318578095</v>
      </c>
      <c r="AC216" s="5"/>
      <c r="AD216" s="5">
        <f t="shared" si="45"/>
        <v>3.9962674692757219</v>
      </c>
      <c r="AU216" s="5">
        <f t="shared" si="46"/>
        <v>3.9962674692757219</v>
      </c>
      <c r="BH216" s="5">
        <v>9.3775487743328227</v>
      </c>
      <c r="BI216">
        <f>STANDARDIZE(BH216,AVERAGE($BH$2:$BH$253),_xlfn.STDEV.S($BH$2:$BH$253))</f>
        <v>0.9183127831142105</v>
      </c>
      <c r="BJ216" s="16"/>
      <c r="BK216">
        <f t="shared" si="54"/>
        <v>215</v>
      </c>
      <c r="BL216">
        <f t="shared" si="47"/>
        <v>0.85119047619047616</v>
      </c>
      <c r="BM216" s="5">
        <f t="shared" si="48"/>
        <v>1.0415528300904833</v>
      </c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>
        <f t="shared" si="49"/>
        <v>15.098996814219049</v>
      </c>
      <c r="CW216" s="5">
        <f t="shared" si="50"/>
        <v>15.098996814219049</v>
      </c>
      <c r="DK216" s="5">
        <v>16.246135962741107</v>
      </c>
      <c r="DL216" s="5">
        <f t="shared" si="51"/>
        <v>-0.88154669726949941</v>
      </c>
      <c r="DN216">
        <f t="shared" si="55"/>
        <v>215</v>
      </c>
      <c r="DO216" s="8">
        <f t="shared" si="52"/>
        <v>0.85119047619047616</v>
      </c>
      <c r="DP216">
        <f t="shared" si="53"/>
        <v>1.0415528300904833</v>
      </c>
    </row>
    <row r="217" spans="3:120" x14ac:dyDescent="0.35">
      <c r="C217" s="2">
        <v>216</v>
      </c>
      <c r="D217" s="3">
        <v>44091</v>
      </c>
      <c r="E217" s="1">
        <v>110.149963</v>
      </c>
      <c r="F217" s="1">
        <f t="shared" si="43"/>
        <v>108.18418689907867</v>
      </c>
      <c r="Q217" s="2">
        <v>216</v>
      </c>
      <c r="R217" s="3">
        <v>44091</v>
      </c>
      <c r="S217" s="1">
        <v>170.33999600000001</v>
      </c>
      <c r="T217" s="1">
        <f t="shared" si="44"/>
        <v>154.86961392848639</v>
      </c>
      <c r="AC217" s="5"/>
      <c r="AD217" s="5">
        <f t="shared" si="45"/>
        <v>1.9657761009213317</v>
      </c>
      <c r="AU217" s="5">
        <f t="shared" si="46"/>
        <v>1.9657761009213317</v>
      </c>
      <c r="BH217" s="5">
        <v>9.5213051958520651</v>
      </c>
      <c r="BI217">
        <f>STANDARDIZE(BH217,AVERAGE($BH$2:$BH$253),_xlfn.STDEV.S($BH$2:$BH$253))</f>
        <v>0.9327751677470516</v>
      </c>
      <c r="BJ217" s="16"/>
      <c r="BK217">
        <f t="shared" si="54"/>
        <v>216</v>
      </c>
      <c r="BL217">
        <f t="shared" si="47"/>
        <v>0.85515873015873012</v>
      </c>
      <c r="BM217" s="5">
        <f t="shared" si="48"/>
        <v>1.0588182958080339</v>
      </c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>
        <f t="shared" si="49"/>
        <v>15.470382071513626</v>
      </c>
      <c r="CW217" s="5">
        <f t="shared" si="50"/>
        <v>15.470382071513626</v>
      </c>
      <c r="DK217" s="5">
        <v>16.255387267773187</v>
      </c>
      <c r="DL217" s="5">
        <f t="shared" si="51"/>
        <v>-0.90011974810976692</v>
      </c>
      <c r="DN217">
        <f t="shared" si="55"/>
        <v>216</v>
      </c>
      <c r="DO217" s="8">
        <f t="shared" si="52"/>
        <v>0.85515873015873012</v>
      </c>
      <c r="DP217">
        <f t="shared" si="53"/>
        <v>1.0588182958080339</v>
      </c>
    </row>
    <row r="218" spans="3:120" x14ac:dyDescent="0.35">
      <c r="C218" s="2">
        <v>217</v>
      </c>
      <c r="D218" s="3">
        <v>44092</v>
      </c>
      <c r="E218" s="1">
        <v>106.655991</v>
      </c>
      <c r="F218" s="1">
        <f t="shared" si="43"/>
        <v>108.42775926743306</v>
      </c>
      <c r="Q218" s="2">
        <v>217</v>
      </c>
      <c r="R218" s="3">
        <v>44092</v>
      </c>
      <c r="S218" s="1">
        <v>168.699997</v>
      </c>
      <c r="T218" s="1">
        <f t="shared" si="44"/>
        <v>154.83822467119182</v>
      </c>
      <c r="AC218" s="5"/>
      <c r="AD218" s="5">
        <f t="shared" si="45"/>
        <v>-1.7717682674330604</v>
      </c>
      <c r="AU218" s="5">
        <f t="shared" si="46"/>
        <v>-1.7717682674330604</v>
      </c>
      <c r="BH218" s="5">
        <v>9.556974414844305</v>
      </c>
      <c r="BI218">
        <f>STANDARDIZE(BH218,AVERAGE($BH$2:$BH$253),_xlfn.STDEV.S($BH$2:$BH$253))</f>
        <v>0.93636361241732857</v>
      </c>
      <c r="BJ218" s="16"/>
      <c r="BK218">
        <f t="shared" si="54"/>
        <v>217</v>
      </c>
      <c r="BL218">
        <f t="shared" si="47"/>
        <v>0.85912698412698407</v>
      </c>
      <c r="BM218" s="5">
        <f t="shared" si="48"/>
        <v>1.0764053029751868</v>
      </c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>
        <f t="shared" si="49"/>
        <v>13.861772328808172</v>
      </c>
      <c r="CW218" s="5">
        <f t="shared" si="50"/>
        <v>13.861772328808172</v>
      </c>
      <c r="DK218" s="5">
        <v>16.260255617911895</v>
      </c>
      <c r="DL218" s="5">
        <f t="shared" si="51"/>
        <v>-0.9214897937220895</v>
      </c>
      <c r="DN218">
        <f t="shared" si="55"/>
        <v>217</v>
      </c>
      <c r="DO218" s="8">
        <f t="shared" si="52"/>
        <v>0.85912698412698407</v>
      </c>
      <c r="DP218">
        <f t="shared" si="53"/>
        <v>1.0764053029751868</v>
      </c>
    </row>
    <row r="219" spans="3:120" x14ac:dyDescent="0.35">
      <c r="C219" s="2">
        <v>218</v>
      </c>
      <c r="D219" s="3">
        <v>44095</v>
      </c>
      <c r="E219" s="1">
        <v>109.890411</v>
      </c>
      <c r="F219" s="1">
        <f t="shared" si="43"/>
        <v>108.67133163578745</v>
      </c>
      <c r="Q219" s="2">
        <v>218</v>
      </c>
      <c r="R219" s="3">
        <v>44095</v>
      </c>
      <c r="S219" s="1">
        <v>161.36999499999999</v>
      </c>
      <c r="T219" s="1">
        <f t="shared" si="44"/>
        <v>154.80683541389729</v>
      </c>
      <c r="AC219" s="5"/>
      <c r="AD219" s="5">
        <f t="shared" si="45"/>
        <v>1.219079364212547</v>
      </c>
      <c r="AU219" s="5">
        <f t="shared" si="46"/>
        <v>1.219079364212547</v>
      </c>
      <c r="BH219" s="5">
        <v>9.7650007211679366</v>
      </c>
      <c r="BI219">
        <f>STANDARDIZE(BH219,AVERAGE($BH$2:$BH$253),_xlfn.STDEV.S($BH$2:$BH$253))</f>
        <v>0.9572917659147977</v>
      </c>
      <c r="BJ219" s="16"/>
      <c r="BK219">
        <f t="shared" si="54"/>
        <v>218</v>
      </c>
      <c r="BL219">
        <f t="shared" si="47"/>
        <v>0.86309523809523814</v>
      </c>
      <c r="BM219" s="5">
        <f t="shared" si="48"/>
        <v>1.0943317074660934</v>
      </c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>
        <f t="shared" si="49"/>
        <v>6.5631595861026994</v>
      </c>
      <c r="CW219" s="5">
        <f t="shared" si="50"/>
        <v>6.5631595861026994</v>
      </c>
      <c r="DK219" s="5">
        <v>16.636768991919325</v>
      </c>
      <c r="DL219" s="5">
        <f t="shared" si="51"/>
        <v>-0.83563697860241726</v>
      </c>
      <c r="DN219">
        <f t="shared" si="55"/>
        <v>218</v>
      </c>
      <c r="DO219" s="8">
        <f t="shared" si="52"/>
        <v>0.86309523809523814</v>
      </c>
      <c r="DP219">
        <f t="shared" si="53"/>
        <v>1.0943317074660934</v>
      </c>
    </row>
    <row r="220" spans="3:120" x14ac:dyDescent="0.35">
      <c r="C220" s="2">
        <v>219</v>
      </c>
      <c r="D220" s="3">
        <v>44096</v>
      </c>
      <c r="E220" s="1">
        <v>111.61743199999999</v>
      </c>
      <c r="F220" s="1">
        <f t="shared" si="43"/>
        <v>108.91490400414185</v>
      </c>
      <c r="Q220" s="2">
        <v>219</v>
      </c>
      <c r="R220" s="3">
        <v>44096</v>
      </c>
      <c r="S220" s="1">
        <v>162.679993</v>
      </c>
      <c r="T220" s="1">
        <f t="shared" si="44"/>
        <v>154.77544615660273</v>
      </c>
      <c r="AC220" s="5"/>
      <c r="AD220" s="5">
        <f t="shared" si="45"/>
        <v>2.7025279958581478</v>
      </c>
      <c r="AU220" s="5">
        <f t="shared" si="46"/>
        <v>2.7025279958581478</v>
      </c>
      <c r="BH220" s="5">
        <v>10.017121511041594</v>
      </c>
      <c r="BI220">
        <f>STANDARDIZE(BH220,AVERAGE($BH$2:$BH$253),_xlfn.STDEV.S($BH$2:$BH$253))</f>
        <v>0.98265597433452723</v>
      </c>
      <c r="BJ220" s="16"/>
      <c r="BK220">
        <f t="shared" si="54"/>
        <v>219</v>
      </c>
      <c r="BL220">
        <f t="shared" si="47"/>
        <v>0.86706349206349209</v>
      </c>
      <c r="BM220" s="5">
        <f t="shared" si="48"/>
        <v>1.1126168608589178</v>
      </c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>
        <f t="shared" si="49"/>
        <v>7.9045468433972701</v>
      </c>
      <c r="CW220" s="5">
        <f t="shared" si="50"/>
        <v>7.9045468433972701</v>
      </c>
      <c r="DK220" s="5">
        <v>16.69029236061732</v>
      </c>
      <c r="DL220" s="5">
        <f t="shared" si="51"/>
        <v>-0.84094256106018772</v>
      </c>
      <c r="DN220">
        <f t="shared" si="55"/>
        <v>219</v>
      </c>
      <c r="DO220" s="8">
        <f t="shared" si="52"/>
        <v>0.86706349206349209</v>
      </c>
      <c r="DP220">
        <f t="shared" si="53"/>
        <v>1.1126168608589178</v>
      </c>
    </row>
    <row r="221" spans="3:120" x14ac:dyDescent="0.35">
      <c r="C221" s="2">
        <v>220</v>
      </c>
      <c r="D221" s="3">
        <v>44097</v>
      </c>
      <c r="E221" s="1">
        <v>106.935509</v>
      </c>
      <c r="F221" s="1">
        <f t="shared" si="43"/>
        <v>109.15847637249624</v>
      </c>
      <c r="Q221" s="2">
        <v>220</v>
      </c>
      <c r="R221" s="3">
        <v>44097</v>
      </c>
      <c r="S221" s="1">
        <v>158.78999300000001</v>
      </c>
      <c r="T221" s="1">
        <f t="shared" si="44"/>
        <v>154.74405689930816</v>
      </c>
      <c r="AC221" s="5"/>
      <c r="AD221" s="5">
        <f t="shared" si="45"/>
        <v>-2.2229673724962424</v>
      </c>
      <c r="AU221" s="5">
        <f t="shared" si="46"/>
        <v>-2.2229673724962424</v>
      </c>
      <c r="BH221" s="5">
        <v>10.247411826231115</v>
      </c>
      <c r="BI221">
        <f>STANDARDIZE(BH221,AVERAGE($BH$2:$BH$253),_xlfn.STDEV.S($BH$2:$BH$253))</f>
        <v>1.00582396279926</v>
      </c>
      <c r="BJ221" s="16"/>
      <c r="BK221">
        <f t="shared" si="54"/>
        <v>220</v>
      </c>
      <c r="BL221">
        <f t="shared" si="47"/>
        <v>0.87103174603174605</v>
      </c>
      <c r="BM221" s="5">
        <f t="shared" si="48"/>
        <v>1.1312817861712798</v>
      </c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>
        <f t="shared" si="49"/>
        <v>4.0459361006918471</v>
      </c>
      <c r="CW221" s="5">
        <f t="shared" si="50"/>
        <v>4.0459361006918471</v>
      </c>
      <c r="DK221" s="5">
        <v>16.926046074144523</v>
      </c>
      <c r="DL221" s="5">
        <f t="shared" si="51"/>
        <v>-0.79421730410524993</v>
      </c>
      <c r="DN221">
        <f t="shared" si="55"/>
        <v>220</v>
      </c>
      <c r="DO221" s="8">
        <f t="shared" si="52"/>
        <v>0.87103174603174605</v>
      </c>
      <c r="DP221">
        <f t="shared" si="53"/>
        <v>1.1312817861712798</v>
      </c>
    </row>
    <row r="222" spans="3:120" x14ac:dyDescent="0.35">
      <c r="C222" s="2">
        <v>221</v>
      </c>
      <c r="D222" s="3">
        <v>44098</v>
      </c>
      <c r="E222" s="1">
        <v>108.033615</v>
      </c>
      <c r="F222" s="1">
        <f t="shared" si="43"/>
        <v>109.40204874085063</v>
      </c>
      <c r="Q222" s="2">
        <v>221</v>
      </c>
      <c r="R222" s="3">
        <v>44098</v>
      </c>
      <c r="S222" s="1">
        <v>158.759995</v>
      </c>
      <c r="T222" s="1">
        <f t="shared" si="44"/>
        <v>154.7126676420136</v>
      </c>
      <c r="AC222" s="5"/>
      <c r="AD222" s="5">
        <f t="shared" si="45"/>
        <v>-1.3684337408506337</v>
      </c>
      <c r="AU222" s="5">
        <f t="shared" si="46"/>
        <v>-1.3684337408506337</v>
      </c>
      <c r="BH222" s="5">
        <v>10.318903194585516</v>
      </c>
      <c r="BI222">
        <f>STANDARDIZE(BH222,AVERAGE($BH$2:$BH$253),_xlfn.STDEV.S($BH$2:$BH$253))</f>
        <v>1.0130162374548382</v>
      </c>
      <c r="BJ222" s="16"/>
      <c r="BK222">
        <f t="shared" si="54"/>
        <v>221</v>
      </c>
      <c r="BL222">
        <f t="shared" si="47"/>
        <v>0.875</v>
      </c>
      <c r="BM222" s="5">
        <f t="shared" si="48"/>
        <v>1.1503493803760083</v>
      </c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>
        <f t="shared" si="49"/>
        <v>4.0473273579864042</v>
      </c>
      <c r="CW222" s="5">
        <f t="shared" si="50"/>
        <v>4.0473273579864042</v>
      </c>
      <c r="DK222" s="5">
        <v>16.97820203965685</v>
      </c>
      <c r="DL222" s="5">
        <f t="shared" si="51"/>
        <v>-0.7993759334306747</v>
      </c>
      <c r="DN222">
        <f t="shared" si="55"/>
        <v>221</v>
      </c>
      <c r="DO222" s="8">
        <f t="shared" si="52"/>
        <v>0.875</v>
      </c>
      <c r="DP222">
        <f t="shared" si="53"/>
        <v>1.1503493803760083</v>
      </c>
    </row>
    <row r="223" spans="3:120" x14ac:dyDescent="0.35">
      <c r="C223" s="2">
        <v>222</v>
      </c>
      <c r="D223" s="3">
        <v>44099</v>
      </c>
      <c r="E223" s="1">
        <v>112.086624</v>
      </c>
      <c r="F223" s="1">
        <f t="shared" si="43"/>
        <v>109.64562110920502</v>
      </c>
      <c r="Q223" s="2">
        <v>222</v>
      </c>
      <c r="R223" s="3">
        <v>44099</v>
      </c>
      <c r="S223" s="1">
        <v>161.490005</v>
      </c>
      <c r="T223" s="1">
        <f t="shared" si="44"/>
        <v>154.68127838471906</v>
      </c>
      <c r="AC223" s="5"/>
      <c r="AD223" s="5">
        <f t="shared" si="45"/>
        <v>2.4410028907949766</v>
      </c>
      <c r="AU223" s="5">
        <f t="shared" si="46"/>
        <v>2.4410028907949766</v>
      </c>
      <c r="BH223" s="5">
        <v>10.320065616104785</v>
      </c>
      <c r="BI223">
        <f>STANDARDIZE(BH223,AVERAGE($BH$2:$BH$253),_xlfn.STDEV.S($BH$2:$BH$253))</f>
        <v>1.0131331810107467</v>
      </c>
      <c r="BJ223" s="16"/>
      <c r="BK223">
        <f t="shared" si="54"/>
        <v>222</v>
      </c>
      <c r="BL223">
        <f t="shared" si="47"/>
        <v>0.87896825396825395</v>
      </c>
      <c r="BM223" s="5">
        <f t="shared" si="48"/>
        <v>1.1698446487773884</v>
      </c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>
        <f t="shared" si="49"/>
        <v>6.808726615280932</v>
      </c>
      <c r="CW223" s="5">
        <f t="shared" si="50"/>
        <v>6.808726615280932</v>
      </c>
      <c r="DK223" s="5">
        <v>17.008749015788084</v>
      </c>
      <c r="DL223" s="5">
        <f t="shared" si="51"/>
        <v>-0.81173673498956023</v>
      </c>
      <c r="DN223">
        <f t="shared" si="55"/>
        <v>222</v>
      </c>
      <c r="DO223" s="8">
        <f t="shared" si="52"/>
        <v>0.87896825396825395</v>
      </c>
      <c r="DP223">
        <f t="shared" si="53"/>
        <v>1.1698446487773884</v>
      </c>
    </row>
    <row r="224" spans="3:120" x14ac:dyDescent="0.35">
      <c r="C224" s="2">
        <v>223</v>
      </c>
      <c r="D224" s="3">
        <v>44102</v>
      </c>
      <c r="E224" s="1">
        <v>114.76200900000001</v>
      </c>
      <c r="F224" s="1">
        <f t="shared" si="43"/>
        <v>109.88919347755942</v>
      </c>
      <c r="Q224" s="2">
        <v>223</v>
      </c>
      <c r="R224" s="3">
        <v>44102</v>
      </c>
      <c r="S224" s="1">
        <v>164.63999899999999</v>
      </c>
      <c r="T224" s="1">
        <f t="shared" si="44"/>
        <v>154.6498891274245</v>
      </c>
      <c r="AC224" s="5"/>
      <c r="AD224" s="5">
        <f t="shared" si="45"/>
        <v>4.8728155224405896</v>
      </c>
      <c r="AU224" s="5">
        <f t="shared" si="46"/>
        <v>4.8728155224405896</v>
      </c>
      <c r="BH224" s="5">
        <v>10.33801108952234</v>
      </c>
      <c r="BI224">
        <f>STANDARDIZE(BH224,AVERAGE($BH$2:$BH$253),_xlfn.STDEV.S($BH$2:$BH$253))</f>
        <v>1.0149385566332081</v>
      </c>
      <c r="BJ224" s="16"/>
      <c r="BK224">
        <f t="shared" si="54"/>
        <v>223</v>
      </c>
      <c r="BL224">
        <f t="shared" si="47"/>
        <v>0.88293650793650791</v>
      </c>
      <c r="BM224" s="5">
        <f t="shared" si="48"/>
        <v>1.189794977493698</v>
      </c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>
        <f t="shared" si="49"/>
        <v>9.9901098725754878</v>
      </c>
      <c r="CW224" s="5">
        <f t="shared" si="50"/>
        <v>9.9901098725754878</v>
      </c>
      <c r="DK224" s="5">
        <v>17.119838673637389</v>
      </c>
      <c r="DL224" s="5">
        <f t="shared" si="51"/>
        <v>-0.8024478226148859</v>
      </c>
      <c r="DN224">
        <f t="shared" si="55"/>
        <v>223</v>
      </c>
      <c r="DO224" s="8">
        <f t="shared" si="52"/>
        <v>0.88293650793650791</v>
      </c>
      <c r="DP224">
        <f t="shared" si="53"/>
        <v>1.189794977493698</v>
      </c>
    </row>
    <row r="225" spans="3:120" x14ac:dyDescent="0.35">
      <c r="C225" s="2">
        <v>224</v>
      </c>
      <c r="D225" s="3">
        <v>44103</v>
      </c>
      <c r="E225" s="1">
        <v>113.893501</v>
      </c>
      <c r="F225" s="1">
        <f t="shared" si="43"/>
        <v>110.13276584591381</v>
      </c>
      <c r="Q225" s="2">
        <v>224</v>
      </c>
      <c r="R225" s="3">
        <v>44103</v>
      </c>
      <c r="S225" s="1">
        <v>164.509995</v>
      </c>
      <c r="T225" s="1">
        <f t="shared" si="44"/>
        <v>154.61849987012994</v>
      </c>
      <c r="AC225" s="5"/>
      <c r="AD225" s="5">
        <f t="shared" si="45"/>
        <v>3.7607351540861913</v>
      </c>
      <c r="AU225" s="5">
        <f t="shared" si="46"/>
        <v>3.7607351540861913</v>
      </c>
      <c r="BH225" s="5">
        <v>10.354302247750383</v>
      </c>
      <c r="BI225">
        <f>STANDARDIZE(BH225,AVERAGE($BH$2:$BH$253),_xlfn.STDEV.S($BH$2:$BH$253))</f>
        <v>1.0165775025245878</v>
      </c>
      <c r="BJ225" s="16"/>
      <c r="BK225">
        <f t="shared" si="54"/>
        <v>224</v>
      </c>
      <c r="BL225">
        <f t="shared" si="47"/>
        <v>0.88690476190476186</v>
      </c>
      <c r="BM225" s="5">
        <f t="shared" si="48"/>
        <v>1.2102304517744078</v>
      </c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>
        <f t="shared" si="49"/>
        <v>9.8914951298700657</v>
      </c>
      <c r="CW225" s="5">
        <f t="shared" si="50"/>
        <v>9.8914951298700657</v>
      </c>
      <c r="DK225" s="5">
        <v>17.182565763803012</v>
      </c>
      <c r="DL225" s="5">
        <f t="shared" si="51"/>
        <v>-0.80738037364789217</v>
      </c>
      <c r="DN225">
        <f t="shared" si="55"/>
        <v>224</v>
      </c>
      <c r="DO225" s="8">
        <f t="shared" si="52"/>
        <v>0.88690476190476186</v>
      </c>
      <c r="DP225">
        <f t="shared" si="53"/>
        <v>1.2102304517744078</v>
      </c>
    </row>
    <row r="226" spans="3:120" x14ac:dyDescent="0.35">
      <c r="C226" s="2">
        <v>225</v>
      </c>
      <c r="D226" s="3">
        <v>44104</v>
      </c>
      <c r="E226" s="1">
        <v>115.610542</v>
      </c>
      <c r="F226" s="1">
        <f t="shared" si="43"/>
        <v>110.3763382142682</v>
      </c>
      <c r="Q226" s="2">
        <v>225</v>
      </c>
      <c r="R226" s="3">
        <v>44104</v>
      </c>
      <c r="S226" s="1">
        <v>164.61000100000001</v>
      </c>
      <c r="T226" s="1">
        <f t="shared" si="44"/>
        <v>154.58711061283537</v>
      </c>
      <c r="AC226" s="5"/>
      <c r="AD226" s="5">
        <f t="shared" si="45"/>
        <v>5.2342037857317933</v>
      </c>
      <c r="AU226" s="5">
        <f t="shared" si="46"/>
        <v>5.2342037857317933</v>
      </c>
      <c r="BH226" s="5">
        <v>10.395190311047671</v>
      </c>
      <c r="BI226">
        <f>STANDARDIZE(BH226,AVERAGE($BH$2:$BH$253),_xlfn.STDEV.S($BH$2:$BH$253))</f>
        <v>1.0206909806708018</v>
      </c>
      <c r="BJ226" s="16"/>
      <c r="BK226">
        <f t="shared" si="54"/>
        <v>225</v>
      </c>
      <c r="BL226">
        <f t="shared" si="47"/>
        <v>0.89087301587301593</v>
      </c>
      <c r="BM226" s="5">
        <f t="shared" si="48"/>
        <v>1.2311842297805575</v>
      </c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>
        <f t="shared" si="49"/>
        <v>10.022890387164637</v>
      </c>
      <c r="CW226" s="5">
        <f t="shared" si="50"/>
        <v>10.022890387164637</v>
      </c>
      <c r="DK226" s="5">
        <v>17.232338331439109</v>
      </c>
      <c r="DL226" s="5">
        <f t="shared" si="51"/>
        <v>-0.81716428574253608</v>
      </c>
      <c r="DN226">
        <f t="shared" si="55"/>
        <v>225</v>
      </c>
      <c r="DO226" s="8">
        <f t="shared" si="52"/>
        <v>0.89087301587301593</v>
      </c>
      <c r="DP226">
        <f t="shared" si="53"/>
        <v>1.2311842297805575</v>
      </c>
    </row>
    <row r="227" spans="3:120" x14ac:dyDescent="0.35">
      <c r="C227" s="2">
        <v>226</v>
      </c>
      <c r="D227" s="3">
        <v>44105</v>
      </c>
      <c r="E227" s="1">
        <v>116.58886</v>
      </c>
      <c r="F227" s="1">
        <f t="shared" si="43"/>
        <v>110.61991058262259</v>
      </c>
      <c r="Q227" s="2">
        <v>226</v>
      </c>
      <c r="R227" s="3">
        <v>44105</v>
      </c>
      <c r="S227" s="1">
        <v>163.679993</v>
      </c>
      <c r="T227" s="1">
        <f t="shared" si="44"/>
        <v>154.55572135554084</v>
      </c>
      <c r="AC227" s="5"/>
      <c r="AD227" s="5">
        <f t="shared" si="45"/>
        <v>5.9689494173774023</v>
      </c>
      <c r="AU227" s="5">
        <f t="shared" si="46"/>
        <v>5.9689494173774023</v>
      </c>
      <c r="BH227" s="5">
        <v>10.409729037624032</v>
      </c>
      <c r="BI227">
        <f>STANDARDIZE(BH227,AVERAGE($BH$2:$BH$253),_xlfn.STDEV.S($BH$2:$BH$253))</f>
        <v>1.0221536259815083</v>
      </c>
      <c r="BJ227" s="16"/>
      <c r="BK227">
        <f t="shared" si="54"/>
        <v>226</v>
      </c>
      <c r="BL227">
        <f t="shared" si="47"/>
        <v>0.89484126984126988</v>
      </c>
      <c r="BM227" s="5">
        <f t="shared" si="48"/>
        <v>1.2526929839120398</v>
      </c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>
        <f t="shared" si="49"/>
        <v>9.1242716444591565</v>
      </c>
      <c r="CW227" s="5">
        <f t="shared" si="50"/>
        <v>9.1242716444591565</v>
      </c>
      <c r="DK227" s="5">
        <v>17.245395702815614</v>
      </c>
      <c r="DL227" s="5">
        <f t="shared" si="51"/>
        <v>-0.83879390886092009</v>
      </c>
      <c r="DN227">
        <f t="shared" si="55"/>
        <v>226</v>
      </c>
      <c r="DO227" s="8">
        <f t="shared" si="52"/>
        <v>0.89484126984126988</v>
      </c>
      <c r="DP227">
        <f t="shared" si="53"/>
        <v>1.2526929839120398</v>
      </c>
    </row>
    <row r="228" spans="3:120" x14ac:dyDescent="0.35">
      <c r="C228" s="2">
        <v>227</v>
      </c>
      <c r="D228" s="3">
        <v>44106</v>
      </c>
      <c r="E228" s="1">
        <v>112.82534800000001</v>
      </c>
      <c r="F228" s="1">
        <f t="shared" si="43"/>
        <v>110.86348295097699</v>
      </c>
      <c r="Q228" s="2">
        <v>227</v>
      </c>
      <c r="R228" s="3">
        <v>44106</v>
      </c>
      <c r="S228" s="1">
        <v>165.61000100000001</v>
      </c>
      <c r="T228" s="1">
        <f t="shared" si="44"/>
        <v>154.52433209824628</v>
      </c>
      <c r="AC228" s="5"/>
      <c r="AD228" s="5">
        <f t="shared" si="45"/>
        <v>1.9618650490230181</v>
      </c>
      <c r="AU228" s="5">
        <f t="shared" si="46"/>
        <v>1.9618650490230181</v>
      </c>
      <c r="BH228" s="5">
        <v>10.480237352813546</v>
      </c>
      <c r="BI228">
        <f>STANDARDIZE(BH228,AVERAGE($BH$2:$BH$253),_xlfn.STDEV.S($BH$2:$BH$253))</f>
        <v>1.0292470021473017</v>
      </c>
      <c r="BJ228" s="16"/>
      <c r="BK228">
        <f t="shared" si="54"/>
        <v>227</v>
      </c>
      <c r="BL228">
        <f t="shared" si="47"/>
        <v>0.89880952380952384</v>
      </c>
      <c r="BM228" s="5">
        <f t="shared" si="48"/>
        <v>1.2747974249655289</v>
      </c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>
        <f t="shared" si="49"/>
        <v>11.085668901753735</v>
      </c>
      <c r="CW228" s="5">
        <f t="shared" si="50"/>
        <v>11.085668901753735</v>
      </c>
      <c r="DK228" s="5">
        <v>17.261246477330218</v>
      </c>
      <c r="DL228" s="5">
        <f t="shared" si="51"/>
        <v>-0.86197087441559217</v>
      </c>
      <c r="DN228">
        <f t="shared" si="55"/>
        <v>227</v>
      </c>
      <c r="DO228" s="8">
        <f t="shared" si="52"/>
        <v>0.89880952380952384</v>
      </c>
      <c r="DP228">
        <f t="shared" si="53"/>
        <v>1.2747974249655289</v>
      </c>
    </row>
    <row r="229" spans="3:120" x14ac:dyDescent="0.35">
      <c r="C229" s="2">
        <v>228</v>
      </c>
      <c r="D229" s="3">
        <v>44109</v>
      </c>
      <c r="E229" s="1">
        <v>116.29935500000001</v>
      </c>
      <c r="F229" s="1">
        <f t="shared" si="43"/>
        <v>111.10705531933138</v>
      </c>
      <c r="Q229" s="2">
        <v>228</v>
      </c>
      <c r="R229" s="3">
        <v>44109</v>
      </c>
      <c r="S229" s="1">
        <v>168.720001</v>
      </c>
      <c r="T229" s="1">
        <f t="shared" si="44"/>
        <v>154.49294284095171</v>
      </c>
      <c r="AC229" s="5"/>
      <c r="AD229" s="5">
        <f t="shared" si="45"/>
        <v>5.1922996806686257</v>
      </c>
      <c r="AU229" s="5">
        <f t="shared" si="46"/>
        <v>5.1922996806686257</v>
      </c>
      <c r="BH229" s="5">
        <v>10.486874879395998</v>
      </c>
      <c r="BI229">
        <f>STANDARDIZE(BH229,AVERAGE($BH$2:$BH$253),_xlfn.STDEV.S($BH$2:$BH$253))</f>
        <v>1.0299147598824459</v>
      </c>
      <c r="BJ229" s="16"/>
      <c r="BK229">
        <f t="shared" si="54"/>
        <v>228</v>
      </c>
      <c r="BL229">
        <f t="shared" si="47"/>
        <v>0.90277777777777779</v>
      </c>
      <c r="BM229" s="5">
        <f t="shared" si="48"/>
        <v>1.2975429286165541</v>
      </c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>
        <f t="shared" si="49"/>
        <v>14.227058159048283</v>
      </c>
      <c r="CW229" s="5">
        <f t="shared" si="50"/>
        <v>14.227058159048283</v>
      </c>
      <c r="DK229" s="5">
        <v>17.286494498568032</v>
      </c>
      <c r="DL229" s="5">
        <f t="shared" si="51"/>
        <v>-0.88521274186895094</v>
      </c>
      <c r="DN229">
        <f t="shared" si="55"/>
        <v>228</v>
      </c>
      <c r="DO229" s="8">
        <f t="shared" si="52"/>
        <v>0.90277777777777779</v>
      </c>
      <c r="DP229">
        <f t="shared" si="53"/>
        <v>1.2975429286165541</v>
      </c>
    </row>
    <row r="230" spans="3:120" x14ac:dyDescent="0.35">
      <c r="C230" s="2">
        <v>229</v>
      </c>
      <c r="D230" s="3">
        <v>44110</v>
      </c>
      <c r="E230" s="1">
        <v>112.96511099999999</v>
      </c>
      <c r="F230" s="1">
        <f t="shared" si="43"/>
        <v>111.35062768768577</v>
      </c>
      <c r="Q230" s="2">
        <v>229</v>
      </c>
      <c r="R230" s="3">
        <v>44110</v>
      </c>
      <c r="S230" s="1">
        <v>166.88999899999999</v>
      </c>
      <c r="T230" s="1">
        <f t="shared" si="44"/>
        <v>154.46155358365718</v>
      </c>
      <c r="AC230" s="5"/>
      <c r="AD230" s="5">
        <f t="shared" si="45"/>
        <v>1.6144833123142206</v>
      </c>
      <c r="AU230" s="5">
        <f t="shared" si="46"/>
        <v>1.6144833123142206</v>
      </c>
      <c r="BH230" s="5">
        <v>10.720491309781124</v>
      </c>
      <c r="BI230">
        <f>STANDARDIZE(BH230,AVERAGE($BH$2:$BH$253),_xlfn.STDEV.S($BH$2:$BH$253))</f>
        <v>1.0534173668413205</v>
      </c>
      <c r="BJ230" s="16"/>
      <c r="BK230">
        <f t="shared" si="54"/>
        <v>229</v>
      </c>
      <c r="BL230">
        <f t="shared" si="47"/>
        <v>0.90674603174603174</v>
      </c>
      <c r="BM230" s="5">
        <f t="shared" si="48"/>
        <v>1.3209802893126328</v>
      </c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>
        <f t="shared" si="49"/>
        <v>12.428445416342811</v>
      </c>
      <c r="CW230" s="5">
        <f t="shared" si="50"/>
        <v>12.428445416342811</v>
      </c>
      <c r="DK230" s="5">
        <v>17.410945731993849</v>
      </c>
      <c r="DL230" s="5">
        <f t="shared" si="51"/>
        <v>-0.88395979944299863</v>
      </c>
      <c r="DN230">
        <f t="shared" si="55"/>
        <v>229</v>
      </c>
      <c r="DO230" s="8">
        <f t="shared" si="52"/>
        <v>0.90674603174603174</v>
      </c>
      <c r="DP230">
        <f t="shared" si="53"/>
        <v>1.3209802893126328</v>
      </c>
    </row>
    <row r="231" spans="3:120" x14ac:dyDescent="0.35">
      <c r="C231" s="2">
        <v>230</v>
      </c>
      <c r="D231" s="3">
        <v>44111</v>
      </c>
      <c r="E231" s="1">
        <v>114.881805</v>
      </c>
      <c r="F231" s="1">
        <f t="shared" si="43"/>
        <v>111.59420005604017</v>
      </c>
      <c r="Q231" s="2">
        <v>230</v>
      </c>
      <c r="R231" s="3">
        <v>44111</v>
      </c>
      <c r="S231" s="1">
        <v>171.550003</v>
      </c>
      <c r="T231" s="1">
        <f t="shared" si="44"/>
        <v>154.43016432636261</v>
      </c>
      <c r="AC231" s="5"/>
      <c r="AD231" s="5">
        <f t="shared" si="45"/>
        <v>3.2876049439598347</v>
      </c>
      <c r="AU231" s="5">
        <f t="shared" si="46"/>
        <v>3.2876049439598347</v>
      </c>
      <c r="BH231" s="5">
        <v>10.76886440597842</v>
      </c>
      <c r="BI231">
        <f>STANDARDIZE(BH231,AVERAGE($BH$2:$BH$253),_xlfn.STDEV.S($BH$2:$BH$253))</f>
        <v>1.0582838647388983</v>
      </c>
      <c r="BJ231" s="16"/>
      <c r="BK231">
        <f t="shared" si="54"/>
        <v>230</v>
      </c>
      <c r="BL231">
        <f t="shared" si="47"/>
        <v>0.9107142857142857</v>
      </c>
      <c r="BM231" s="5">
        <f t="shared" si="48"/>
        <v>1.3451666341766386</v>
      </c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>
        <f t="shared" si="49"/>
        <v>17.119838673637389</v>
      </c>
      <c r="CW231" s="5">
        <f t="shared" si="50"/>
        <v>17.119838673637389</v>
      </c>
      <c r="DK231" s="5">
        <v>17.522871103322757</v>
      </c>
      <c r="DL231" s="5">
        <f t="shared" si="51"/>
        <v>-0.88767011038805432</v>
      </c>
      <c r="DN231">
        <f t="shared" si="55"/>
        <v>230</v>
      </c>
      <c r="DO231" s="8">
        <f t="shared" si="52"/>
        <v>0.9107142857142857</v>
      </c>
      <c r="DP231">
        <f t="shared" si="53"/>
        <v>1.3451666341766386</v>
      </c>
    </row>
    <row r="232" spans="3:120" x14ac:dyDescent="0.35">
      <c r="C232" s="2">
        <v>231</v>
      </c>
      <c r="D232" s="3">
        <v>44112</v>
      </c>
      <c r="E232" s="1">
        <v>114.77198799999999</v>
      </c>
      <c r="F232" s="1">
        <f t="shared" si="43"/>
        <v>111.83777242439456</v>
      </c>
      <c r="Q232" s="2">
        <v>231</v>
      </c>
      <c r="R232" s="3">
        <v>44112</v>
      </c>
      <c r="S232" s="1">
        <v>173.779999</v>
      </c>
      <c r="T232" s="1">
        <f t="shared" si="44"/>
        <v>154.39877506906805</v>
      </c>
      <c r="AC232" s="5"/>
      <c r="AD232" s="5">
        <f t="shared" si="45"/>
        <v>2.9342155756054353</v>
      </c>
      <c r="AU232" s="5">
        <f t="shared" si="46"/>
        <v>2.9342155756054353</v>
      </c>
      <c r="BH232" s="5">
        <v>10.925623046489903</v>
      </c>
      <c r="BI232">
        <f>STANDARDIZE(BH232,AVERAGE($BH$2:$BH$253),_xlfn.STDEV.S($BH$2:$BH$253))</f>
        <v>1.0740543167968948</v>
      </c>
      <c r="BJ232" s="16"/>
      <c r="BK232">
        <f t="shared" si="54"/>
        <v>231</v>
      </c>
      <c r="BL232">
        <f t="shared" si="47"/>
        <v>0.91468253968253965</v>
      </c>
      <c r="BM232" s="5">
        <f t="shared" si="48"/>
        <v>1.3701665397259748</v>
      </c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>
        <f t="shared" si="49"/>
        <v>19.381223930931952</v>
      </c>
      <c r="CW232" s="5">
        <f t="shared" si="50"/>
        <v>19.381223930931952</v>
      </c>
      <c r="DK232" s="5">
        <v>17.699725816849991</v>
      </c>
      <c r="DL232" s="5">
        <f t="shared" si="51"/>
        <v>-0.87556483589741785</v>
      </c>
      <c r="DN232">
        <f t="shared" si="55"/>
        <v>231</v>
      </c>
      <c r="DO232" s="8">
        <f t="shared" si="52"/>
        <v>0.91468253968253965</v>
      </c>
      <c r="DP232">
        <f t="shared" si="53"/>
        <v>1.3701665397259748</v>
      </c>
    </row>
    <row r="233" spans="3:120" x14ac:dyDescent="0.35">
      <c r="C233" s="2">
        <v>232</v>
      </c>
      <c r="D233" s="3">
        <v>44113</v>
      </c>
      <c r="E233" s="1">
        <v>116.768547</v>
      </c>
      <c r="F233" s="1">
        <f t="shared" si="43"/>
        <v>112.08134479274895</v>
      </c>
      <c r="Q233" s="2">
        <v>232</v>
      </c>
      <c r="R233" s="3">
        <v>44113</v>
      </c>
      <c r="S233" s="1">
        <v>174.38000500000001</v>
      </c>
      <c r="T233" s="1">
        <f t="shared" si="44"/>
        <v>154.36738581177349</v>
      </c>
      <c r="AC233" s="5"/>
      <c r="AD233" s="5">
        <f t="shared" si="45"/>
        <v>4.6872022072510475</v>
      </c>
      <c r="AU233" s="5">
        <f t="shared" si="46"/>
        <v>4.6872022072510475</v>
      </c>
      <c r="BH233" s="5">
        <v>11.094666984459153</v>
      </c>
      <c r="BI233">
        <f>STANDARDIZE(BH233,AVERAGE($BH$2:$BH$253),_xlfn.STDEV.S($BH$2:$BH$253))</f>
        <v>1.0910607115368625</v>
      </c>
      <c r="BJ233" s="16"/>
      <c r="BK233">
        <f t="shared" si="54"/>
        <v>232</v>
      </c>
      <c r="BL233">
        <f t="shared" si="47"/>
        <v>0.91865079365079361</v>
      </c>
      <c r="BM233" s="5">
        <f t="shared" si="48"/>
        <v>1.3960534082549898</v>
      </c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>
        <f t="shared" si="49"/>
        <v>20.012619188226523</v>
      </c>
      <c r="CW233" s="5">
        <f t="shared" si="50"/>
        <v>20.012619188226523</v>
      </c>
      <c r="DK233" s="5">
        <v>17.956245506508452</v>
      </c>
      <c r="DL233" s="5">
        <f t="shared" si="51"/>
        <v>-0.84265151148035167</v>
      </c>
      <c r="DN233">
        <f t="shared" si="55"/>
        <v>232</v>
      </c>
      <c r="DO233" s="8">
        <f t="shared" si="52"/>
        <v>0.91865079365079361</v>
      </c>
      <c r="DP233">
        <f t="shared" si="53"/>
        <v>1.3960534082549898</v>
      </c>
    </row>
    <row r="234" spans="3:120" x14ac:dyDescent="0.35">
      <c r="C234" s="2">
        <v>233</v>
      </c>
      <c r="D234" s="3">
        <v>44116</v>
      </c>
      <c r="E234" s="1">
        <v>124.18575300000001</v>
      </c>
      <c r="F234" s="1">
        <f t="shared" si="43"/>
        <v>112.32491716110334</v>
      </c>
      <c r="Q234" s="2">
        <v>233</v>
      </c>
      <c r="R234" s="3">
        <v>44116</v>
      </c>
      <c r="S234" s="1">
        <v>175.36000100000001</v>
      </c>
      <c r="T234" s="1">
        <f t="shared" si="44"/>
        <v>154.33599655447895</v>
      </c>
      <c r="AC234" s="5"/>
      <c r="AD234" s="5">
        <f t="shared" si="45"/>
        <v>11.860835838896662</v>
      </c>
      <c r="AU234" s="5">
        <f t="shared" si="46"/>
        <v>11.860835838896662</v>
      </c>
      <c r="BH234" s="5">
        <v>11.584515204717945</v>
      </c>
      <c r="BI234">
        <f>STANDARDIZE(BH234,AVERAGE($BH$2:$BH$253),_xlfn.STDEV.S($BH$2:$BH$253))</f>
        <v>1.1403411074887542</v>
      </c>
      <c r="BJ234" s="16"/>
      <c r="BK234">
        <f t="shared" si="54"/>
        <v>233</v>
      </c>
      <c r="BL234">
        <f t="shared" si="47"/>
        <v>0.92261904761904767</v>
      </c>
      <c r="BM234" s="5">
        <f t="shared" si="48"/>
        <v>1.4229111803109853</v>
      </c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>
        <f t="shared" si="49"/>
        <v>21.024004445521058</v>
      </c>
      <c r="CW234" s="5">
        <f t="shared" si="50"/>
        <v>21.024004445521058</v>
      </c>
      <c r="DK234" s="5">
        <v>17.97007973462479</v>
      </c>
      <c r="DL234" s="5">
        <f t="shared" si="51"/>
        <v>-0.87516189724037829</v>
      </c>
      <c r="DN234">
        <f t="shared" si="55"/>
        <v>233</v>
      </c>
      <c r="DO234" s="8">
        <f t="shared" si="52"/>
        <v>0.92261904761904767</v>
      </c>
      <c r="DP234">
        <f t="shared" si="53"/>
        <v>1.4229111803109853</v>
      </c>
    </row>
    <row r="235" spans="3:120" x14ac:dyDescent="0.35">
      <c r="C235" s="2">
        <v>234</v>
      </c>
      <c r="D235" s="3">
        <v>44117</v>
      </c>
      <c r="E235" s="1">
        <v>120.891434</v>
      </c>
      <c r="F235" s="1">
        <f t="shared" si="43"/>
        <v>112.56848952945774</v>
      </c>
      <c r="Q235" s="2">
        <v>234</v>
      </c>
      <c r="R235" s="3">
        <v>44117</v>
      </c>
      <c r="S235" s="1">
        <v>171.550003</v>
      </c>
      <c r="T235" s="1">
        <f t="shared" si="44"/>
        <v>154.30460729718439</v>
      </c>
      <c r="AC235" s="5"/>
      <c r="AD235" s="5">
        <f t="shared" si="45"/>
        <v>8.3229444705422679</v>
      </c>
      <c r="AU235" s="5">
        <f t="shared" si="46"/>
        <v>8.3229444705422679</v>
      </c>
      <c r="BH235" s="5">
        <v>11.633798457876722</v>
      </c>
      <c r="BI235">
        <f>STANDARDIZE(BH235,AVERAGE($BH$2:$BH$253),_xlfn.STDEV.S($BH$2:$BH$253))</f>
        <v>1.1452991702702802</v>
      </c>
      <c r="BJ235" s="16"/>
      <c r="BK235">
        <f t="shared" si="54"/>
        <v>234</v>
      </c>
      <c r="BL235">
        <f t="shared" si="47"/>
        <v>0.92658730158730163</v>
      </c>
      <c r="BM235" s="5">
        <f t="shared" si="48"/>
        <v>1.4508364874126363</v>
      </c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>
        <f t="shared" si="49"/>
        <v>17.245395702815614</v>
      </c>
      <c r="CW235" s="5">
        <f t="shared" si="50"/>
        <v>17.245395702815614</v>
      </c>
      <c r="DK235" s="5">
        <v>18.081930249213883</v>
      </c>
      <c r="DL235" s="5">
        <f t="shared" si="51"/>
        <v>-0.88609211380911035</v>
      </c>
      <c r="DN235">
        <f t="shared" si="55"/>
        <v>234</v>
      </c>
      <c r="DO235" s="8">
        <f t="shared" si="52"/>
        <v>0.92658730158730163</v>
      </c>
      <c r="DP235">
        <f t="shared" si="53"/>
        <v>1.4508364874126363</v>
      </c>
    </row>
    <row r="236" spans="3:120" x14ac:dyDescent="0.35">
      <c r="C236" s="2">
        <v>235</v>
      </c>
      <c r="D236" s="3">
        <v>44118</v>
      </c>
      <c r="E236" s="1">
        <v>120.98127700000001</v>
      </c>
      <c r="F236" s="1">
        <f t="shared" si="43"/>
        <v>112.81206189781213</v>
      </c>
      <c r="Q236" s="2">
        <v>235</v>
      </c>
      <c r="R236" s="3">
        <v>44118</v>
      </c>
      <c r="S236" s="1">
        <v>173.470001</v>
      </c>
      <c r="T236" s="1">
        <f t="shared" si="44"/>
        <v>154.27321803988983</v>
      </c>
      <c r="AC236" s="5"/>
      <c r="AD236" s="5">
        <f t="shared" si="45"/>
        <v>8.1692151021878772</v>
      </c>
      <c r="AU236" s="5">
        <f t="shared" si="46"/>
        <v>8.1692151021878772</v>
      </c>
      <c r="BH236" s="5">
        <v>11.860835838896662</v>
      </c>
      <c r="BI236">
        <f>STANDARDIZE(BH236,AVERAGE($BH$2:$BH$253),_xlfn.STDEV.S($BH$2:$BH$253))</f>
        <v>1.1681399025008314</v>
      </c>
      <c r="BJ236" s="16"/>
      <c r="BK236">
        <f t="shared" si="54"/>
        <v>235</v>
      </c>
      <c r="BL236">
        <f t="shared" si="47"/>
        <v>0.93055555555555558</v>
      </c>
      <c r="BM236" s="5">
        <f t="shared" si="48"/>
        <v>1.4799413890351927</v>
      </c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>
        <f t="shared" si="49"/>
        <v>19.19678296011017</v>
      </c>
      <c r="CW236" s="5">
        <f t="shared" si="50"/>
        <v>19.19678296011017</v>
      </c>
      <c r="DK236" s="5">
        <v>18.270537220035663</v>
      </c>
      <c r="DL236" s="5">
        <f t="shared" si="51"/>
        <v>-0.87995469409564731</v>
      </c>
      <c r="DN236">
        <f t="shared" si="55"/>
        <v>235</v>
      </c>
      <c r="DO236" s="8">
        <f t="shared" si="52"/>
        <v>0.93055555555555558</v>
      </c>
      <c r="DP236">
        <f t="shared" si="53"/>
        <v>1.4799413890351927</v>
      </c>
    </row>
    <row r="237" spans="3:120" x14ac:dyDescent="0.35">
      <c r="C237" s="2">
        <v>236</v>
      </c>
      <c r="D237" s="3">
        <v>44119</v>
      </c>
      <c r="E237" s="1">
        <v>120.502106</v>
      </c>
      <c r="F237" s="1">
        <f t="shared" si="43"/>
        <v>113.05563426616652</v>
      </c>
      <c r="Q237" s="2">
        <v>236</v>
      </c>
      <c r="R237" s="3">
        <v>44119</v>
      </c>
      <c r="S237" s="1">
        <v>172.61000100000001</v>
      </c>
      <c r="T237" s="1">
        <f t="shared" si="44"/>
        <v>154.24182878259526</v>
      </c>
      <c r="AC237" s="5"/>
      <c r="AD237" s="5">
        <f t="shared" si="45"/>
        <v>7.4464717338334765</v>
      </c>
      <c r="AU237" s="5">
        <f t="shared" si="46"/>
        <v>7.4464717338334765</v>
      </c>
      <c r="BH237" s="5">
        <v>12.127579573072339</v>
      </c>
      <c r="BI237">
        <f>STANDARDIZE(BH237,AVERAGE($BH$2:$BH$253),_xlfn.STDEV.S($BH$2:$BH$253))</f>
        <v>1.1949752288207245</v>
      </c>
      <c r="BJ237" s="16"/>
      <c r="BK237">
        <f t="shared" si="54"/>
        <v>236</v>
      </c>
      <c r="BL237">
        <f t="shared" si="47"/>
        <v>0.93452380952380953</v>
      </c>
      <c r="BM237" s="5">
        <f t="shared" si="48"/>
        <v>1.5103568962835032</v>
      </c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>
        <f t="shared" si="49"/>
        <v>18.368172217404748</v>
      </c>
      <c r="CW237" s="5">
        <f t="shared" si="50"/>
        <v>18.368172217404748</v>
      </c>
      <c r="DK237" s="5">
        <v>18.368172217404748</v>
      </c>
      <c r="DL237" s="5">
        <f t="shared" si="51"/>
        <v>-0.90042204144268878</v>
      </c>
      <c r="DN237">
        <f t="shared" si="55"/>
        <v>236</v>
      </c>
      <c r="DO237" s="8">
        <f t="shared" si="52"/>
        <v>0.93452380952380953</v>
      </c>
      <c r="DP237">
        <f t="shared" si="53"/>
        <v>1.5103568962835032</v>
      </c>
    </row>
    <row r="238" spans="3:120" x14ac:dyDescent="0.35">
      <c r="C238" s="2">
        <v>237</v>
      </c>
      <c r="D238" s="3">
        <v>44120</v>
      </c>
      <c r="E238" s="1">
        <v>118.81501</v>
      </c>
      <c r="F238" s="1">
        <f t="shared" si="43"/>
        <v>113.29920663452091</v>
      </c>
      <c r="Q238" s="2">
        <v>237</v>
      </c>
      <c r="R238" s="3">
        <v>44120</v>
      </c>
      <c r="S238" s="1">
        <v>174.86000100000001</v>
      </c>
      <c r="T238" s="1">
        <f t="shared" si="44"/>
        <v>154.21043952530073</v>
      </c>
      <c r="AC238" s="5"/>
      <c r="AD238" s="5">
        <f t="shared" si="45"/>
        <v>5.515803365479087</v>
      </c>
      <c r="AU238" s="5">
        <f t="shared" si="46"/>
        <v>5.515803365479087</v>
      </c>
      <c r="BH238" s="5">
        <v>12.195477468009159</v>
      </c>
      <c r="BI238">
        <f>STANDARDIZE(BH238,AVERAGE($BH$2:$BH$253),_xlfn.STDEV.S($BH$2:$BH$253))</f>
        <v>1.2018059878362797</v>
      </c>
      <c r="BJ238" s="16"/>
      <c r="BK238">
        <f t="shared" si="54"/>
        <v>237</v>
      </c>
      <c r="BL238">
        <f t="shared" si="47"/>
        <v>0.93849206349206349</v>
      </c>
      <c r="BM238" s="5">
        <f t="shared" si="48"/>
        <v>1.5422375718953325</v>
      </c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>
        <f t="shared" si="49"/>
        <v>20.649561474699283</v>
      </c>
      <c r="CW238" s="5">
        <f t="shared" si="50"/>
        <v>20.649561474699283</v>
      </c>
      <c r="DK238" s="5">
        <v>18.75372324658295</v>
      </c>
      <c r="DL238" s="5">
        <f t="shared" si="51"/>
        <v>-0.84974057358421795</v>
      </c>
      <c r="DN238">
        <f t="shared" si="55"/>
        <v>237</v>
      </c>
      <c r="DO238" s="8">
        <f t="shared" si="52"/>
        <v>0.93849206349206349</v>
      </c>
      <c r="DP238">
        <f t="shared" si="53"/>
        <v>1.5422375718953325</v>
      </c>
    </row>
    <row r="239" spans="3:120" x14ac:dyDescent="0.35">
      <c r="C239" s="2">
        <v>238</v>
      </c>
      <c r="D239" s="3">
        <v>44123</v>
      </c>
      <c r="E239" s="1">
        <v>115.78025100000001</v>
      </c>
      <c r="F239" s="1">
        <f t="shared" si="43"/>
        <v>113.54277900287531</v>
      </c>
      <c r="Q239" s="2">
        <v>238</v>
      </c>
      <c r="R239" s="3">
        <v>44123</v>
      </c>
      <c r="S239" s="1">
        <v>171.58999600000001</v>
      </c>
      <c r="T239" s="1">
        <f t="shared" si="44"/>
        <v>154.17905026800616</v>
      </c>
      <c r="AC239" s="5"/>
      <c r="AD239" s="5">
        <f t="shared" si="45"/>
        <v>2.2374719971247004</v>
      </c>
      <c r="AU239" s="5">
        <f t="shared" si="46"/>
        <v>2.2374719971247004</v>
      </c>
      <c r="BH239" s="5">
        <v>12.294304836363551</v>
      </c>
      <c r="BI239">
        <f>STANDARDIZE(BH239,AVERAGE($BH$2:$BH$253),_xlfn.STDEV.S($BH$2:$BH$253))</f>
        <v>1.2117483570069074</v>
      </c>
      <c r="BJ239" s="16"/>
      <c r="BK239">
        <f t="shared" si="54"/>
        <v>238</v>
      </c>
      <c r="BL239">
        <f t="shared" si="47"/>
        <v>0.94246031746031744</v>
      </c>
      <c r="BM239" s="5">
        <f t="shared" si="48"/>
        <v>1.5757676293730736</v>
      </c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>
        <f t="shared" si="49"/>
        <v>17.410945731993849</v>
      </c>
      <c r="CW239" s="5">
        <f t="shared" si="50"/>
        <v>17.410945731993849</v>
      </c>
      <c r="DK239" s="5">
        <v>18.765863588733652</v>
      </c>
      <c r="DL239" s="5">
        <f t="shared" si="51"/>
        <v>-0.89583775302737312</v>
      </c>
      <c r="DN239">
        <f t="shared" si="55"/>
        <v>238</v>
      </c>
      <c r="DO239" s="8">
        <f t="shared" si="52"/>
        <v>0.94246031746031744</v>
      </c>
      <c r="DP239">
        <f t="shared" si="53"/>
        <v>1.5757676293730736</v>
      </c>
    </row>
    <row r="240" spans="3:120" x14ac:dyDescent="0.35">
      <c r="C240" s="2">
        <v>239</v>
      </c>
      <c r="D240" s="3">
        <v>44124</v>
      </c>
      <c r="E240" s="1">
        <v>117.30761699999999</v>
      </c>
      <c r="F240" s="1">
        <f t="shared" si="43"/>
        <v>113.7863513712297</v>
      </c>
      <c r="Q240" s="2">
        <v>239</v>
      </c>
      <c r="R240" s="3">
        <v>44124</v>
      </c>
      <c r="S240" s="1">
        <v>173.259995</v>
      </c>
      <c r="T240" s="1">
        <f t="shared" si="44"/>
        <v>154.1476610107116</v>
      </c>
      <c r="AC240" s="5"/>
      <c r="AD240" s="5">
        <f t="shared" si="45"/>
        <v>3.5212656287702941</v>
      </c>
      <c r="AU240" s="5">
        <f t="shared" si="46"/>
        <v>3.5212656287702941</v>
      </c>
      <c r="BH240" s="5">
        <v>12.381089783198689</v>
      </c>
      <c r="BI240">
        <f>STANDARDIZE(BH240,AVERAGE($BH$2:$BH$253),_xlfn.STDEV.S($BH$2:$BH$253))</f>
        <v>1.2204792176405135</v>
      </c>
      <c r="BJ240" s="16"/>
      <c r="BK240">
        <f t="shared" si="54"/>
        <v>239</v>
      </c>
      <c r="BL240">
        <f t="shared" si="47"/>
        <v>0.9464285714285714</v>
      </c>
      <c r="BM240" s="5">
        <f t="shared" si="48"/>
        <v>1.6111691623526765</v>
      </c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>
        <f t="shared" si="49"/>
        <v>19.112333989288402</v>
      </c>
      <c r="CW240" s="5">
        <f t="shared" si="50"/>
        <v>19.112333989288402</v>
      </c>
      <c r="DK240" s="5">
        <v>19.112333989288402</v>
      </c>
      <c r="DL240" s="5">
        <f t="shared" si="51"/>
        <v>-0.863757336471913</v>
      </c>
      <c r="DN240">
        <f t="shared" si="55"/>
        <v>239</v>
      </c>
      <c r="DO240" s="8">
        <f t="shared" si="52"/>
        <v>0.9464285714285714</v>
      </c>
      <c r="DP240">
        <f t="shared" si="53"/>
        <v>1.6111691623526765</v>
      </c>
    </row>
    <row r="241" spans="3:120" x14ac:dyDescent="0.35">
      <c r="C241" s="2">
        <v>240</v>
      </c>
      <c r="D241" s="3">
        <v>44125</v>
      </c>
      <c r="E241" s="1">
        <v>116.668724</v>
      </c>
      <c r="F241" s="1">
        <f t="shared" si="43"/>
        <v>114.02992373958409</v>
      </c>
      <c r="Q241" s="2">
        <v>240</v>
      </c>
      <c r="R241" s="3">
        <v>44125</v>
      </c>
      <c r="S241" s="1">
        <v>172.86999499999999</v>
      </c>
      <c r="T241" s="1">
        <f t="shared" si="44"/>
        <v>154.11627175341704</v>
      </c>
      <c r="AC241" s="5"/>
      <c r="AD241" s="5">
        <f t="shared" si="45"/>
        <v>2.6388002604159055</v>
      </c>
      <c r="AU241" s="5">
        <f t="shared" si="46"/>
        <v>2.6388002604159055</v>
      </c>
      <c r="BH241" s="5">
        <v>12.473469941426728</v>
      </c>
      <c r="BI241">
        <f>STANDARDIZE(BH241,AVERAGE($BH$2:$BH$253),_xlfn.STDEV.S($BH$2:$BH$253))</f>
        <v>1.2297729755583662</v>
      </c>
      <c r="BJ241" s="16"/>
      <c r="BK241">
        <f t="shared" si="54"/>
        <v>240</v>
      </c>
      <c r="BL241">
        <f t="shared" si="47"/>
        <v>0.95039682539682535</v>
      </c>
      <c r="BM241" s="5">
        <f t="shared" si="48"/>
        <v>1.6487134702908506</v>
      </c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>
        <f t="shared" si="49"/>
        <v>18.75372324658295</v>
      </c>
      <c r="CW241" s="5">
        <f t="shared" si="50"/>
        <v>18.75372324658295</v>
      </c>
      <c r="DK241" s="5">
        <v>19.19678296011017</v>
      </c>
      <c r="DL241" s="5">
        <f t="shared" si="51"/>
        <v>-0.90068962649298268</v>
      </c>
      <c r="DN241">
        <f t="shared" si="55"/>
        <v>240</v>
      </c>
      <c r="DO241" s="8">
        <f t="shared" si="52"/>
        <v>0.95039682539682535</v>
      </c>
      <c r="DP241">
        <f t="shared" si="53"/>
        <v>1.6487134702908506</v>
      </c>
    </row>
    <row r="242" spans="3:120" x14ac:dyDescent="0.35">
      <c r="C242" s="2">
        <v>241</v>
      </c>
      <c r="D242" s="3">
        <v>44126</v>
      </c>
      <c r="E242" s="1">
        <v>115.55064400000001</v>
      </c>
      <c r="F242" s="1">
        <f t="shared" si="43"/>
        <v>114.27349610793848</v>
      </c>
      <c r="Q242" s="2">
        <v>241</v>
      </c>
      <c r="R242" s="3">
        <v>44126</v>
      </c>
      <c r="S242" s="1">
        <v>176.85000600000001</v>
      </c>
      <c r="T242" s="1">
        <f t="shared" si="44"/>
        <v>154.0848824961225</v>
      </c>
      <c r="AC242" s="5"/>
      <c r="AD242" s="5">
        <f t="shared" si="45"/>
        <v>1.2771478920615209</v>
      </c>
      <c r="AU242" s="5">
        <f t="shared" si="46"/>
        <v>1.2771478920615209</v>
      </c>
      <c r="BH242" s="5">
        <v>14.514985099654766</v>
      </c>
      <c r="BI242">
        <f>STANDARDIZE(BH242,AVERAGE($BH$2:$BH$253),_xlfn.STDEV.S($BH$2:$BH$253))</f>
        <v>1.4351563395851152</v>
      </c>
      <c r="BJ242" s="16"/>
      <c r="BK242">
        <f t="shared" si="54"/>
        <v>241</v>
      </c>
      <c r="BL242">
        <f t="shared" si="47"/>
        <v>0.95436507936507942</v>
      </c>
      <c r="BM242" s="5">
        <f t="shared" si="48"/>
        <v>1.688737002266798</v>
      </c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>
        <f t="shared" si="49"/>
        <v>22.765123503877504</v>
      </c>
      <c r="CW242" s="5">
        <f t="shared" si="50"/>
        <v>22.765123503877504</v>
      </c>
      <c r="DK242" s="5">
        <v>19.381223930931952</v>
      </c>
      <c r="DL242" s="5">
        <f t="shared" si="51"/>
        <v>-0.92266216761206876</v>
      </c>
      <c r="DN242">
        <f t="shared" si="55"/>
        <v>241</v>
      </c>
      <c r="DO242" s="8">
        <f t="shared" si="52"/>
        <v>0.95436507936507942</v>
      </c>
      <c r="DP242">
        <f t="shared" si="53"/>
        <v>1.688737002266798</v>
      </c>
    </row>
    <row r="243" spans="3:120" x14ac:dyDescent="0.35">
      <c r="C243" s="2">
        <v>242</v>
      </c>
      <c r="D243" s="3">
        <v>44127</v>
      </c>
      <c r="E243" s="1">
        <v>114.84187300000001</v>
      </c>
      <c r="F243" s="1">
        <f t="shared" si="43"/>
        <v>114.51706847629286</v>
      </c>
      <c r="Q243" s="2">
        <v>242</v>
      </c>
      <c r="R243" s="3">
        <v>44127</v>
      </c>
      <c r="S243" s="1">
        <v>175.53999300000001</v>
      </c>
      <c r="T243" s="1">
        <f t="shared" si="44"/>
        <v>154.05349323882794</v>
      </c>
      <c r="AC243" s="5"/>
      <c r="AD243" s="5">
        <f t="shared" si="45"/>
        <v>0.32480452370714374</v>
      </c>
      <c r="AU243" s="5">
        <f t="shared" si="46"/>
        <v>0.32480452370714374</v>
      </c>
      <c r="BH243" s="5">
        <v>14.516063047756461</v>
      </c>
      <c r="BI243">
        <f>STANDARDIZE(BH243,AVERAGE($BH$2:$BH$253),_xlfn.STDEV.S($BH$2:$BH$253))</f>
        <v>1.4352647848280911</v>
      </c>
      <c r="BJ243" s="16"/>
      <c r="BK243">
        <f t="shared" si="54"/>
        <v>242</v>
      </c>
      <c r="BL243">
        <f t="shared" si="47"/>
        <v>0.95833333333333337</v>
      </c>
      <c r="BM243" s="5">
        <f t="shared" si="48"/>
        <v>1.7316643961222455</v>
      </c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>
        <f t="shared" si="49"/>
        <v>21.48649976117207</v>
      </c>
      <c r="CW243" s="5">
        <f t="shared" si="50"/>
        <v>21.48649976117207</v>
      </c>
      <c r="DK243" s="5">
        <v>19.744843304939423</v>
      </c>
      <c r="DL243" s="5">
        <f t="shared" si="51"/>
        <v>-0.90915671964352474</v>
      </c>
      <c r="DN243">
        <f t="shared" si="55"/>
        <v>242</v>
      </c>
      <c r="DO243" s="8">
        <f t="shared" si="52"/>
        <v>0.95833333333333337</v>
      </c>
      <c r="DP243">
        <f t="shared" si="53"/>
        <v>1.7316643961222455</v>
      </c>
    </row>
    <row r="244" spans="3:120" x14ac:dyDescent="0.35">
      <c r="C244" s="2">
        <v>243</v>
      </c>
      <c r="D244" s="3">
        <v>44130</v>
      </c>
      <c r="E244" s="1">
        <v>114.85185199999999</v>
      </c>
      <c r="F244" s="1">
        <f t="shared" si="43"/>
        <v>114.76064084464726</v>
      </c>
      <c r="Q244" s="2">
        <v>243</v>
      </c>
      <c r="R244" s="3">
        <v>44130</v>
      </c>
      <c r="S244" s="1">
        <v>170.16999799999999</v>
      </c>
      <c r="T244" s="1">
        <f t="shared" si="44"/>
        <v>154.02210398153338</v>
      </c>
      <c r="AC244" s="5"/>
      <c r="AD244" s="5">
        <f t="shared" si="45"/>
        <v>9.121115535273816E-2</v>
      </c>
      <c r="AU244" s="5">
        <f t="shared" si="46"/>
        <v>9.121115535273816E-2</v>
      </c>
      <c r="BH244" s="5">
        <v>14.679770416110856</v>
      </c>
      <c r="BI244">
        <f>STANDARDIZE(BH244,AVERAGE($BH$2:$BH$253),_xlfn.STDEV.S($BH$2:$BH$253))</f>
        <v>1.4517343025258067</v>
      </c>
      <c r="BJ244" s="16"/>
      <c r="BK244">
        <f t="shared" si="54"/>
        <v>243</v>
      </c>
      <c r="BL244">
        <f t="shared" si="47"/>
        <v>0.96230158730158732</v>
      </c>
      <c r="BM244" s="5">
        <f t="shared" si="48"/>
        <v>1.7780428020381671</v>
      </c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>
        <f t="shared" si="49"/>
        <v>16.147894018466616</v>
      </c>
      <c r="CW244" s="5">
        <f t="shared" si="50"/>
        <v>16.147894018466616</v>
      </c>
      <c r="DK244" s="5">
        <v>19.74958384602823</v>
      </c>
      <c r="DL244" s="5">
        <f t="shared" si="51"/>
        <v>-0.99384972364481194</v>
      </c>
      <c r="DN244">
        <f t="shared" si="55"/>
        <v>243</v>
      </c>
      <c r="DO244" s="8">
        <f t="shared" si="52"/>
        <v>0.96230158730158732</v>
      </c>
      <c r="DP244">
        <f t="shared" si="53"/>
        <v>1.7780428020381671</v>
      </c>
    </row>
    <row r="245" spans="3:120" x14ac:dyDescent="0.35">
      <c r="C245" s="2">
        <v>244</v>
      </c>
      <c r="D245" s="3">
        <v>44131</v>
      </c>
      <c r="E245" s="1">
        <v>116.39917800000001</v>
      </c>
      <c r="F245" s="1">
        <f t="shared" si="43"/>
        <v>115.00421321300165</v>
      </c>
      <c r="Q245" s="2">
        <v>244</v>
      </c>
      <c r="R245" s="3">
        <v>44131</v>
      </c>
      <c r="S245" s="1">
        <v>166.75</v>
      </c>
      <c r="T245" s="1">
        <f t="shared" si="44"/>
        <v>153.99071472423881</v>
      </c>
      <c r="AC245" s="5"/>
      <c r="AD245" s="5">
        <f t="shared" si="45"/>
        <v>1.3949647869983579</v>
      </c>
      <c r="AU245" s="5">
        <f t="shared" si="46"/>
        <v>1.3949647869983579</v>
      </c>
      <c r="BH245" s="5">
        <v>19.574805889528406</v>
      </c>
      <c r="BI245">
        <f>STANDARDIZE(BH245,AVERAGE($BH$2:$BH$253),_xlfn.STDEV.S($BH$2:$BH$253))</f>
        <v>1.9441915093747548</v>
      </c>
      <c r="BJ245" s="16"/>
      <c r="BK245">
        <f t="shared" si="54"/>
        <v>244</v>
      </c>
      <c r="BL245">
        <f t="shared" si="47"/>
        <v>0.96626984126984128</v>
      </c>
      <c r="BM245" s="5">
        <f t="shared" si="48"/>
        <v>1.8285948988056846</v>
      </c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>
        <f t="shared" si="49"/>
        <v>12.759285275761187</v>
      </c>
      <c r="CW245" s="5">
        <f t="shared" si="50"/>
        <v>12.759285275761187</v>
      </c>
      <c r="DK245" s="5">
        <v>20.012619188226523</v>
      </c>
      <c r="DL245" s="5">
        <f t="shared" si="51"/>
        <v>-1.0431287018946926</v>
      </c>
      <c r="DN245">
        <f t="shared" si="55"/>
        <v>244</v>
      </c>
      <c r="DO245" s="8">
        <f t="shared" si="52"/>
        <v>0.96626984126984128</v>
      </c>
      <c r="DP245">
        <f t="shared" si="53"/>
        <v>1.8285948988056846</v>
      </c>
    </row>
    <row r="246" spans="3:120" x14ac:dyDescent="0.35">
      <c r="C246" s="2">
        <v>245</v>
      </c>
      <c r="D246" s="3">
        <v>44132</v>
      </c>
      <c r="E246" s="1">
        <v>111.008476</v>
      </c>
      <c r="F246" s="1">
        <f t="shared" si="43"/>
        <v>115.24778558135604</v>
      </c>
      <c r="Q246" s="2">
        <v>245</v>
      </c>
      <c r="R246" s="3">
        <v>44132</v>
      </c>
      <c r="S246" s="1">
        <v>161.16000399999999</v>
      </c>
      <c r="T246" s="1">
        <f t="shared" si="44"/>
        <v>153.95932546694428</v>
      </c>
      <c r="AC246" s="5"/>
      <c r="AD246" s="5">
        <f t="shared" si="45"/>
        <v>-4.2393095813560393</v>
      </c>
      <c r="AU246" s="5">
        <f t="shared" si="46"/>
        <v>-4.2393095813560393</v>
      </c>
      <c r="BH246" s="5">
        <v>20.020527257882804</v>
      </c>
      <c r="BI246">
        <f>STANDARDIZE(BH246,AVERAGE($BH$2:$BH$253),_xlfn.STDEV.S($BH$2:$BH$253))</f>
        <v>1.9890325940379168</v>
      </c>
      <c r="BJ246" s="16"/>
      <c r="BK246">
        <f t="shared" si="54"/>
        <v>245</v>
      </c>
      <c r="BL246">
        <f t="shared" si="47"/>
        <v>0.97023809523809523</v>
      </c>
      <c r="BM246" s="5">
        <f t="shared" si="48"/>
        <v>1.8843044227824219</v>
      </c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>
        <f t="shared" si="49"/>
        <v>7.2006785330557079</v>
      </c>
      <c r="CW246" s="5">
        <f t="shared" si="50"/>
        <v>7.2006785330557079</v>
      </c>
      <c r="DK246" s="5">
        <v>20.649561474699283</v>
      </c>
      <c r="DL246" s="5">
        <f t="shared" si="51"/>
        <v>-1.0255568399374</v>
      </c>
      <c r="DN246">
        <f t="shared" si="55"/>
        <v>245</v>
      </c>
      <c r="DO246" s="8">
        <f t="shared" si="52"/>
        <v>0.97023809523809523</v>
      </c>
      <c r="DP246">
        <f t="shared" si="53"/>
        <v>1.8843044227824219</v>
      </c>
    </row>
    <row r="247" spans="3:120" x14ac:dyDescent="0.35">
      <c r="C247" s="2">
        <v>246</v>
      </c>
      <c r="D247" s="3">
        <v>44133</v>
      </c>
      <c r="E247" s="1">
        <v>115.12138400000001</v>
      </c>
      <c r="F247" s="1">
        <f t="shared" si="43"/>
        <v>115.49135794971043</v>
      </c>
      <c r="Q247" s="2">
        <v>246</v>
      </c>
      <c r="R247" s="3">
        <v>44133</v>
      </c>
      <c r="S247" s="1">
        <v>164.60000600000001</v>
      </c>
      <c r="T247" s="1">
        <f t="shared" si="44"/>
        <v>153.92793620964972</v>
      </c>
      <c r="AC247" s="5"/>
      <c r="AD247" s="5">
        <f t="shared" si="45"/>
        <v>-0.36997394971042752</v>
      </c>
      <c r="AU247" s="5">
        <f t="shared" si="46"/>
        <v>-0.36997394971042752</v>
      </c>
      <c r="BH247" s="5">
        <v>20.322986994591588</v>
      </c>
      <c r="BI247">
        <f>STANDARDIZE(BH247,AVERAGE($BH$2:$BH$253),_xlfn.STDEV.S($BH$2:$BH$253))</f>
        <v>2.0194610716113153</v>
      </c>
      <c r="BJ247" s="16"/>
      <c r="BK247">
        <f t="shared" si="54"/>
        <v>246</v>
      </c>
      <c r="BL247">
        <f t="shared" si="47"/>
        <v>0.97420634920634919</v>
      </c>
      <c r="BM247" s="5">
        <f t="shared" si="48"/>
        <v>1.946561720798984</v>
      </c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>
        <f t="shared" si="49"/>
        <v>10.672069790350292</v>
      </c>
      <c r="CW247" s="5">
        <f t="shared" si="50"/>
        <v>10.672069790350292</v>
      </c>
      <c r="DK247" s="5">
        <v>21.024004445521058</v>
      </c>
      <c r="DL247" s="5">
        <f t="shared" si="51"/>
        <v>-1.0923103804505097</v>
      </c>
      <c r="DN247">
        <f t="shared" si="55"/>
        <v>246</v>
      </c>
      <c r="DO247" s="8">
        <f t="shared" si="52"/>
        <v>0.97420634920634919</v>
      </c>
      <c r="DP247">
        <f t="shared" si="53"/>
        <v>1.946561720798984</v>
      </c>
    </row>
    <row r="248" spans="3:120" x14ac:dyDescent="0.35">
      <c r="C248" s="2">
        <v>247</v>
      </c>
      <c r="D248" s="3">
        <v>44134</v>
      </c>
      <c r="E248" s="1">
        <v>108.672516</v>
      </c>
      <c r="F248" s="1">
        <f t="shared" si="43"/>
        <v>115.73493031806483</v>
      </c>
      <c r="Q248" s="2">
        <v>247</v>
      </c>
      <c r="R248" s="3">
        <v>44134</v>
      </c>
      <c r="S248" s="1">
        <v>164.949997</v>
      </c>
      <c r="T248" s="1">
        <f t="shared" si="44"/>
        <v>153.89654695235515</v>
      </c>
      <c r="AC248" s="5"/>
      <c r="AD248" s="5">
        <f t="shared" si="45"/>
        <v>-7.0624143180648247</v>
      </c>
      <c r="AU248" s="5">
        <f t="shared" si="46"/>
        <v>-7.0624143180648247</v>
      </c>
      <c r="BH248" s="5">
        <v>20.355915731300371</v>
      </c>
      <c r="BI248">
        <f>STANDARDIZE(BH248,AVERAGE($BH$2:$BH$253),_xlfn.STDEV.S($BH$2:$BH$253))</f>
        <v>2.0227738144489784</v>
      </c>
      <c r="BJ248" s="16"/>
      <c r="BK248">
        <f t="shared" si="54"/>
        <v>247</v>
      </c>
      <c r="BL248">
        <f t="shared" si="47"/>
        <v>0.97817460317460314</v>
      </c>
      <c r="BM248" s="5">
        <f t="shared" si="48"/>
        <v>2.0174287103431894</v>
      </c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>
        <f t="shared" si="49"/>
        <v>11.053450047644844</v>
      </c>
      <c r="CW248" s="5">
        <f t="shared" si="50"/>
        <v>11.053450047644844</v>
      </c>
      <c r="DK248" s="5">
        <v>21.48649976117207</v>
      </c>
      <c r="DL248" s="5">
        <f t="shared" si="51"/>
        <v>-1.1987997811535078</v>
      </c>
      <c r="DN248">
        <f t="shared" si="55"/>
        <v>247</v>
      </c>
      <c r="DO248" s="8">
        <f t="shared" si="52"/>
        <v>0.97817460317460314</v>
      </c>
      <c r="DP248">
        <f t="shared" si="53"/>
        <v>2.0174287103431894</v>
      </c>
    </row>
    <row r="249" spans="3:120" x14ac:dyDescent="0.35">
      <c r="C249" s="2">
        <v>248</v>
      </c>
      <c r="D249" s="3">
        <v>44137</v>
      </c>
      <c r="E249" s="1">
        <v>108.58266399999999</v>
      </c>
      <c r="F249" s="1">
        <f t="shared" si="43"/>
        <v>115.97850268641922</v>
      </c>
      <c r="Q249" s="2">
        <v>248</v>
      </c>
      <c r="R249" s="3">
        <v>44137</v>
      </c>
      <c r="S249" s="1">
        <v>173.61000100000001</v>
      </c>
      <c r="T249" s="1">
        <f t="shared" si="44"/>
        <v>153.86515769506059</v>
      </c>
      <c r="AC249" s="5"/>
      <c r="AD249" s="5">
        <f t="shared" si="45"/>
        <v>-7.3958386864192249</v>
      </c>
      <c r="AU249" s="5">
        <f t="shared" si="46"/>
        <v>-7.3958386864192249</v>
      </c>
      <c r="BH249" s="5">
        <v>21.597282362945975</v>
      </c>
      <c r="BI249">
        <f>STANDARDIZE(BH249,AVERAGE($BH$2:$BH$253),_xlfn.STDEV.S($BH$2:$BH$253))</f>
        <v>2.1476595169970905</v>
      </c>
      <c r="BJ249" s="16"/>
      <c r="BK249">
        <f t="shared" si="54"/>
        <v>248</v>
      </c>
      <c r="BL249">
        <f t="shared" si="47"/>
        <v>0.9821428571428571</v>
      </c>
      <c r="BM249" s="5">
        <f t="shared" si="48"/>
        <v>2.100165492844468</v>
      </c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>
        <f t="shared" si="49"/>
        <v>19.744843304939423</v>
      </c>
      <c r="CW249" s="5">
        <f t="shared" si="50"/>
        <v>19.744843304939423</v>
      </c>
      <c r="DK249" s="5">
        <v>22.765123503877504</v>
      </c>
      <c r="DL249" s="5">
        <f t="shared" si="51"/>
        <v>-1.1966505097984437</v>
      </c>
      <c r="DN249">
        <f t="shared" si="55"/>
        <v>248</v>
      </c>
      <c r="DO249" s="8">
        <f t="shared" si="52"/>
        <v>0.9821428571428571</v>
      </c>
      <c r="DP249">
        <f t="shared" si="53"/>
        <v>2.100165492844468</v>
      </c>
    </row>
    <row r="250" spans="3:120" x14ac:dyDescent="0.35">
      <c r="C250" s="2">
        <v>249</v>
      </c>
      <c r="D250" s="3">
        <v>44138</v>
      </c>
      <c r="E250" s="1">
        <v>110.24979399999999</v>
      </c>
      <c r="F250" s="1">
        <f t="shared" si="43"/>
        <v>116.22207505477361</v>
      </c>
      <c r="Q250" s="2">
        <v>249</v>
      </c>
      <c r="R250" s="3">
        <v>44138</v>
      </c>
      <c r="S250" s="1">
        <v>179.21000699999999</v>
      </c>
      <c r="T250" s="1">
        <f t="shared" si="44"/>
        <v>153.83376843776605</v>
      </c>
      <c r="AC250" s="5"/>
      <c r="AD250" s="5">
        <f t="shared" si="45"/>
        <v>-5.9722810547736174</v>
      </c>
      <c r="AU250" s="5">
        <f t="shared" si="46"/>
        <v>-5.9722810547736174</v>
      </c>
      <c r="BH250" s="5">
        <v>21.773994626237197</v>
      </c>
      <c r="BI250">
        <f>STANDARDIZE(BH250,AVERAGE($BH$2:$BH$253),_xlfn.STDEV.S($BH$2:$BH$253))</f>
        <v>2.1654373713290829</v>
      </c>
      <c r="BJ250" s="16"/>
      <c r="BK250">
        <f t="shared" si="54"/>
        <v>249</v>
      </c>
      <c r="BL250">
        <f t="shared" si="47"/>
        <v>0.98611111111111116</v>
      </c>
      <c r="BM250" s="5">
        <f t="shared" si="48"/>
        <v>2.2004105812100336</v>
      </c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>
        <f t="shared" si="49"/>
        <v>25.376238562233937</v>
      </c>
      <c r="CW250" s="5">
        <f t="shared" si="50"/>
        <v>25.376238562233937</v>
      </c>
      <c r="DK250" s="5">
        <v>25.107624819528496</v>
      </c>
      <c r="DL250" s="5">
        <f t="shared" si="51"/>
        <v>-0.90374143125952122</v>
      </c>
      <c r="DN250">
        <f t="shared" si="55"/>
        <v>249</v>
      </c>
      <c r="DO250" s="8">
        <f t="shared" si="52"/>
        <v>0.98611111111111116</v>
      </c>
      <c r="DP250">
        <f t="shared" si="53"/>
        <v>2.2004105812100336</v>
      </c>
    </row>
    <row r="251" spans="3:120" x14ac:dyDescent="0.35">
      <c r="C251" s="2">
        <v>250</v>
      </c>
      <c r="D251" s="3">
        <v>44139</v>
      </c>
      <c r="E251" s="1">
        <v>114.752022</v>
      </c>
      <c r="F251" s="1">
        <f t="shared" si="43"/>
        <v>116.465647423128</v>
      </c>
      <c r="Q251" s="2">
        <v>250</v>
      </c>
      <c r="R251" s="3">
        <v>44139</v>
      </c>
      <c r="S251" s="1">
        <v>178.91000399999999</v>
      </c>
      <c r="T251" s="1">
        <f t="shared" si="44"/>
        <v>153.80237918047149</v>
      </c>
      <c r="AC251" s="5"/>
      <c r="AD251" s="5">
        <f t="shared" si="45"/>
        <v>-1.7136254231280077</v>
      </c>
      <c r="AU251" s="5">
        <f t="shared" si="46"/>
        <v>-1.7136254231280077</v>
      </c>
      <c r="BH251" s="5">
        <v>23.556430521174022</v>
      </c>
      <c r="BI251">
        <f>STANDARDIZE(BH251,AVERAGE($BH$2:$BH$253),_xlfn.STDEV.S($BH$2:$BH$253))</f>
        <v>2.3447564808584485</v>
      </c>
      <c r="BJ251" s="16"/>
      <c r="BK251">
        <f t="shared" si="54"/>
        <v>250</v>
      </c>
      <c r="BL251">
        <f t="shared" si="47"/>
        <v>0.99007936507936511</v>
      </c>
      <c r="BM251" s="5">
        <f t="shared" si="48"/>
        <v>2.3293360530620011</v>
      </c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>
        <f t="shared" si="49"/>
        <v>25.107624819528496</v>
      </c>
      <c r="CW251" s="5">
        <f t="shared" si="50"/>
        <v>25.107624819528496</v>
      </c>
      <c r="DK251" s="5">
        <v>25.376238562233937</v>
      </c>
      <c r="DL251" s="5">
        <f t="shared" si="51"/>
        <v>-1.1343031290469154</v>
      </c>
      <c r="DN251">
        <f t="shared" si="55"/>
        <v>250</v>
      </c>
      <c r="DO251" s="8">
        <f t="shared" si="52"/>
        <v>0.99007936507936511</v>
      </c>
      <c r="DP251">
        <f t="shared" si="53"/>
        <v>2.3293360530620011</v>
      </c>
    </row>
    <row r="252" spans="3:120" x14ac:dyDescent="0.35">
      <c r="C252" s="2">
        <v>251</v>
      </c>
      <c r="D252" s="3">
        <v>44140</v>
      </c>
      <c r="E252" s="1">
        <v>118.824997</v>
      </c>
      <c r="F252" s="1">
        <f t="shared" si="43"/>
        <v>116.7092197914824</v>
      </c>
      <c r="Q252" s="2">
        <v>251</v>
      </c>
      <c r="R252" s="3">
        <v>44140</v>
      </c>
      <c r="S252" s="1">
        <v>183.279999</v>
      </c>
      <c r="T252" s="1">
        <f t="shared" si="44"/>
        <v>153.77098992317693</v>
      </c>
      <c r="AC252" s="5"/>
      <c r="AD252" s="5">
        <f t="shared" si="45"/>
        <v>2.1157772085175992</v>
      </c>
      <c r="AU252" s="5">
        <f t="shared" si="46"/>
        <v>2.1157772085175992</v>
      </c>
      <c r="BH252" s="5">
        <v>25.425227784465235</v>
      </c>
      <c r="BI252">
        <f>STANDARDIZE(BH252,AVERAGE($BH$2:$BH$253),_xlfn.STDEV.S($BH$2:$BH$253))</f>
        <v>2.532763837586514</v>
      </c>
      <c r="BJ252" s="16"/>
      <c r="BK252">
        <f t="shared" si="54"/>
        <v>251</v>
      </c>
      <c r="BL252">
        <f t="shared" si="47"/>
        <v>0.99404761904761907</v>
      </c>
      <c r="BM252" s="5">
        <f t="shared" si="48"/>
        <v>2.5149548778025288</v>
      </c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>
        <f t="shared" si="49"/>
        <v>29.509009076823077</v>
      </c>
      <c r="CW252" s="5">
        <f t="shared" si="50"/>
        <v>29.509009076823077</v>
      </c>
      <c r="DK252" s="5">
        <v>29.509009076823077</v>
      </c>
      <c r="DL252" s="5">
        <f t="shared" si="51"/>
        <v>-0.70710678118654757</v>
      </c>
      <c r="DN252">
        <f t="shared" si="55"/>
        <v>251</v>
      </c>
      <c r="DO252" s="8">
        <f t="shared" si="52"/>
        <v>0.99404761904761907</v>
      </c>
      <c r="DP252">
        <f t="shared" si="53"/>
        <v>2.5149548778025288</v>
      </c>
    </row>
    <row r="253" spans="3:120" ht="16" thickBot="1" x14ac:dyDescent="0.4">
      <c r="C253" s="2">
        <v>252</v>
      </c>
      <c r="D253" s="3">
        <v>44141</v>
      </c>
      <c r="E253" s="1">
        <v>118.69000200000001</v>
      </c>
      <c r="F253" s="1">
        <f t="shared" si="43"/>
        <v>116.95279215983678</v>
      </c>
      <c r="Q253" s="2">
        <v>252</v>
      </c>
      <c r="R253" s="3">
        <v>44141</v>
      </c>
      <c r="S253" s="1">
        <v>184.270004</v>
      </c>
      <c r="T253" s="1">
        <f t="shared" si="44"/>
        <v>153.73960066588236</v>
      </c>
      <c r="AC253" s="5"/>
      <c r="AD253" s="5">
        <f t="shared" si="45"/>
        <v>1.7372098401632314</v>
      </c>
      <c r="AU253" s="5">
        <f t="shared" si="46"/>
        <v>1.7372098401632314</v>
      </c>
      <c r="BH253" s="5">
        <v>28.444007152819651</v>
      </c>
      <c r="BI253">
        <f>STANDARDIZE(BH253,AVERAGE($BH$2:$BH$253),_xlfn.STDEV.S($BH$2:$BH$253))</f>
        <v>2.8364633028725414</v>
      </c>
      <c r="BJ253" s="16"/>
      <c r="BK253">
        <f t="shared" si="54"/>
        <v>252</v>
      </c>
      <c r="BL253">
        <f t="shared" si="47"/>
        <v>0.99801587301587302</v>
      </c>
      <c r="BM253" s="5">
        <f t="shared" si="48"/>
        <v>2.8806743591110586</v>
      </c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>
        <f t="shared" si="49"/>
        <v>30.530403334117636</v>
      </c>
      <c r="CW253" s="5">
        <f t="shared" si="50"/>
        <v>30.530403334117636</v>
      </c>
      <c r="DK253" s="5">
        <v>30.530403334117636</v>
      </c>
      <c r="DL253" s="5" t="e">
        <f t="shared" si="51"/>
        <v>#DIV/0!</v>
      </c>
      <c r="DN253">
        <f t="shared" si="55"/>
        <v>252</v>
      </c>
      <c r="DO253" s="8">
        <f t="shared" si="52"/>
        <v>0.99801587301587302</v>
      </c>
      <c r="DP253">
        <f t="shared" si="53"/>
        <v>2.8806743591110586</v>
      </c>
    </row>
    <row r="254" spans="3:120" ht="16" thickBot="1" x14ac:dyDescent="0.4">
      <c r="C254" s="2">
        <v>253</v>
      </c>
      <c r="D254" s="3">
        <v>44144</v>
      </c>
      <c r="E254" s="4"/>
      <c r="F254" s="1">
        <f t="shared" si="43"/>
        <v>117.19636452819117</v>
      </c>
      <c r="Q254" s="2">
        <v>253</v>
      </c>
      <c r="R254" s="3">
        <v>44144</v>
      </c>
      <c r="S254" s="4"/>
      <c r="T254" s="1">
        <f t="shared" si="44"/>
        <v>153.70821140858783</v>
      </c>
      <c r="AC254" s="5"/>
      <c r="AD254" s="5"/>
      <c r="BH254" s="5"/>
      <c r="CW254" s="5"/>
    </row>
    <row r="255" spans="3:120" x14ac:dyDescent="0.35">
      <c r="C255" s="2">
        <v>254</v>
      </c>
      <c r="D255" s="3">
        <v>44145</v>
      </c>
      <c r="E255" s="2"/>
      <c r="F255" s="1">
        <f t="shared" si="43"/>
        <v>117.43993689654556</v>
      </c>
      <c r="Q255" s="2">
        <v>254</v>
      </c>
      <c r="R255" s="3">
        <v>44145</v>
      </c>
      <c r="S255" s="2"/>
      <c r="T255" s="1">
        <f t="shared" si="44"/>
        <v>153.67682215129327</v>
      </c>
      <c r="AC255" s="5"/>
      <c r="AD255" s="5"/>
      <c r="BH255" s="5"/>
      <c r="CW255" s="5"/>
    </row>
    <row r="256" spans="3:120" x14ac:dyDescent="0.35">
      <c r="C256" s="2">
        <v>255</v>
      </c>
      <c r="D256" s="3">
        <v>44146</v>
      </c>
      <c r="E256" s="2"/>
      <c r="F256" s="1">
        <f t="shared" si="43"/>
        <v>117.68350926489995</v>
      </c>
      <c r="Q256" s="2">
        <v>255</v>
      </c>
      <c r="R256" s="3">
        <v>44146</v>
      </c>
      <c r="S256" s="2"/>
      <c r="T256" s="1">
        <f t="shared" si="44"/>
        <v>153.6454328939987</v>
      </c>
      <c r="AC256" s="5"/>
      <c r="AD256" s="5"/>
      <c r="BH256" s="5"/>
      <c r="CW256" s="5"/>
    </row>
    <row r="257" spans="3:101" x14ac:dyDescent="0.35">
      <c r="C257" s="2">
        <v>256</v>
      </c>
      <c r="D257" s="3">
        <v>44147</v>
      </c>
      <c r="E257" s="2"/>
      <c r="F257" s="1">
        <f t="shared" si="43"/>
        <v>117.92708163325435</v>
      </c>
      <c r="Q257" s="2">
        <v>256</v>
      </c>
      <c r="R257" s="3">
        <v>44147</v>
      </c>
      <c r="S257" s="2"/>
      <c r="T257" s="1">
        <f t="shared" si="44"/>
        <v>153.61404363670414</v>
      </c>
      <c r="AC257" s="5"/>
      <c r="AD257" s="5"/>
      <c r="BH257" s="5"/>
      <c r="CW257" s="5"/>
    </row>
    <row r="258" spans="3:101" x14ac:dyDescent="0.35">
      <c r="C258" s="2">
        <v>257</v>
      </c>
      <c r="D258" s="3">
        <v>44148</v>
      </c>
      <c r="F258" s="1">
        <f t="shared" si="43"/>
        <v>118.17065400160874</v>
      </c>
      <c r="Q258" s="2">
        <v>257</v>
      </c>
      <c r="R258" s="3">
        <v>44148</v>
      </c>
      <c r="S258" s="2"/>
      <c r="T258" s="1">
        <f t="shared" si="44"/>
        <v>153.5826543794096</v>
      </c>
      <c r="AC258" s="5"/>
      <c r="AD258" s="5"/>
      <c r="BH258" s="5"/>
      <c r="CW258" s="5"/>
    </row>
    <row r="259" spans="3:101" x14ac:dyDescent="0.35">
      <c r="E259" s="2"/>
    </row>
  </sheetData>
  <sortState xmlns:xlrd2="http://schemas.microsoft.com/office/spreadsheetml/2017/richdata2" ref="DK2:DK253">
    <sortCondition ref="DK2:DK253"/>
  </sortState>
  <pageMargins left="0.7" right="0.7" top="0.75" bottom="0.75" header="0.3" footer="0.3"/>
  <pageSetup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EF013FA7CFDC43BFF299263F39E2D3" ma:contentTypeVersion="8" ma:contentTypeDescription="Create a new document." ma:contentTypeScope="" ma:versionID="ebe83211bdd26913ca98ae911ce99606">
  <xsd:schema xmlns:xsd="http://www.w3.org/2001/XMLSchema" xmlns:xs="http://www.w3.org/2001/XMLSchema" xmlns:p="http://schemas.microsoft.com/office/2006/metadata/properties" xmlns:ns3="5b9d920d-9282-4543-ab94-211420538ddd" xmlns:ns4="12944c20-9e1a-4675-9112-9b3793e9e75a" targetNamespace="http://schemas.microsoft.com/office/2006/metadata/properties" ma:root="true" ma:fieldsID="9e681f98c51f7de2f4e618252ea6c1fe" ns3:_="" ns4:_="">
    <xsd:import namespace="5b9d920d-9282-4543-ab94-211420538ddd"/>
    <xsd:import namespace="12944c20-9e1a-4675-9112-9b3793e9e7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d920d-9282-4543-ab94-211420538d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44c20-9e1a-4675-9112-9b3793e9e75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b9d920d-9282-4543-ab94-211420538ddd" xsi:nil="true"/>
  </documentManagement>
</p:properties>
</file>

<file path=customXml/itemProps1.xml><?xml version="1.0" encoding="utf-8"?>
<ds:datastoreItem xmlns:ds="http://schemas.openxmlformats.org/officeDocument/2006/customXml" ds:itemID="{E7BB94F0-567F-4E38-8226-1D234E6C91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9d920d-9282-4543-ab94-211420538ddd"/>
    <ds:schemaRef ds:uri="12944c20-9e1a-4675-9112-9b3793e9e7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4DCDFD-BD02-4078-9DD0-06EA18924F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9E9E1E-EA1E-4DFF-A909-89B6966881AC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12944c20-9e1a-4675-9112-9b3793e9e75a"/>
    <ds:schemaRef ds:uri="http://schemas.microsoft.com/office/2006/metadata/properties"/>
    <ds:schemaRef ds:uri="http://schemas.microsoft.com/office/infopath/2007/PartnerControls"/>
    <ds:schemaRef ds:uri="5b9d920d-9282-4543-ab94-211420538ddd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6050_Module3Project_Data</vt:lpstr>
      <vt:lpstr>Part 1</vt:lpstr>
      <vt:lpstr>Part 2</vt:lpstr>
      <vt:lpstr>Part 3</vt:lpstr>
    </vt:vector>
  </TitlesOfParts>
  <Manager>CPS</Manager>
  <Company>Northeastern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ALY6050- Module 3 Project Data</dc:title>
  <dc:subject>Enterprise Analytics - Forecasting</dc:subject>
  <dc:creator>Rasoul Behboudi</dc:creator>
  <cp:keywords>Forecasting/Prediction</cp:keywords>
  <dc:description/>
  <cp:lastModifiedBy>Sean McLean</cp:lastModifiedBy>
  <dcterms:created xsi:type="dcterms:W3CDTF">2020-11-08T14:21:04Z</dcterms:created>
  <dcterms:modified xsi:type="dcterms:W3CDTF">2024-03-19T18:57:59Z</dcterms:modified>
  <cp:category>Analytics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0x0101003BEF013FA7CFDC43BFF299263F39E2D3</vt:lpwstr>
  </property>
</Properties>
</file>