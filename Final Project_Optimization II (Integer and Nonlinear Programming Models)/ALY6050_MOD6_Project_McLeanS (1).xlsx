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m\Downloads\"/>
    </mc:Choice>
  </mc:AlternateContent>
  <xr:revisionPtr revIDLastSave="0" documentId="13_ncr:1_{7B4C7622-2859-49C9-B5A4-7813F294EB79}" xr6:coauthVersionLast="47" xr6:coauthVersionMax="47" xr10:uidLastSave="{00000000-0000-0000-0000-000000000000}"/>
  <bookViews>
    <workbookView xWindow="-110" yWindow="-110" windowWidth="19420" windowHeight="10300" xr2:uid="{7AEC5213-303D-0540-92AB-43C9CF7CF98F}"/>
  </bookViews>
  <sheets>
    <sheet name="Part 1" sheetId="1" r:id="rId1"/>
    <sheet name="Part 2" sheetId="2" r:id="rId2"/>
  </sheets>
  <definedNames>
    <definedName name="_xlchart.v1.0" hidden="1">'Part 2'!$M$16:$T$16</definedName>
    <definedName name="_xlchart.v1.1" hidden="1">'Part 2'!$M$16:$T$16</definedName>
    <definedName name="_xlchart.v1.10" hidden="1">'Part 2'!$M$21:$T$21</definedName>
    <definedName name="_xlchart.v1.11" hidden="1">'Part 2'!$M$21:$T$21</definedName>
    <definedName name="_xlchart.v1.12" hidden="1">'Part 2'!$M$22:$T$22</definedName>
    <definedName name="_xlchart.v1.13" hidden="1">'Part 2'!$M$22:$T$22</definedName>
    <definedName name="_xlchart.v1.14" hidden="1">'Part 2'!$M$23:$T$23</definedName>
    <definedName name="_xlchart.v1.15" hidden="1">'Part 2'!$M$23:$T$23</definedName>
    <definedName name="_xlchart.v1.16" hidden="1">'Part 2'!$M$24:$T$24</definedName>
    <definedName name="_xlchart.v1.17" hidden="1">'Part 2'!$M$24:$T$24</definedName>
    <definedName name="_xlchart.v1.18" hidden="1">'Part 2'!$L$17:$L$24</definedName>
    <definedName name="_xlchart.v1.19" hidden="1">'Part 2'!$M$16</definedName>
    <definedName name="_xlchart.v1.2" hidden="1">'Part 2'!$M$17:$T$17</definedName>
    <definedName name="_xlchart.v1.20" hidden="1">'Part 2'!$M$17:$M$24</definedName>
    <definedName name="_xlchart.v1.21" hidden="1">'Part 2'!$N$16</definedName>
    <definedName name="_xlchart.v1.22" hidden="1">'Part 2'!$N$17:$N$24</definedName>
    <definedName name="_xlchart.v1.23" hidden="1">'Part 2'!$O$16</definedName>
    <definedName name="_xlchart.v1.24" hidden="1">'Part 2'!$O$17:$O$24</definedName>
    <definedName name="_xlchart.v1.25" hidden="1">'Part 2'!$P$16</definedName>
    <definedName name="_xlchart.v1.26" hidden="1">'Part 2'!$P$17:$P$24</definedName>
    <definedName name="_xlchart.v1.27" hidden="1">'Part 2'!$Q$16</definedName>
    <definedName name="_xlchart.v1.28" hidden="1">'Part 2'!$Q$17:$Q$24</definedName>
    <definedName name="_xlchart.v1.29" hidden="1">'Part 2'!$R$16</definedName>
    <definedName name="_xlchart.v1.3" hidden="1">'Part 2'!$M$17:$T$17</definedName>
    <definedName name="_xlchart.v1.30" hidden="1">'Part 2'!$R$17:$R$24</definedName>
    <definedName name="_xlchart.v1.31" hidden="1">'Part 2'!$S$16</definedName>
    <definedName name="_xlchart.v1.32" hidden="1">'Part 2'!$S$17:$S$24</definedName>
    <definedName name="_xlchart.v1.33" hidden="1">'Part 2'!$T$16</definedName>
    <definedName name="_xlchart.v1.34" hidden="1">'Part 2'!$T$17:$T$24</definedName>
    <definedName name="_xlchart.v1.35" hidden="1">'Part 2'!$M$16:$T$16</definedName>
    <definedName name="_xlchart.v1.36" hidden="1">'Part 2'!$M$16:$T$16</definedName>
    <definedName name="_xlchart.v1.37" hidden="1">'Part 2'!$M$17:$T$17</definedName>
    <definedName name="_xlchart.v1.38" hidden="1">'Part 2'!$M$17:$T$17</definedName>
    <definedName name="_xlchart.v1.39" hidden="1">'Part 2'!$M$18:$T$18</definedName>
    <definedName name="_xlchart.v1.4" hidden="1">'Part 2'!$M$18:$T$18</definedName>
    <definedName name="_xlchart.v1.40" hidden="1">'Part 2'!$M$18:$T$18</definedName>
    <definedName name="_xlchart.v1.41" hidden="1">'Part 2'!$M$19:$T$19</definedName>
    <definedName name="_xlchart.v1.42" hidden="1">'Part 2'!$M$19:$T$19</definedName>
    <definedName name="_xlchart.v1.43" hidden="1">'Part 2'!$M$20:$T$20</definedName>
    <definedName name="_xlchart.v1.44" hidden="1">'Part 2'!$M$20:$T$20</definedName>
    <definedName name="_xlchart.v1.45" hidden="1">'Part 2'!$M$21:$T$21</definedName>
    <definedName name="_xlchart.v1.46" hidden="1">'Part 2'!$M$21:$T$21</definedName>
    <definedName name="_xlchart.v1.47" hidden="1">'Part 2'!$M$22:$T$22</definedName>
    <definedName name="_xlchart.v1.48" hidden="1">'Part 2'!$M$22:$T$22</definedName>
    <definedName name="_xlchart.v1.49" hidden="1">'Part 2'!$M$23:$T$23</definedName>
    <definedName name="_xlchart.v1.5" hidden="1">'Part 2'!$M$18:$T$18</definedName>
    <definedName name="_xlchart.v1.50" hidden="1">'Part 2'!$M$23:$T$23</definedName>
    <definedName name="_xlchart.v1.51" hidden="1">'Part 2'!$M$24:$T$24</definedName>
    <definedName name="_xlchart.v1.52" hidden="1">'Part 2'!$M$24:$T$24</definedName>
    <definedName name="_xlchart.v1.6" hidden="1">'Part 2'!$M$19:$T$19</definedName>
    <definedName name="_xlchart.v1.7" hidden="1">'Part 2'!$M$19:$T$19</definedName>
    <definedName name="_xlchart.v1.8" hidden="1">'Part 2'!$M$20:$T$20</definedName>
    <definedName name="_xlchart.v1.9" hidden="1">'Part 2'!$M$20:$T$20</definedName>
    <definedName name="solver_adj" localSheetId="0" hidden="1">'Part 1'!$Z$19:$AH$27</definedName>
    <definedName name="solver_adj" localSheetId="1" hidden="1">'Part 2'!$F$17:$F$22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'Part 1'!$AI$19:$AI$24</definedName>
    <definedName name="solver_lhs1" localSheetId="1" hidden="1">'Part 2'!$F$24</definedName>
    <definedName name="solver_lhs2" localSheetId="0" hidden="1">'Part 1'!$AI$25</definedName>
    <definedName name="solver_lhs2" localSheetId="1" hidden="1">'Part 2'!$F$17:$F$22</definedName>
    <definedName name="solver_lhs3" localSheetId="0" hidden="1">'Part 1'!$AI$26</definedName>
    <definedName name="solver_lhs4" localSheetId="0" hidden="1">'Part 1'!$AI$27</definedName>
    <definedName name="solver_lhs5" localSheetId="0" hidden="1">'Part 1'!$Z$28:$AB$28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'Part 1'!$AJ$4</definedName>
    <definedName name="solver_opt" localSheetId="1" hidden="1">'Part 2'!$J$17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2</definedName>
    <definedName name="solver_rel1" localSheetId="1" hidden="1">2</definedName>
    <definedName name="solver_rel2" localSheetId="0" hidden="1">2</definedName>
    <definedName name="solver_rel2" localSheetId="1" hidden="1">2</definedName>
    <definedName name="solver_rel3" localSheetId="0" hidden="1">2</definedName>
    <definedName name="solver_rel4" localSheetId="0" hidden="1">2</definedName>
    <definedName name="solver_rel5" localSheetId="0" hidden="1">1</definedName>
    <definedName name="solver_rhs1" localSheetId="0" hidden="1">'Part 1'!$AK$19:$AK$24</definedName>
    <definedName name="solver_rhs1" localSheetId="1" hidden="1">1</definedName>
    <definedName name="solver_rhs2" localSheetId="0" hidden="1">'Part 1'!$Z$28</definedName>
    <definedName name="solver_rhs2" localSheetId="1" hidden="1">1</definedName>
    <definedName name="solver_rhs3" localSheetId="0" hidden="1">'Part 1'!$AA$28</definedName>
    <definedName name="solver_rhs4" localSheetId="0" hidden="1">'Part 1'!$AB$28</definedName>
    <definedName name="solver_rhs5" localSheetId="0" hidden="1">'Part 1'!$Z$30:$AB$30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2" l="1"/>
  <c r="T18" i="2"/>
  <c r="T19" i="2"/>
  <c r="T20" i="2"/>
  <c r="T21" i="2"/>
  <c r="T22" i="2"/>
  <c r="T23" i="2"/>
  <c r="T17" i="2"/>
  <c r="S18" i="2"/>
  <c r="S19" i="2"/>
  <c r="S20" i="2"/>
  <c r="S21" i="2"/>
  <c r="S22" i="2"/>
  <c r="S23" i="2"/>
  <c r="S24" i="2"/>
  <c r="S17" i="2"/>
  <c r="R18" i="2"/>
  <c r="R19" i="2"/>
  <c r="R20" i="2"/>
  <c r="R21" i="2"/>
  <c r="R22" i="2"/>
  <c r="R23" i="2"/>
  <c r="R24" i="2"/>
  <c r="R17" i="2"/>
  <c r="Q18" i="2"/>
  <c r="Q19" i="2"/>
  <c r="Q20" i="2"/>
  <c r="Q21" i="2"/>
  <c r="Q22" i="2"/>
  <c r="Q23" i="2"/>
  <c r="Q24" i="2"/>
  <c r="Q17" i="2"/>
  <c r="P18" i="2"/>
  <c r="P19" i="2"/>
  <c r="P20" i="2"/>
  <c r="P21" i="2"/>
  <c r="P22" i="2"/>
  <c r="P23" i="2"/>
  <c r="P24" i="2"/>
  <c r="P17" i="2"/>
  <c r="O18" i="2"/>
  <c r="O19" i="2"/>
  <c r="O20" i="2"/>
  <c r="O21" i="2"/>
  <c r="O22" i="2"/>
  <c r="O23" i="2"/>
  <c r="O24" i="2"/>
  <c r="O17" i="2"/>
  <c r="N18" i="2"/>
  <c r="N19" i="2"/>
  <c r="N20" i="2"/>
  <c r="N21" i="2"/>
  <c r="N22" i="2"/>
  <c r="N23" i="2"/>
  <c r="N24" i="2"/>
  <c r="N17" i="2"/>
  <c r="M18" i="2"/>
  <c r="M19" i="2"/>
  <c r="M20" i="2"/>
  <c r="M21" i="2"/>
  <c r="M22" i="2"/>
  <c r="M23" i="2"/>
  <c r="M24" i="2"/>
  <c r="M17" i="2"/>
  <c r="H18" i="2"/>
  <c r="H19" i="2"/>
  <c r="H20" i="2"/>
  <c r="H21" i="2"/>
  <c r="H22" i="2"/>
  <c r="G18" i="2"/>
  <c r="G19" i="2"/>
  <c r="G20" i="2"/>
  <c r="G21" i="2"/>
  <c r="G22" i="2"/>
  <c r="H23" i="2"/>
  <c r="H17" i="2"/>
  <c r="F24" i="2"/>
  <c r="J16" i="2" a="1"/>
  <c r="J16" i="2" s="1"/>
  <c r="J17" i="2" a="1"/>
  <c r="J17" i="2" s="1"/>
  <c r="J18" i="2" s="1"/>
  <c r="G17" i="2"/>
  <c r="AA28" i="1"/>
  <c r="AB28" i="1"/>
  <c r="AC28" i="1"/>
  <c r="AD28" i="1"/>
  <c r="AE28" i="1"/>
  <c r="AF28" i="1"/>
  <c r="AG28" i="1"/>
  <c r="AH28" i="1"/>
  <c r="Z28" i="1"/>
  <c r="AI20" i="1"/>
  <c r="AI21" i="1"/>
  <c r="AI22" i="1"/>
  <c r="AI23" i="1"/>
  <c r="AI24" i="1"/>
  <c r="AI25" i="1"/>
  <c r="AI26" i="1"/>
  <c r="AI27" i="1"/>
  <c r="AI19" i="1"/>
  <c r="AJ4" i="1"/>
  <c r="O12" i="1"/>
  <c r="P12" i="1"/>
  <c r="N12" i="1"/>
  <c r="Q7" i="1"/>
  <c r="Q8" i="1"/>
  <c r="Q9" i="1"/>
  <c r="Q10" i="1"/>
  <c r="Q11" i="1"/>
  <c r="Q6" i="1"/>
  <c r="Q14" i="1"/>
  <c r="S12" i="1"/>
  <c r="U6" i="1"/>
  <c r="G24" i="2" l="1"/>
  <c r="H2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<sst xmlns="http://schemas.openxmlformats.org/spreadsheetml/2006/main" count="262" uniqueCount="111">
  <si>
    <t>Waste Proposal Site</t>
  </si>
  <si>
    <t>Plant:</t>
  </si>
  <si>
    <t>Orangeburg</t>
  </si>
  <si>
    <t>Florence</t>
  </si>
  <si>
    <t>Macon</t>
  </si>
  <si>
    <t>Denver</t>
  </si>
  <si>
    <t>Morganton</t>
  </si>
  <si>
    <t>Morrisville</t>
  </si>
  <si>
    <t>Pineville</t>
  </si>
  <si>
    <t>Rockhill</t>
  </si>
  <si>
    <t>Statesville</t>
  </si>
  <si>
    <t>Waste per Week (bbl)</t>
  </si>
  <si>
    <t xml:space="preserve">Table 1: Shipping costs, per barrel of waste from six plants to three waste disposal sites </t>
  </si>
  <si>
    <t>Plant</t>
  </si>
  <si>
    <t>$---</t>
  </si>
  <si>
    <t>---</t>
  </si>
  <si>
    <t>Waste Disposal Site:</t>
  </si>
  <si>
    <t xml:space="preserve">Table 3: Shipping costs, per barrel of waste between the three waste disposal sites </t>
  </si>
  <si>
    <t>Expected Returns</t>
  </si>
  <si>
    <t>Bonds</t>
  </si>
  <si>
    <t>High tech stocks</t>
  </si>
  <si>
    <t>Foreign stocks</t>
  </si>
  <si>
    <t>Call options</t>
  </si>
  <si>
    <t>Put options</t>
  </si>
  <si>
    <t>Gold</t>
  </si>
  <si>
    <r>
      <t xml:space="preserve">Table </t>
    </r>
    <r>
      <rPr>
        <sz val="9"/>
        <color theme="1"/>
        <rFont val="Palatino Linotype"/>
        <family val="1"/>
      </rPr>
      <t xml:space="preserve"> Table 2: Shipping costs, per barrel of waste from each plant to another plant </t>
    </r>
  </si>
  <si>
    <t>Subject To (Constraints):</t>
  </si>
  <si>
    <t>Destination P: Xap+Xbp+Xcp+Xdp+Xep+Xfp ≤ 65</t>
  </si>
  <si>
    <t>Destination Q: Xaq+Xbq+Xcq+Xdq+Xeq+Xfq ≤ 80</t>
  </si>
  <si>
    <t>Destination R: Xar+Xbr+Xcr+Xdr+Xer+Xfr ≤ 105</t>
  </si>
  <si>
    <t>Denver (A)</t>
  </si>
  <si>
    <t>Morganton (B)</t>
  </si>
  <si>
    <t>Morrisville (C)</t>
  </si>
  <si>
    <t>Pineville (D)</t>
  </si>
  <si>
    <t>Statesville (F)</t>
  </si>
  <si>
    <t>Rockhill (E)</t>
  </si>
  <si>
    <t>Orangeburg (P)</t>
  </si>
  <si>
    <t>Florence (Q)</t>
  </si>
  <si>
    <t>Macon (R)</t>
  </si>
  <si>
    <t>Costs ($)</t>
  </si>
  <si>
    <t>Shipped To:</t>
  </si>
  <si>
    <t>Shipped From:</t>
  </si>
  <si>
    <t>Demand:</t>
  </si>
  <si>
    <t>Destination</t>
  </si>
  <si>
    <t xml:space="preserve">≤ </t>
  </si>
  <si>
    <t>Total Cost Z</t>
  </si>
  <si>
    <t>=</t>
  </si>
  <si>
    <t>≥</t>
  </si>
  <si>
    <r>
      <t xml:space="preserve">Minimize: Z = </t>
    </r>
    <r>
      <rPr>
        <sz val="12"/>
        <color theme="1"/>
        <rFont val="Aptos Narrow"/>
        <family val="2"/>
      </rPr>
      <t>∑Cij Xij , i=A,B,C,D,E,F; j=A1, B1, C1, D1, E1, F1, P1, Q1, R1, P,Q,R</t>
    </r>
  </si>
  <si>
    <r>
      <t xml:space="preserve">Minimize: Z = </t>
    </r>
    <r>
      <rPr>
        <sz val="12"/>
        <color theme="1"/>
        <rFont val="Aptos Narrow"/>
        <family val="2"/>
      </rPr>
      <t>∑Cij Xij , i=A,B,C,D,E,F; j= P,Q,R</t>
    </r>
  </si>
  <si>
    <t>Source A: Xap+Xaq+Xar ≥ 45</t>
  </si>
  <si>
    <t>Source B: Xbp+Xbq+Xbr ≥ 26</t>
  </si>
  <si>
    <t>Source C: Xcp+Xcq+Xcr ≥ 42</t>
  </si>
  <si>
    <t>Source D: Xdp+Xdq+Xdr ≥ 53</t>
  </si>
  <si>
    <t>Source E: Xep+Xeq+Xer ≥ 29</t>
  </si>
  <si>
    <t>Source F: Xfp+Xfq+Xfr ≥ 38</t>
  </si>
  <si>
    <t>Non-Negativity: Xij ≥ 1</t>
  </si>
  <si>
    <t>Node A: Xab1+Xac1+Xad1+Xae1+Xaf1+Xap1+Xaq1+Xar1 = Xa1p + Xa1q+ Xa1r</t>
  </si>
  <si>
    <t>Node B: Xaa1+Xac1+Xad1+Xae1+Xaf1+Xap1+Xaq1+Xar1 = Xb1p + Xb1q+ Xb1r</t>
  </si>
  <si>
    <t>Node C: Xaa1+Xab1+Xad1+Xae1+Xaf1+Xap1+Xaq1+Xar1 = Xc1p + Xc1q+ Xc1r</t>
  </si>
  <si>
    <t>Node D: Xaa1+Xab1+Xac1+Xae1+Xaf1+Xap1+Xaq1+Xar1 = Xd1p + Xd1q+ Xd1r</t>
  </si>
  <si>
    <t>Node E: Xaa1+Xab1+Xac1+Xad1+Xaf1+Xap1+Xaq1+Xar1 = Xe1p + Xe1q+ Xe1r</t>
  </si>
  <si>
    <t>Node F: Xaa1+Xab1+Xac1+Xad1+Xae1+Xap1+Xaq1+Xar1 = Xf1p + Xf1q+ Xf1r</t>
  </si>
  <si>
    <t>Node P1: Xaa1+Xab1+Xac1+Xad1+Xae1+Xaf1+Xaq1+Xar1 = Xp1p + Xp1q+ Xp1r</t>
  </si>
  <si>
    <t>Node Q1: Xaa1+Xab1+Xac1+Xad1+Xae1+Xaf1+Xap1+Xar1 = Xq1p + Xq1q+ Xq1r</t>
  </si>
  <si>
    <t>Node R1: Xaa1+Xab1+Xac1+Xad1+Xae1+Xaf1+Xap1+Xaq1 = Xr1p + Xr1q+ Xr1r</t>
  </si>
  <si>
    <t>Total Cost</t>
  </si>
  <si>
    <t>Sum:</t>
  </si>
  <si>
    <t>Condition:</t>
  </si>
  <si>
    <t>Supply</t>
  </si>
  <si>
    <t>Transportation Linear Programming Example</t>
  </si>
  <si>
    <t>Transshipment Linear Programming Example</t>
  </si>
  <si>
    <t>Decision Variables</t>
  </si>
  <si>
    <t>x1: Fraction invested in bonds</t>
  </si>
  <si>
    <t>x2: Fraction invested in high tech stocks</t>
  </si>
  <si>
    <t>x3: Fraction invested in foreign stocks</t>
  </si>
  <si>
    <t>x4: Fraction invested in call options</t>
  </si>
  <si>
    <t>x5: Fraction invested in put options</t>
  </si>
  <si>
    <t>x6: Fraction invested in gold</t>
  </si>
  <si>
    <t>xi ≥ 0</t>
  </si>
  <si>
    <t>c^t=[0.07 0.12 0.11 0.14 0.14 0.09]</t>
  </si>
  <si>
    <t>u = c^tx</t>
  </si>
  <si>
    <t>Target Return</t>
  </si>
  <si>
    <t>Objection Function</t>
  </si>
  <si>
    <t>Allocation</t>
  </si>
  <si>
    <t>Expected Portfolio Return/Constraints</t>
  </si>
  <si>
    <r>
      <rPr>
        <sz val="12"/>
        <color theme="1"/>
        <rFont val="SimHei"/>
        <family val="3"/>
        <charset val="134"/>
      </rPr>
      <t>To Minimize: σ^2</t>
    </r>
    <r>
      <rPr>
        <sz val="12"/>
        <color theme="1"/>
        <rFont val="Calibri"/>
        <family val="2"/>
      </rPr>
      <t xml:space="preserve"> = x^T</t>
    </r>
    <r>
      <rPr>
        <sz val="12"/>
        <color theme="1"/>
        <rFont val="Aptos Narrow"/>
        <family val="2"/>
      </rPr>
      <t>∑</t>
    </r>
    <r>
      <rPr>
        <sz val="12"/>
        <color theme="1"/>
        <rFont val="Calibri"/>
        <family val="2"/>
      </rPr>
      <t>x</t>
    </r>
  </si>
  <si>
    <t>Expected Return</t>
  </si>
  <si>
    <r>
      <t xml:space="preserve">0.07x1+0.12x2+0.11x3+0.14x4+0.14x5+0.09x6 </t>
    </r>
    <r>
      <rPr>
        <sz val="12"/>
        <color theme="1"/>
        <rFont val="Aptos Narrow"/>
        <family val="2"/>
      </rPr>
      <t>≥</t>
    </r>
    <r>
      <rPr>
        <sz val="12"/>
        <color theme="1"/>
        <rFont val="Calibri"/>
        <family val="2"/>
      </rPr>
      <t xml:space="preserve"> 0.11</t>
    </r>
  </si>
  <si>
    <t>Total Investment: xi X Ri ≥ Minimum Return * 10000</t>
  </si>
  <si>
    <t>Weights</t>
  </si>
  <si>
    <t>Portfolio Returns</t>
  </si>
  <si>
    <t>Portfolio Variance</t>
  </si>
  <si>
    <t>Portfolio SD</t>
  </si>
  <si>
    <t>Weights &amp; Investment</t>
  </si>
  <si>
    <t>e</t>
  </si>
  <si>
    <t>u = 0.07x1+0.12x2+0.11x3+0.14x4+0.14x5+0.09x6</t>
  </si>
  <si>
    <t>Baseline Expected Return: u = ≥  ub</t>
  </si>
  <si>
    <t>c^tx ≥ ub</t>
  </si>
  <si>
    <t>sum(xi)=1</t>
  </si>
  <si>
    <t>(i)</t>
  </si>
  <si>
    <t>(ii)</t>
  </si>
  <si>
    <t xml:space="preserve">x1+x2+x3+x4+x5+x6 </t>
  </si>
  <si>
    <t>11% Expected Return</t>
  </si>
  <si>
    <t>10% Expected Return</t>
  </si>
  <si>
    <t>10.5 Expected Return</t>
  </si>
  <si>
    <t>11.5% Expected Return</t>
  </si>
  <si>
    <t>12% Expected Return</t>
  </si>
  <si>
    <t>12.5 Expected Return</t>
  </si>
  <si>
    <t>13% Expected Return</t>
  </si>
  <si>
    <t>13.5% 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</si>
</sst>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7" formatCode="0.000000"/>
  </numFmts>
  <fonts count="18">
    <font>
      <sz val="12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2"/>
      <color theme="1"/>
      <name val="Palatino Linotype"/>
      <family val="1"/>
    </font>
    <font>
      <b/>
      <i/>
      <u/>
      <sz val="12"/>
      <color theme="1"/>
      <name val="Palatino Linotype"/>
      <family val="1"/>
    </font>
    <font>
      <b/>
      <u/>
      <sz val="12"/>
      <color theme="1"/>
      <name val="Palatino Linotype"/>
      <family val="1"/>
    </font>
    <font>
      <b/>
      <i/>
      <sz val="12"/>
      <color theme="1"/>
      <name val="Palatino Linotype"/>
      <family val="1"/>
    </font>
    <font>
      <sz val="12"/>
      <color theme="1"/>
      <name val="Palatino Linotype"/>
      <family val="1"/>
    </font>
    <font>
      <sz val="9"/>
      <color theme="1"/>
      <name val="Palatino Linotype"/>
      <family val="1"/>
    </font>
    <font>
      <sz val="9"/>
      <color rgb="FFFFFFFF"/>
      <name val="Palatino Linotype"/>
      <family val="1"/>
    </font>
    <font>
      <b/>
      <sz val="12"/>
      <color rgb="FF000000"/>
      <name val="Calibri"/>
      <family val="2"/>
    </font>
    <font>
      <sz val="11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SimHei"/>
      <family val="3"/>
      <charset val="134"/>
    </font>
    <font>
      <sz val="12"/>
      <color theme="1"/>
      <name val="Calibr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 tint="0.79998168889431442"/>
        <bgColor theme="8" tint="0.79998168889431442"/>
      </patternFill>
    </fill>
  </fills>
  <borders count="3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/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ck">
        <color rgb="FF666666"/>
      </bottom>
      <diagonal/>
    </border>
    <border>
      <left/>
      <right/>
      <top style="medium">
        <color rgb="FF999999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999999"/>
      </right>
      <top style="medium">
        <color indexed="64"/>
      </top>
      <bottom style="medium">
        <color rgb="FF999999"/>
      </bottom>
      <diagonal/>
    </border>
    <border>
      <left/>
      <right style="medium">
        <color indexed="64"/>
      </right>
      <top style="medium">
        <color indexed="64"/>
      </top>
      <bottom style="thick">
        <color rgb="FF666666"/>
      </bottom>
      <diagonal/>
    </border>
    <border>
      <left style="medium">
        <color indexed="64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indexed="64"/>
      </right>
      <top/>
      <bottom style="medium">
        <color rgb="FF999999"/>
      </bottom>
      <diagonal/>
    </border>
    <border>
      <left style="medium">
        <color indexed="64"/>
      </left>
      <right style="medium">
        <color rgb="FF999999"/>
      </right>
      <top/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thin">
        <color theme="8"/>
      </left>
      <right/>
      <top style="medium">
        <color rgb="FF999999"/>
      </top>
      <bottom/>
      <diagonal/>
    </border>
    <border>
      <left style="medium">
        <color rgb="FF999999"/>
      </left>
      <right/>
      <top style="medium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medium">
        <color rgb="FF999999"/>
      </left>
      <right/>
      <top style="thick">
        <color rgb="FF666666"/>
      </top>
      <bottom/>
      <diagonal/>
    </border>
    <border>
      <left style="medium">
        <color rgb="FF999999"/>
      </left>
      <right/>
      <top style="thin">
        <color theme="8"/>
      </top>
      <bottom/>
      <diagonal/>
    </border>
    <border>
      <left style="thin">
        <color theme="8"/>
      </left>
      <right style="medium">
        <color indexed="64"/>
      </right>
      <top style="thin">
        <color theme="8"/>
      </top>
      <bottom/>
      <diagonal/>
    </border>
    <border>
      <left style="thin">
        <color theme="8"/>
      </left>
      <right style="medium">
        <color indexed="64"/>
      </right>
      <top style="medium">
        <color rgb="FF999999"/>
      </top>
      <bottom/>
      <diagonal/>
    </border>
    <border>
      <left style="thin">
        <color theme="8"/>
      </left>
      <right style="thin">
        <color theme="8"/>
      </right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</cellStyleXfs>
  <cellXfs count="8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6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9" fontId="9" fillId="0" borderId="1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0" fillId="2" borderId="0" xfId="1"/>
    <xf numFmtId="0" fontId="10" fillId="3" borderId="0" xfId="2"/>
    <xf numFmtId="0" fontId="12" fillId="0" borderId="0" xfId="0" applyFont="1"/>
    <xf numFmtId="0" fontId="7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5" borderId="18" xfId="0" applyFont="1" applyFill="1" applyBorder="1"/>
    <xf numFmtId="0" fontId="12" fillId="0" borderId="19" xfId="0" applyFont="1" applyBorder="1"/>
    <xf numFmtId="0" fontId="12" fillId="0" borderId="20" xfId="0" applyFont="1" applyBorder="1"/>
    <xf numFmtId="0" fontId="2" fillId="5" borderId="2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0" fillId="5" borderId="23" xfId="0" applyFont="1" applyFill="1" applyBorder="1"/>
    <xf numFmtId="0" fontId="0" fillId="5" borderId="24" xfId="0" applyFont="1" applyFill="1" applyBorder="1"/>
    <xf numFmtId="0" fontId="0" fillId="5" borderId="25" xfId="0" applyFont="1" applyFill="1" applyBorder="1"/>
    <xf numFmtId="0" fontId="4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2" fillId="0" borderId="27" xfId="0" applyFont="1" applyBorder="1"/>
    <xf numFmtId="0" fontId="0" fillId="0" borderId="19" xfId="0" applyFont="1" applyBorder="1"/>
    <xf numFmtId="0" fontId="0" fillId="0" borderId="20" xfId="0" applyFont="1" applyBorder="1"/>
    <xf numFmtId="0" fontId="0" fillId="5" borderId="27" xfId="0" applyFont="1" applyFill="1" applyBorder="1"/>
    <xf numFmtId="0" fontId="0" fillId="5" borderId="19" xfId="0" applyFont="1" applyFill="1" applyBorder="1"/>
    <xf numFmtId="0" fontId="6" fillId="5" borderId="28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2" fillId="5" borderId="22" xfId="0" applyFont="1" applyFill="1" applyBorder="1"/>
    <xf numFmtId="0" fontId="0" fillId="5" borderId="22" xfId="0" applyFont="1" applyFill="1" applyBorder="1"/>
    <xf numFmtId="0" fontId="0" fillId="5" borderId="30" xfId="0" applyFont="1" applyFill="1" applyBorder="1"/>
    <xf numFmtId="0" fontId="0" fillId="0" borderId="19" xfId="0" applyFont="1" applyBorder="1" applyAlignment="1">
      <alignment horizontal="center"/>
    </xf>
    <xf numFmtId="0" fontId="12" fillId="5" borderId="31" xfId="0" applyFont="1" applyFill="1" applyBorder="1"/>
    <xf numFmtId="0" fontId="0" fillId="5" borderId="31" xfId="0" applyFont="1" applyFill="1" applyBorder="1"/>
    <xf numFmtId="0" fontId="6" fillId="5" borderId="22" xfId="0" applyFont="1" applyFill="1" applyBorder="1" applyAlignment="1">
      <alignment horizontal="center" vertical="center" wrapText="1"/>
    </xf>
    <xf numFmtId="0" fontId="11" fillId="5" borderId="19" xfId="0" applyFont="1" applyFill="1" applyBorder="1"/>
    <xf numFmtId="0" fontId="10" fillId="4" borderId="0" xfId="3"/>
    <xf numFmtId="0" fontId="14" fillId="0" borderId="0" xfId="0" applyFont="1"/>
    <xf numFmtId="0" fontId="9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0" fillId="0" borderId="0" xfId="0" applyFont="1"/>
    <xf numFmtId="0" fontId="17" fillId="0" borderId="0" xfId="0" applyFont="1"/>
    <xf numFmtId="0" fontId="9" fillId="0" borderId="32" xfId="0" applyFont="1" applyFill="1" applyBorder="1" applyAlignment="1">
      <alignment vertic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9" fillId="0" borderId="0" xfId="0" applyFont="1" applyFill="1" applyBorder="1" applyAlignment="1">
      <alignment horizontal="center" vertical="center"/>
    </xf>
  </cellXfs>
  <cellStyles count="4">
    <cellStyle name="Accent1" xfId="1" builtinId="29"/>
    <cellStyle name="Accent2" xfId="2" builtinId="33"/>
    <cellStyle name="Accent4" xfId="3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_xlchart.v1.6</cx:f>
      </cx:numDim>
    </cx:data>
    <cx:data id="1">
      <cx:strDim type="cat">
        <cx:f dir="row">_xlchart.v1.0</cx:f>
      </cx:strDim>
      <cx:numDim type="val">
        <cx:f dir="row">_xlchart.v1.9</cx:f>
      </cx:numDim>
    </cx:data>
    <cx:data id="2">
      <cx:strDim type="cat">
        <cx:f dir="row">_xlchart.v1.0</cx:f>
      </cx:strDim>
      <cx:numDim type="val">
        <cx:f dir="row">_xlchart.v1.11</cx:f>
      </cx:numDim>
    </cx:data>
    <cx:data id="3">
      <cx:strDim type="cat">
        <cx:f dir="row">_xlchart.v1.0</cx:f>
      </cx:strDim>
      <cx:numDim type="val">
        <cx:f dir="row">_xlchart.v1.13</cx:f>
      </cx:numDim>
    </cx:data>
    <cx:data id="4">
      <cx:strDim type="cat">
        <cx:f dir="row">_xlchart.v1.0</cx:f>
      </cx:strDim>
      <cx:numDim type="val">
        <cx:f dir="row">_xlchart.v1.15</cx:f>
      </cx:numDim>
    </cx:data>
    <cx:data id="5">
      <cx:strDim type="cat">
        <cx:f dir="row">_xlchart.v1.0</cx:f>
      </cx:strDim>
      <cx:numDim type="val">
        <cx:f dir="row">_xlchart.v1.16</cx:f>
      </cx:numDim>
    </cx:data>
  </cx:chartData>
  <cx:chart>
    <cx:title pos="t" align="ctr" overlay="0"/>
    <cx:plotArea>
      <cx:plotAreaRegion>
        <cx:series layoutId="clusteredColumn" uniqueId="{1D365460-E63A-4044-B5D1-4CA1FCEE91AD}" formatIdx="4">
          <cx:dataId val="0"/>
          <cx:layoutPr>
            <cx:aggregation/>
          </cx:layoutPr>
          <cx:axisId val="0"/>
        </cx:series>
        <cx:series layoutId="paretoLine" ownerIdx="0" uniqueId="{813BE38E-FF6E-4ADA-89BE-6AEF910274A7}" formatIdx="5">
          <cx:axisId val="1"/>
        </cx:series>
        <cx:series layoutId="clusteredColumn" hidden="1" uniqueId="{B18319AD-884B-4C79-8EB0-EB97D17FF31C}" formatIdx="6">
          <cx:dataId val="1"/>
          <cx:layoutPr>
            <cx:aggregation/>
          </cx:layoutPr>
          <cx:axisId val="0"/>
        </cx:series>
        <cx:series layoutId="paretoLine" ownerIdx="2" uniqueId="{C3FFDBD7-14B4-4897-AE12-1D05660ABFD2}" formatIdx="7">
          <cx:axisId val="1"/>
        </cx:series>
        <cx:series layoutId="clusteredColumn" hidden="1" uniqueId="{AB5A971D-C674-4E56-9DF0-3B719A9B2B62}" formatIdx="8">
          <cx:dataId val="2"/>
          <cx:layoutPr>
            <cx:aggregation/>
          </cx:layoutPr>
          <cx:axisId val="0"/>
        </cx:series>
        <cx:series layoutId="paretoLine" ownerIdx="4" uniqueId="{88ED12B4-9339-4E51-B96B-8B4BBF2775CB}" formatIdx="9">
          <cx:axisId val="1"/>
        </cx:series>
        <cx:series layoutId="clusteredColumn" hidden="1" uniqueId="{7EB580C3-9A46-486F-978E-3FB3DBBDC038}" formatIdx="10">
          <cx:dataId val="3"/>
          <cx:layoutPr>
            <cx:aggregation/>
          </cx:layoutPr>
          <cx:axisId val="0"/>
        </cx:series>
        <cx:series layoutId="paretoLine" ownerIdx="6" uniqueId="{C1478AC6-5E4C-4DAC-99AA-A52C0AB39508}" formatIdx="11">
          <cx:axisId val="1"/>
        </cx:series>
        <cx:series layoutId="clusteredColumn" hidden="1" uniqueId="{41260C12-CA1D-4EA7-8C4F-7D51B6952EE1}" formatIdx="12">
          <cx:dataId val="4"/>
          <cx:layoutPr>
            <cx:aggregation/>
          </cx:layoutPr>
          <cx:axisId val="0"/>
        </cx:series>
        <cx:series layoutId="paretoLine" ownerIdx="8" uniqueId="{4297F62A-8229-43FB-9EFA-EED9870A25BC}" formatIdx="13">
          <cx:axisId val="1"/>
        </cx:series>
        <cx:series layoutId="clusteredColumn" hidden="1" uniqueId="{ACD61AC6-DF73-4405-89CE-3F6F44902C2A}" formatIdx="14">
          <cx:dataId val="5"/>
          <cx:layoutPr>
            <cx:aggregation/>
          </cx:layoutPr>
          <cx:axisId val="0"/>
        </cx:series>
        <cx:series layoutId="paretoLine" ownerIdx="10" uniqueId="{2D63D2CD-B639-46D2-B257-3622F56BE89A}" formatIdx="15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  <cx:data id="1">
      <cx:strDim type="cat">
        <cx:f>_xlchart.v1.18</cx:f>
      </cx:strDim>
      <cx:numDim type="val">
        <cx:f>_xlchart.v1.22</cx:f>
      </cx:numDim>
    </cx:data>
    <cx:data id="2">
      <cx:strDim type="cat">
        <cx:f>_xlchart.v1.18</cx:f>
      </cx:strDim>
      <cx:numDim type="val">
        <cx:f>_xlchart.v1.24</cx:f>
      </cx:numDim>
    </cx:data>
    <cx:data id="3">
      <cx:strDim type="cat">
        <cx:f>_xlchart.v1.18</cx:f>
      </cx:strDim>
      <cx:numDim type="val">
        <cx:f>_xlchart.v1.26</cx:f>
      </cx:numDim>
    </cx:data>
    <cx:data id="4">
      <cx:strDim type="cat">
        <cx:f>_xlchart.v1.18</cx:f>
      </cx:strDim>
      <cx:numDim type="val">
        <cx:f>_xlchart.v1.28</cx:f>
      </cx:numDim>
    </cx:data>
    <cx:data id="5">
      <cx:strDim type="cat">
        <cx:f>_xlchart.v1.18</cx:f>
      </cx:strDim>
      <cx:numDim type="val">
        <cx:f>_xlchart.v1.30</cx:f>
      </cx:numDim>
    </cx:data>
    <cx:data id="6">
      <cx:strDim type="cat">
        <cx:f>_xlchart.v1.18</cx:f>
      </cx:strDim>
      <cx:numDim type="val">
        <cx:f>_xlchart.v1.32</cx:f>
      </cx:numDim>
    </cx:data>
    <cx:data id="7">
      <cx:strDim type="cat">
        <cx:f>_xlchart.v1.18</cx:f>
      </cx:strDim>
      <cx:numDim type="val">
        <cx:f>_xlchart.v1.34</cx:f>
      </cx:numDim>
    </cx:data>
  </cx:chartData>
  <cx:chart>
    <cx:title pos="t" align="ctr" overlay="0"/>
    <cx:plotArea>
      <cx:plotAreaRegion>
        <cx:series layoutId="clusteredColumn" uniqueId="{F1854046-2B12-4307-9626-33D5D08DB664}" formatIdx="0">
          <cx:tx>
            <cx:txData>
              <cx:f>_xlchart.v1.19</cx:f>
              <cx:v>10% Expected Return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CF1B086-B6E9-40AF-926B-2769059216DB}" formatIdx="1">
          <cx:axisId val="2"/>
        </cx:series>
        <cx:series layoutId="clusteredColumn" hidden="1" uniqueId="{B6FB4827-A6AF-43F4-8F89-B9A2A8642E44}" formatIdx="2">
          <cx:tx>
            <cx:txData>
              <cx:f>_xlchart.v1.21</cx:f>
              <cx:v>10.5 Expected Return</cx:v>
            </cx:txData>
          </cx:tx>
          <cx:dataId val="1"/>
          <cx:layoutPr>
            <cx:aggregation/>
          </cx:layoutPr>
          <cx:axisId val="1"/>
        </cx:series>
        <cx:series layoutId="paretoLine" ownerIdx="2" uniqueId="{ECD00080-B71D-4EEA-BFCF-E5550DA4B7C2}" formatIdx="3">
          <cx:axisId val="2"/>
        </cx:series>
        <cx:series layoutId="clusteredColumn" hidden="1" uniqueId="{71D3E86F-3B97-487D-ABE8-7EF4BB6A759C}" formatIdx="4">
          <cx:tx>
            <cx:txData>
              <cx:f>_xlchart.v1.23</cx:f>
              <cx:v>11% Expected Return</cx:v>
            </cx:txData>
          </cx:tx>
          <cx:dataId val="2"/>
          <cx:layoutPr>
            <cx:aggregation/>
          </cx:layoutPr>
          <cx:axisId val="1"/>
        </cx:series>
        <cx:series layoutId="paretoLine" ownerIdx="4" uniqueId="{73C08CFD-4D60-4AF2-9AE8-682D35A2F4BF}" formatIdx="5">
          <cx:axisId val="2"/>
        </cx:series>
        <cx:series layoutId="clusteredColumn" hidden="1" uniqueId="{7F3F0455-F39E-4D14-9002-6A80DB1627BA}" formatIdx="6">
          <cx:tx>
            <cx:txData>
              <cx:f>_xlchart.v1.25</cx:f>
              <cx:v>11.5% Expected Return</cx:v>
            </cx:txData>
          </cx:tx>
          <cx:dataId val="3"/>
          <cx:layoutPr>
            <cx:aggregation/>
          </cx:layoutPr>
          <cx:axisId val="1"/>
        </cx:series>
        <cx:series layoutId="paretoLine" ownerIdx="6" uniqueId="{367BEEC3-0F76-43F9-B339-FE710037D0EC}" formatIdx="7">
          <cx:axisId val="2"/>
        </cx:series>
        <cx:series layoutId="clusteredColumn" hidden="1" uniqueId="{C145BD09-2CE1-4742-B0A3-96534CA25DC6}" formatIdx="8">
          <cx:tx>
            <cx:txData>
              <cx:f>_xlchart.v1.27</cx:f>
              <cx:v>12% Expected Return</cx:v>
            </cx:txData>
          </cx:tx>
          <cx:dataId val="4"/>
          <cx:layoutPr>
            <cx:aggregation/>
          </cx:layoutPr>
          <cx:axisId val="1"/>
        </cx:series>
        <cx:series layoutId="paretoLine" ownerIdx="8" uniqueId="{38C60B1E-8965-4B6B-8363-C32E2CCE990C}" formatIdx="9">
          <cx:axisId val="2"/>
        </cx:series>
        <cx:series layoutId="clusteredColumn" hidden="1" uniqueId="{2A1AAD73-C06B-4D76-B3E5-4CF9092AEF8D}" formatIdx="10">
          <cx:tx>
            <cx:txData>
              <cx:f>_xlchart.v1.29</cx:f>
              <cx:v>12.5 Expected Return</cx:v>
            </cx:txData>
          </cx:tx>
          <cx:dataId val="5"/>
          <cx:layoutPr>
            <cx:aggregation/>
          </cx:layoutPr>
          <cx:axisId val="1"/>
        </cx:series>
        <cx:series layoutId="paretoLine" ownerIdx="10" uniqueId="{660B77E4-A6B8-412C-893C-0E9AD02B8B16}" formatIdx="11">
          <cx:axisId val="2"/>
        </cx:series>
        <cx:series layoutId="clusteredColumn" hidden="1" uniqueId="{C4D673FD-F5B8-4EA6-A640-1F2F794CCE4F}" formatIdx="12">
          <cx:tx>
            <cx:txData>
              <cx:f>_xlchart.v1.31</cx:f>
              <cx:v>13% Expected Return</cx:v>
            </cx:txData>
          </cx:tx>
          <cx:dataId val="6"/>
          <cx:layoutPr>
            <cx:aggregation/>
          </cx:layoutPr>
          <cx:axisId val="1"/>
        </cx:series>
        <cx:series layoutId="paretoLine" ownerIdx="12" uniqueId="{D0D301B3-827F-4E2F-AA39-CD0672BC611C}" formatIdx="13">
          <cx:axisId val="2"/>
        </cx:series>
        <cx:series layoutId="clusteredColumn" hidden="1" uniqueId="{CE2D2CA3-F203-4443-B605-60CF67224CEB}" formatIdx="14">
          <cx:tx>
            <cx:txData>
              <cx:f>_xlchart.v1.33</cx:f>
              <cx:v>13.5% Expected Return</cx:v>
            </cx:txData>
          </cx:tx>
          <cx:dataId val="7"/>
          <cx:layoutPr>
            <cx:aggregation/>
          </cx:layoutPr>
          <cx:axisId val="1"/>
        </cx:series>
        <cx:series layoutId="paretoLine" ownerIdx="14" uniqueId="{16CC2D8F-3927-4430-8CE2-F361C603FB91}" formatIdx="1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1867</xdr:colOff>
      <xdr:row>25</xdr:row>
      <xdr:rowOff>113179</xdr:rowOff>
    </xdr:from>
    <xdr:to>
      <xdr:col>15</xdr:col>
      <xdr:colOff>352985</xdr:colOff>
      <xdr:row>39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266E11-E779-8B98-F960-C6399DBA97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86941" y="5137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963705</xdr:colOff>
      <xdr:row>25</xdr:row>
      <xdr:rowOff>75825</xdr:rowOff>
    </xdr:from>
    <xdr:to>
      <xdr:col>18</xdr:col>
      <xdr:colOff>1324161</xdr:colOff>
      <xdr:row>39</xdr:row>
      <xdr:rowOff>64246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4E743CC-864A-703C-CE93-B67C80AD28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69661" y="509979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E1F2-0605-A84B-A962-BC9BCFE77675}">
  <dimension ref="C1:AK54"/>
  <sheetViews>
    <sheetView tabSelected="1" topLeftCell="A3" zoomScale="55" zoomScaleNormal="55" workbookViewId="0">
      <selection activeCell="H60" sqref="H60"/>
    </sheetView>
  </sheetViews>
  <sheetFormatPr defaultColWidth="10.6640625" defaultRowHeight="15.5"/>
  <cols>
    <col min="3" max="3" width="18.33203125" customWidth="1"/>
    <col min="4" max="9" width="16.33203125" customWidth="1"/>
    <col min="10" max="10" width="18" customWidth="1"/>
    <col min="11" max="11" width="62.75" customWidth="1"/>
    <col min="12" max="13" width="15.83203125" customWidth="1"/>
    <col min="14" max="14" width="15.9140625" customWidth="1"/>
    <col min="15" max="15" width="13.08203125" customWidth="1"/>
    <col min="17" max="17" width="13.25" customWidth="1"/>
    <col min="23" max="23" width="64.1640625" customWidth="1"/>
    <col min="25" max="25" width="13.25" customWidth="1"/>
    <col min="27" max="27" width="12.58203125" customWidth="1"/>
    <col min="28" max="28" width="11.58203125" customWidth="1"/>
    <col min="32" max="32" width="11.58203125" customWidth="1"/>
  </cols>
  <sheetData>
    <row r="1" spans="3:36" ht="16" thickBot="1"/>
    <row r="2" spans="3:36" ht="17.5" thickBot="1">
      <c r="K2" s="72" t="s">
        <v>70</v>
      </c>
      <c r="W2" s="72" t="s">
        <v>71</v>
      </c>
      <c r="Y2" s="1"/>
      <c r="Z2" s="28" t="s">
        <v>0</v>
      </c>
      <c r="AA2" s="29"/>
      <c r="AB2" s="30"/>
      <c r="AC2" s="31" t="s">
        <v>13</v>
      </c>
      <c r="AD2" s="32"/>
      <c r="AE2" s="32"/>
      <c r="AF2" s="32"/>
      <c r="AG2" s="32"/>
      <c r="AH2" s="33"/>
    </row>
    <row r="3" spans="3:36" ht="35" thickTop="1" thickBot="1">
      <c r="C3" s="1" t="s">
        <v>39</v>
      </c>
      <c r="D3" s="28" t="s">
        <v>0</v>
      </c>
      <c r="E3" s="29"/>
      <c r="F3" s="30"/>
      <c r="K3" t="s">
        <v>49</v>
      </c>
      <c r="M3" s="40"/>
      <c r="N3" s="40"/>
      <c r="O3" s="40"/>
      <c r="P3" s="40"/>
      <c r="Q3" s="40"/>
      <c r="R3" s="40"/>
      <c r="S3" s="41"/>
      <c r="W3" t="s">
        <v>48</v>
      </c>
      <c r="Y3" s="2" t="s">
        <v>39</v>
      </c>
      <c r="Z3" s="3" t="s">
        <v>36</v>
      </c>
      <c r="AA3" s="3" t="s">
        <v>37</v>
      </c>
      <c r="AB3" s="3" t="s">
        <v>38</v>
      </c>
      <c r="AC3" s="7" t="s">
        <v>5</v>
      </c>
      <c r="AD3" s="7" t="s">
        <v>6</v>
      </c>
      <c r="AE3" s="7" t="s">
        <v>7</v>
      </c>
      <c r="AF3" s="7" t="s">
        <v>8</v>
      </c>
      <c r="AG3" s="7" t="s">
        <v>9</v>
      </c>
      <c r="AH3" s="7" t="s">
        <v>10</v>
      </c>
      <c r="AJ3" s="26" t="s">
        <v>66</v>
      </c>
    </row>
    <row r="4" spans="3:36" ht="35" customHeight="1" thickTop="1" thickBot="1">
      <c r="C4" s="2" t="s">
        <v>1</v>
      </c>
      <c r="D4" s="3" t="s">
        <v>36</v>
      </c>
      <c r="E4" s="3" t="s">
        <v>37</v>
      </c>
      <c r="F4" s="3" t="s">
        <v>38</v>
      </c>
      <c r="H4" s="18" t="s">
        <v>1</v>
      </c>
      <c r="I4" s="19" t="s">
        <v>11</v>
      </c>
      <c r="K4" t="s">
        <v>26</v>
      </c>
      <c r="M4" s="42"/>
      <c r="N4" s="43" t="s">
        <v>43</v>
      </c>
      <c r="O4" s="44"/>
      <c r="P4" s="44"/>
      <c r="Q4" s="45"/>
      <c r="R4" s="46"/>
      <c r="S4" s="47"/>
      <c r="W4" t="s">
        <v>26</v>
      </c>
      <c r="Y4" s="4" t="s">
        <v>30</v>
      </c>
      <c r="Z4" s="6">
        <v>12</v>
      </c>
      <c r="AA4" s="6">
        <v>15</v>
      </c>
      <c r="AB4" s="6">
        <v>17</v>
      </c>
      <c r="AC4" s="5">
        <v>1000</v>
      </c>
      <c r="AD4" s="5">
        <v>3</v>
      </c>
      <c r="AE4" s="5">
        <v>4</v>
      </c>
      <c r="AF4" s="5">
        <v>9</v>
      </c>
      <c r="AG4" s="5">
        <v>5</v>
      </c>
      <c r="AH4" s="5">
        <v>4</v>
      </c>
      <c r="AJ4">
        <f>SUMPRODUCT(Z4:AH12,Z19:AH27)</f>
        <v>763</v>
      </c>
    </row>
    <row r="5" spans="3:36" ht="29.5" customHeight="1" thickTop="1" thickBot="1">
      <c r="C5" s="4" t="s">
        <v>30</v>
      </c>
      <c r="D5" s="6">
        <v>12</v>
      </c>
      <c r="E5" s="6">
        <v>15</v>
      </c>
      <c r="F5" s="6">
        <v>17</v>
      </c>
      <c r="H5" s="20" t="s">
        <v>5</v>
      </c>
      <c r="I5" s="21">
        <v>45</v>
      </c>
      <c r="K5" s="24" t="s">
        <v>50</v>
      </c>
      <c r="M5" s="48" t="s">
        <v>1</v>
      </c>
      <c r="N5" s="49" t="s">
        <v>36</v>
      </c>
      <c r="O5" s="49" t="s">
        <v>37</v>
      </c>
      <c r="P5" s="49" t="s">
        <v>38</v>
      </c>
      <c r="Q5" s="50" t="s">
        <v>41</v>
      </c>
      <c r="R5" s="51"/>
      <c r="S5" s="52"/>
      <c r="U5" s="26" t="s">
        <v>45</v>
      </c>
      <c r="W5" s="24" t="s">
        <v>50</v>
      </c>
      <c r="Y5" s="4" t="s">
        <v>31</v>
      </c>
      <c r="Z5" s="6">
        <v>14</v>
      </c>
      <c r="AA5" s="6">
        <v>9</v>
      </c>
      <c r="AB5" s="6">
        <v>10</v>
      </c>
      <c r="AC5" s="6">
        <v>6</v>
      </c>
      <c r="AD5" s="6">
        <v>1000</v>
      </c>
      <c r="AE5" s="6">
        <v>7</v>
      </c>
      <c r="AF5" s="6">
        <v>6</v>
      </c>
      <c r="AG5" s="6">
        <v>9</v>
      </c>
      <c r="AH5" s="6">
        <v>4</v>
      </c>
    </row>
    <row r="6" spans="3:36" ht="26.5" customHeight="1" thickBot="1">
      <c r="C6" s="4" t="s">
        <v>31</v>
      </c>
      <c r="D6" s="6">
        <v>14</v>
      </c>
      <c r="E6" s="6">
        <v>9</v>
      </c>
      <c r="F6" s="6">
        <v>10</v>
      </c>
      <c r="H6" s="20" t="s">
        <v>6</v>
      </c>
      <c r="I6" s="21">
        <v>26</v>
      </c>
      <c r="K6" s="24" t="s">
        <v>51</v>
      </c>
      <c r="M6" s="42" t="s">
        <v>30</v>
      </c>
      <c r="N6" s="59">
        <v>0</v>
      </c>
      <c r="O6" s="69">
        <v>0</v>
      </c>
      <c r="P6" s="69">
        <v>45</v>
      </c>
      <c r="Q6" s="53">
        <f>SUM(N6:P6)</f>
        <v>45</v>
      </c>
      <c r="R6" s="70" t="s">
        <v>47</v>
      </c>
      <c r="S6" s="55">
        <v>45</v>
      </c>
      <c r="U6">
        <f>SUMPRODUCT(D5:F10,N6:P11)</f>
        <v>3613</v>
      </c>
      <c r="W6" s="24" t="s">
        <v>51</v>
      </c>
      <c r="Y6" s="4" t="s">
        <v>32</v>
      </c>
      <c r="Z6" s="6">
        <v>13</v>
      </c>
      <c r="AA6" s="6">
        <v>20</v>
      </c>
      <c r="AB6" s="6">
        <v>11</v>
      </c>
      <c r="AC6" s="6">
        <v>5</v>
      </c>
      <c r="AD6" s="6">
        <v>7</v>
      </c>
      <c r="AE6" s="6">
        <v>1000</v>
      </c>
      <c r="AF6" s="6">
        <v>3</v>
      </c>
      <c r="AG6" s="6">
        <v>4</v>
      </c>
      <c r="AH6" s="6">
        <v>9</v>
      </c>
    </row>
    <row r="7" spans="3:36" ht="25" customHeight="1" thickBot="1">
      <c r="C7" s="4" t="s">
        <v>32</v>
      </c>
      <c r="D7" s="6">
        <v>13</v>
      </c>
      <c r="E7" s="6">
        <v>20</v>
      </c>
      <c r="F7" s="6">
        <v>11</v>
      </c>
      <c r="H7" s="20" t="s">
        <v>7</v>
      </c>
      <c r="I7" s="21">
        <v>42</v>
      </c>
      <c r="K7" s="24" t="s">
        <v>52</v>
      </c>
      <c r="M7" s="56" t="s">
        <v>31</v>
      </c>
      <c r="N7" s="57">
        <v>0</v>
      </c>
      <c r="O7" s="57">
        <v>0</v>
      </c>
      <c r="P7" s="57">
        <v>26</v>
      </c>
      <c r="Q7" s="53">
        <f t="shared" ref="Q7:Q11" si="0">SUM(N7:P7)</f>
        <v>26</v>
      </c>
      <c r="R7" s="70" t="s">
        <v>47</v>
      </c>
      <c r="S7" s="58">
        <v>26</v>
      </c>
      <c r="W7" s="24" t="s">
        <v>52</v>
      </c>
      <c r="Y7" s="4" t="s">
        <v>33</v>
      </c>
      <c r="Z7" s="6">
        <v>17</v>
      </c>
      <c r="AA7" s="6">
        <v>16</v>
      </c>
      <c r="AB7" s="6">
        <v>19</v>
      </c>
      <c r="AC7" s="6">
        <v>5</v>
      </c>
      <c r="AD7" s="6">
        <v>4</v>
      </c>
      <c r="AE7" s="6">
        <v>3</v>
      </c>
      <c r="AF7" s="6">
        <v>1000</v>
      </c>
      <c r="AG7" s="6">
        <v>3</v>
      </c>
      <c r="AH7" s="6">
        <v>11</v>
      </c>
    </row>
    <row r="8" spans="3:36" ht="17.5" thickBot="1">
      <c r="C8" s="4" t="s">
        <v>33</v>
      </c>
      <c r="D8" s="6">
        <v>17</v>
      </c>
      <c r="E8" s="6">
        <v>16</v>
      </c>
      <c r="F8" s="6">
        <v>19</v>
      </c>
      <c r="H8" s="20" t="s">
        <v>8</v>
      </c>
      <c r="I8" s="21">
        <v>53</v>
      </c>
      <c r="K8" s="24" t="s">
        <v>53</v>
      </c>
      <c r="M8" s="42" t="s">
        <v>32</v>
      </c>
      <c r="N8" s="59">
        <v>0</v>
      </c>
      <c r="O8" s="59">
        <v>25</v>
      </c>
      <c r="P8" s="59">
        <v>17</v>
      </c>
      <c r="Q8" s="53">
        <f t="shared" si="0"/>
        <v>42</v>
      </c>
      <c r="R8" s="70" t="s">
        <v>47</v>
      </c>
      <c r="S8" s="60">
        <v>42</v>
      </c>
      <c r="W8" s="24" t="s">
        <v>53</v>
      </c>
      <c r="Y8" s="4" t="s">
        <v>35</v>
      </c>
      <c r="Z8" s="6">
        <v>7</v>
      </c>
      <c r="AA8" s="6">
        <v>14</v>
      </c>
      <c r="AB8" s="6">
        <v>12</v>
      </c>
      <c r="AC8" s="6">
        <v>5</v>
      </c>
      <c r="AD8" s="6">
        <v>9</v>
      </c>
      <c r="AE8" s="6">
        <v>5</v>
      </c>
      <c r="AF8" s="6">
        <v>3</v>
      </c>
      <c r="AG8" s="6">
        <v>1000</v>
      </c>
      <c r="AH8" s="6">
        <v>14</v>
      </c>
    </row>
    <row r="9" spans="3:36" ht="17.5" thickBot="1">
      <c r="C9" s="4" t="s">
        <v>35</v>
      </c>
      <c r="D9" s="6">
        <v>7</v>
      </c>
      <c r="E9" s="6">
        <v>14</v>
      </c>
      <c r="F9" s="6">
        <v>12</v>
      </c>
      <c r="H9" s="20" t="s">
        <v>9</v>
      </c>
      <c r="I9" s="21">
        <v>29</v>
      </c>
      <c r="K9" s="24" t="s">
        <v>54</v>
      </c>
      <c r="M9" s="61" t="s">
        <v>33</v>
      </c>
      <c r="N9" s="62">
        <v>0</v>
      </c>
      <c r="O9" s="62">
        <v>53</v>
      </c>
      <c r="P9" s="62">
        <v>0</v>
      </c>
      <c r="Q9" s="53">
        <f t="shared" si="0"/>
        <v>53</v>
      </c>
      <c r="R9" s="70" t="s">
        <v>47</v>
      </c>
      <c r="S9" s="58">
        <v>53</v>
      </c>
      <c r="W9" s="24" t="s">
        <v>54</v>
      </c>
      <c r="Y9" s="4" t="s">
        <v>34</v>
      </c>
      <c r="Z9" s="6">
        <v>22</v>
      </c>
      <c r="AA9" s="6">
        <v>16</v>
      </c>
      <c r="AB9" s="6">
        <v>18</v>
      </c>
      <c r="AC9" s="6">
        <v>4</v>
      </c>
      <c r="AD9" s="6">
        <v>7</v>
      </c>
      <c r="AE9" s="6">
        <v>11</v>
      </c>
      <c r="AF9" s="6">
        <v>12</v>
      </c>
      <c r="AG9" s="6">
        <v>8</v>
      </c>
      <c r="AH9" s="6">
        <v>1000</v>
      </c>
    </row>
    <row r="10" spans="3:36" ht="17.5" thickBot="1">
      <c r="C10" s="4" t="s">
        <v>34</v>
      </c>
      <c r="D10" s="6">
        <v>22</v>
      </c>
      <c r="E10" s="6">
        <v>16</v>
      </c>
      <c r="F10" s="6">
        <v>18</v>
      </c>
      <c r="H10" s="22" t="s">
        <v>10</v>
      </c>
      <c r="I10" s="23">
        <v>38</v>
      </c>
      <c r="K10" s="24" t="s">
        <v>55</v>
      </c>
      <c r="M10" s="42" t="s">
        <v>35</v>
      </c>
      <c r="N10" s="59">
        <v>27</v>
      </c>
      <c r="O10" s="59">
        <v>2</v>
      </c>
      <c r="P10" s="59">
        <v>0</v>
      </c>
      <c r="Q10" s="53">
        <f t="shared" si="0"/>
        <v>29</v>
      </c>
      <c r="R10" s="70" t="s">
        <v>47</v>
      </c>
      <c r="S10" s="60">
        <v>29</v>
      </c>
      <c r="W10" s="24" t="s">
        <v>55</v>
      </c>
      <c r="Y10" s="4" t="s">
        <v>2</v>
      </c>
      <c r="Z10" s="5">
        <v>1000</v>
      </c>
      <c r="AA10" s="5">
        <v>12</v>
      </c>
      <c r="AB10" s="5">
        <v>10</v>
      </c>
      <c r="AC10" s="6">
        <v>12</v>
      </c>
      <c r="AD10" s="6">
        <v>14</v>
      </c>
      <c r="AE10" s="6">
        <v>13</v>
      </c>
      <c r="AF10" s="6">
        <v>17</v>
      </c>
      <c r="AG10" s="6">
        <v>7</v>
      </c>
      <c r="AH10" s="6">
        <v>22</v>
      </c>
    </row>
    <row r="11" spans="3:36" ht="17.5" thickBot="1">
      <c r="C11" s="27" t="s">
        <v>12</v>
      </c>
      <c r="D11" s="27"/>
      <c r="E11" s="27"/>
      <c r="F11" s="27"/>
      <c r="K11" s="25" t="s">
        <v>27</v>
      </c>
      <c r="M11" s="61" t="s">
        <v>34</v>
      </c>
      <c r="N11" s="62">
        <v>38</v>
      </c>
      <c r="O11" s="62">
        <v>0</v>
      </c>
      <c r="P11" s="62">
        <v>0</v>
      </c>
      <c r="Q11" s="53">
        <f t="shared" si="0"/>
        <v>38</v>
      </c>
      <c r="R11" s="70" t="s">
        <v>47</v>
      </c>
      <c r="S11" s="58">
        <v>38</v>
      </c>
      <c r="W11" s="25" t="s">
        <v>27</v>
      </c>
      <c r="Y11" s="4" t="s">
        <v>3</v>
      </c>
      <c r="Z11" s="6">
        <v>12</v>
      </c>
      <c r="AA11" s="6">
        <v>1000</v>
      </c>
      <c r="AB11" s="6">
        <v>15</v>
      </c>
      <c r="AC11" s="6">
        <v>15</v>
      </c>
      <c r="AD11" s="6">
        <v>9</v>
      </c>
      <c r="AE11" s="6">
        <v>20</v>
      </c>
      <c r="AF11" s="6">
        <v>16</v>
      </c>
      <c r="AG11" s="6">
        <v>14</v>
      </c>
      <c r="AH11" s="6">
        <v>16</v>
      </c>
    </row>
    <row r="12" spans="3:36" ht="17.5" thickBot="1">
      <c r="K12" s="25" t="s">
        <v>28</v>
      </c>
      <c r="M12" s="63" t="s">
        <v>40</v>
      </c>
      <c r="N12" s="64">
        <f>SUM(N6:N11)</f>
        <v>65</v>
      </c>
      <c r="O12" s="64">
        <f t="shared" ref="O12:P12" si="1">SUM(O6:O11)</f>
        <v>80</v>
      </c>
      <c r="P12" s="64">
        <f t="shared" si="1"/>
        <v>88</v>
      </c>
      <c r="Q12" s="54"/>
      <c r="R12" s="54"/>
      <c r="S12" s="65">
        <f>SUM(S6:S11)</f>
        <v>233</v>
      </c>
      <c r="W12" s="25" t="s">
        <v>28</v>
      </c>
      <c r="Y12" s="4" t="s">
        <v>4</v>
      </c>
      <c r="Z12" s="6">
        <v>10</v>
      </c>
      <c r="AA12" s="6">
        <v>15</v>
      </c>
      <c r="AB12" s="6">
        <v>1000</v>
      </c>
      <c r="AC12" s="6">
        <v>17</v>
      </c>
      <c r="AD12" s="6">
        <v>10</v>
      </c>
      <c r="AE12" s="6">
        <v>11</v>
      </c>
      <c r="AF12" s="6">
        <v>19</v>
      </c>
      <c r="AG12" s="6">
        <v>12</v>
      </c>
      <c r="AH12" s="6">
        <v>18</v>
      </c>
    </row>
    <row r="13" spans="3:36">
      <c r="K13" s="25" t="s">
        <v>29</v>
      </c>
      <c r="M13" s="51"/>
      <c r="N13" s="66" t="s">
        <v>44</v>
      </c>
      <c r="O13" s="66" t="s">
        <v>44</v>
      </c>
      <c r="P13" s="66" t="s">
        <v>44</v>
      </c>
      <c r="Q13" s="51"/>
      <c r="R13" s="51"/>
      <c r="S13" s="52"/>
      <c r="W13" s="25" t="s">
        <v>29</v>
      </c>
    </row>
    <row r="14" spans="3:36" ht="16" thickBot="1">
      <c r="K14" t="s">
        <v>56</v>
      </c>
      <c r="M14" s="67" t="s">
        <v>42</v>
      </c>
      <c r="N14" s="68">
        <v>65</v>
      </c>
      <c r="O14" s="68">
        <v>80</v>
      </c>
      <c r="P14" s="68">
        <v>105</v>
      </c>
      <c r="Q14" s="68">
        <f>SUM('Part 1'!$N14:$P14)</f>
        <v>250</v>
      </c>
      <c r="R14" s="68"/>
      <c r="S14" s="39"/>
      <c r="W14" s="71" t="s">
        <v>57</v>
      </c>
    </row>
    <row r="15" spans="3:36" ht="17.5" thickBot="1">
      <c r="C15" s="1"/>
      <c r="D15" s="31" t="s">
        <v>13</v>
      </c>
      <c r="E15" s="32"/>
      <c r="F15" s="32"/>
      <c r="G15" s="32"/>
      <c r="H15" s="32"/>
      <c r="I15" s="33"/>
      <c r="W15" s="71" t="s">
        <v>58</v>
      </c>
    </row>
    <row r="16" spans="3:36" ht="18" thickTop="1" thickBot="1">
      <c r="C16" s="2" t="s">
        <v>1</v>
      </c>
      <c r="D16" s="7" t="s">
        <v>5</v>
      </c>
      <c r="E16" s="7" t="s">
        <v>6</v>
      </c>
      <c r="F16" s="7" t="s">
        <v>7</v>
      </c>
      <c r="G16" s="7" t="s">
        <v>8</v>
      </c>
      <c r="H16" s="7" t="s">
        <v>9</v>
      </c>
      <c r="I16" s="7" t="s">
        <v>10</v>
      </c>
      <c r="W16" s="71" t="s">
        <v>59</v>
      </c>
    </row>
    <row r="17" spans="3:37" ht="17.5" thickBot="1">
      <c r="C17" s="4" t="s">
        <v>5</v>
      </c>
      <c r="D17" s="6" t="s">
        <v>14</v>
      </c>
      <c r="E17" s="5">
        <v>3</v>
      </c>
      <c r="F17" s="5">
        <v>4</v>
      </c>
      <c r="G17" s="5">
        <v>9</v>
      </c>
      <c r="H17" s="5">
        <v>5</v>
      </c>
      <c r="I17" s="5">
        <v>4</v>
      </c>
      <c r="W17" s="71" t="s">
        <v>60</v>
      </c>
      <c r="Y17" s="1"/>
      <c r="Z17" s="28" t="s">
        <v>0</v>
      </c>
      <c r="AA17" s="29"/>
      <c r="AB17" s="30"/>
      <c r="AC17" s="31" t="s">
        <v>13</v>
      </c>
      <c r="AD17" s="32"/>
      <c r="AE17" s="32"/>
      <c r="AF17" s="32"/>
      <c r="AG17" s="32"/>
      <c r="AH17" s="33"/>
    </row>
    <row r="18" spans="3:37" ht="34.5" thickBot="1">
      <c r="C18" s="4" t="s">
        <v>6</v>
      </c>
      <c r="D18" s="6">
        <v>6</v>
      </c>
      <c r="E18" s="6" t="s">
        <v>15</v>
      </c>
      <c r="F18" s="6">
        <v>7</v>
      </c>
      <c r="G18" s="6">
        <v>6</v>
      </c>
      <c r="H18" s="6">
        <v>9</v>
      </c>
      <c r="I18" s="6">
        <v>4</v>
      </c>
      <c r="W18" s="71" t="s">
        <v>61</v>
      </c>
      <c r="Y18" s="2" t="s">
        <v>39</v>
      </c>
      <c r="Z18" s="3" t="s">
        <v>36</v>
      </c>
      <c r="AA18" s="3" t="s">
        <v>37</v>
      </c>
      <c r="AB18" s="3" t="s">
        <v>38</v>
      </c>
      <c r="AC18" s="7" t="s">
        <v>5</v>
      </c>
      <c r="AD18" s="7" t="s">
        <v>6</v>
      </c>
      <c r="AE18" s="7" t="s">
        <v>7</v>
      </c>
      <c r="AF18" s="7" t="s">
        <v>8</v>
      </c>
      <c r="AG18" s="7" t="s">
        <v>9</v>
      </c>
      <c r="AH18" s="7" t="s">
        <v>10</v>
      </c>
      <c r="AI18" s="50" t="s">
        <v>41</v>
      </c>
      <c r="AJ18" s="51"/>
      <c r="AK18" s="41" t="s">
        <v>69</v>
      </c>
    </row>
    <row r="19" spans="3:37" ht="17.5" thickBot="1">
      <c r="C19" s="4" t="s">
        <v>7</v>
      </c>
      <c r="D19" s="6">
        <v>5</v>
      </c>
      <c r="E19" s="6">
        <v>7</v>
      </c>
      <c r="F19" s="6" t="s">
        <v>15</v>
      </c>
      <c r="G19" s="6">
        <v>3</v>
      </c>
      <c r="H19" s="6">
        <v>4</v>
      </c>
      <c r="I19" s="6">
        <v>9</v>
      </c>
      <c r="W19" s="71" t="s">
        <v>62</v>
      </c>
      <c r="Y19" s="4" t="s">
        <v>30</v>
      </c>
      <c r="Z19" s="6">
        <v>0</v>
      </c>
      <c r="AA19" s="6">
        <v>0</v>
      </c>
      <c r="AB19" s="6">
        <v>0</v>
      </c>
      <c r="AC19" s="5">
        <v>0</v>
      </c>
      <c r="AD19" s="5">
        <v>45</v>
      </c>
      <c r="AE19" s="5">
        <v>0</v>
      </c>
      <c r="AF19" s="5">
        <v>0</v>
      </c>
      <c r="AG19" s="5">
        <v>0</v>
      </c>
      <c r="AH19" s="5">
        <v>0</v>
      </c>
      <c r="AI19" s="53">
        <f>SUM(Z19:AH19)</f>
        <v>45</v>
      </c>
      <c r="AJ19" s="70" t="s">
        <v>46</v>
      </c>
      <c r="AK19" s="55">
        <v>45</v>
      </c>
    </row>
    <row r="20" spans="3:37" ht="34.5" thickBot="1">
      <c r="C20" s="4" t="s">
        <v>8</v>
      </c>
      <c r="D20" s="6">
        <v>5</v>
      </c>
      <c r="E20" s="6">
        <v>4</v>
      </c>
      <c r="F20" s="6">
        <v>3</v>
      </c>
      <c r="G20" s="6" t="s">
        <v>15</v>
      </c>
      <c r="H20" s="6">
        <v>3</v>
      </c>
      <c r="I20" s="6">
        <v>11</v>
      </c>
      <c r="W20" s="71" t="s">
        <v>63</v>
      </c>
      <c r="Y20" s="4" t="s">
        <v>31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26</v>
      </c>
      <c r="AI20" s="53">
        <f t="shared" ref="AI20:AI27" si="2">SUM(Z20:AH20)</f>
        <v>26</v>
      </c>
      <c r="AJ20" s="70" t="s">
        <v>46</v>
      </c>
      <c r="AK20" s="58">
        <v>26</v>
      </c>
    </row>
    <row r="21" spans="3:37" ht="25" customHeight="1" thickBot="1">
      <c r="C21" s="4" t="s">
        <v>9</v>
      </c>
      <c r="D21" s="6">
        <v>5</v>
      </c>
      <c r="E21" s="6">
        <v>9</v>
      </c>
      <c r="F21" s="6">
        <v>5</v>
      </c>
      <c r="G21" s="6">
        <v>3</v>
      </c>
      <c r="H21" s="6" t="s">
        <v>15</v>
      </c>
      <c r="I21" s="6">
        <v>14</v>
      </c>
      <c r="W21" s="71" t="s">
        <v>64</v>
      </c>
      <c r="Y21" s="4" t="s">
        <v>32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42</v>
      </c>
      <c r="AG21" s="6">
        <v>0</v>
      </c>
      <c r="AH21" s="6">
        <v>0</v>
      </c>
      <c r="AI21" s="53">
        <f t="shared" si="2"/>
        <v>42</v>
      </c>
      <c r="AJ21" s="70" t="s">
        <v>46</v>
      </c>
      <c r="AK21" s="60">
        <v>42</v>
      </c>
    </row>
    <row r="22" spans="3:37" ht="30" customHeight="1" thickBot="1">
      <c r="C22" s="4" t="s">
        <v>10</v>
      </c>
      <c r="D22" s="6">
        <v>4</v>
      </c>
      <c r="E22" s="6">
        <v>7</v>
      </c>
      <c r="F22" s="6">
        <v>11</v>
      </c>
      <c r="G22" s="6">
        <v>12</v>
      </c>
      <c r="H22" s="6">
        <v>8</v>
      </c>
      <c r="I22" s="6" t="s">
        <v>15</v>
      </c>
      <c r="W22" s="71" t="s">
        <v>65</v>
      </c>
      <c r="Y22" s="4" t="s">
        <v>33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53</v>
      </c>
      <c r="AF22" s="6">
        <v>0</v>
      </c>
      <c r="AG22" s="6">
        <v>0</v>
      </c>
      <c r="AH22" s="6">
        <v>0</v>
      </c>
      <c r="AI22" s="53">
        <f t="shared" si="2"/>
        <v>53</v>
      </c>
      <c r="AJ22" s="70" t="s">
        <v>46</v>
      </c>
      <c r="AK22" s="58">
        <v>53</v>
      </c>
    </row>
    <row r="23" spans="3:37" ht="17.5" thickBot="1">
      <c r="C23" s="34" t="s">
        <v>25</v>
      </c>
      <c r="D23" s="34"/>
      <c r="E23" s="34"/>
      <c r="F23" s="34"/>
      <c r="G23" s="34"/>
      <c r="H23" s="34"/>
      <c r="I23" s="34"/>
      <c r="W23" t="s">
        <v>56</v>
      </c>
      <c r="Y23" s="4" t="s">
        <v>35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29</v>
      </c>
      <c r="AG23" s="6">
        <v>0</v>
      </c>
      <c r="AH23" s="6">
        <v>0</v>
      </c>
      <c r="AI23" s="53">
        <f t="shared" si="2"/>
        <v>29</v>
      </c>
      <c r="AJ23" s="70" t="s">
        <v>46</v>
      </c>
      <c r="AK23" s="60">
        <v>29</v>
      </c>
    </row>
    <row r="24" spans="3:37" ht="17.5" thickBot="1">
      <c r="Y24" s="4" t="s">
        <v>34</v>
      </c>
      <c r="Z24" s="6">
        <v>0</v>
      </c>
      <c r="AA24" s="6">
        <v>0</v>
      </c>
      <c r="AB24" s="6">
        <v>0</v>
      </c>
      <c r="AC24" s="6">
        <v>38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53">
        <f t="shared" si="2"/>
        <v>38</v>
      </c>
      <c r="AJ24" s="70" t="s">
        <v>46</v>
      </c>
      <c r="AK24" s="58">
        <v>38</v>
      </c>
    </row>
    <row r="25" spans="3:37" ht="17.5" thickBot="1">
      <c r="Y25" s="4" t="s">
        <v>2</v>
      </c>
      <c r="Z25" s="5">
        <v>0</v>
      </c>
      <c r="AA25" s="5">
        <v>0</v>
      </c>
      <c r="AB25" s="5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53">
        <f t="shared" si="2"/>
        <v>0</v>
      </c>
    </row>
    <row r="26" spans="3:37" ht="17.5" thickBot="1">
      <c r="C26" s="1"/>
      <c r="D26" s="31" t="s">
        <v>0</v>
      </c>
      <c r="E26" s="32"/>
      <c r="F26" s="33"/>
      <c r="Y26" s="4" t="s">
        <v>3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53">
        <f t="shared" si="2"/>
        <v>0</v>
      </c>
    </row>
    <row r="27" spans="3:37" ht="35" thickTop="1" thickBot="1">
      <c r="C27" s="2" t="s">
        <v>16</v>
      </c>
      <c r="D27" s="7" t="s">
        <v>2</v>
      </c>
      <c r="E27" s="7" t="s">
        <v>3</v>
      </c>
      <c r="F27" s="7" t="s">
        <v>4</v>
      </c>
      <c r="Y27" s="4" t="s">
        <v>4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53">
        <f t="shared" si="2"/>
        <v>0</v>
      </c>
    </row>
    <row r="28" spans="3:37" ht="17.5" thickBot="1">
      <c r="C28" s="4" t="s">
        <v>2</v>
      </c>
      <c r="D28" s="6" t="s">
        <v>14</v>
      </c>
      <c r="E28" s="5">
        <v>12</v>
      </c>
      <c r="F28" s="5">
        <v>10</v>
      </c>
      <c r="Y28" s="63" t="s">
        <v>67</v>
      </c>
      <c r="Z28" s="64">
        <f>SUM(Z19:Z27)</f>
        <v>0</v>
      </c>
      <c r="AA28" s="64">
        <f t="shared" ref="AA28:AH28" si="3">SUM(AA19:AA27)</f>
        <v>0</v>
      </c>
      <c r="AB28" s="64">
        <f t="shared" si="3"/>
        <v>0</v>
      </c>
      <c r="AC28" s="64">
        <f t="shared" si="3"/>
        <v>38</v>
      </c>
      <c r="AD28" s="64">
        <f t="shared" si="3"/>
        <v>45</v>
      </c>
      <c r="AE28" s="64">
        <f t="shared" si="3"/>
        <v>53</v>
      </c>
      <c r="AF28" s="64">
        <f t="shared" si="3"/>
        <v>71</v>
      </c>
      <c r="AG28" s="64">
        <f t="shared" si="3"/>
        <v>0</v>
      </c>
      <c r="AH28" s="64">
        <f t="shared" si="3"/>
        <v>26</v>
      </c>
    </row>
    <row r="29" spans="3:37" ht="17.5" thickBot="1">
      <c r="C29" s="4" t="s">
        <v>3</v>
      </c>
      <c r="D29" s="6">
        <v>12</v>
      </c>
      <c r="E29" s="6" t="s">
        <v>15</v>
      </c>
      <c r="F29" s="6">
        <v>15</v>
      </c>
      <c r="Y29" s="40" t="s">
        <v>68</v>
      </c>
      <c r="Z29" s="66" t="s">
        <v>44</v>
      </c>
      <c r="AA29" s="66" t="s">
        <v>44</v>
      </c>
      <c r="AB29" s="66" t="s">
        <v>44</v>
      </c>
      <c r="AC29" s="66"/>
      <c r="AD29" s="66"/>
      <c r="AE29" s="66"/>
    </row>
    <row r="30" spans="3:37" ht="17.5" thickBot="1">
      <c r="C30" s="4" t="s">
        <v>4</v>
      </c>
      <c r="D30" s="6">
        <v>10</v>
      </c>
      <c r="E30" s="6">
        <v>15</v>
      </c>
      <c r="F30" s="6" t="s">
        <v>15</v>
      </c>
      <c r="Y30" s="67" t="s">
        <v>42</v>
      </c>
      <c r="Z30" s="64">
        <v>65</v>
      </c>
      <c r="AA30" s="64">
        <v>80</v>
      </c>
      <c r="AB30" s="64">
        <v>105</v>
      </c>
    </row>
    <row r="31" spans="3:37">
      <c r="C31" s="27" t="s">
        <v>17</v>
      </c>
      <c r="D31" s="27"/>
      <c r="E31" s="27"/>
      <c r="F31" s="27"/>
    </row>
    <row r="34" spans="3:12" ht="16" thickBot="1"/>
    <row r="35" spans="3:12" ht="17.5" thickBot="1">
      <c r="C35" s="1"/>
      <c r="D35" s="28" t="s">
        <v>0</v>
      </c>
      <c r="E35" s="29"/>
      <c r="F35" s="30"/>
      <c r="G35" s="31" t="s">
        <v>13</v>
      </c>
      <c r="H35" s="32"/>
      <c r="I35" s="32"/>
      <c r="J35" s="32"/>
      <c r="K35" s="32"/>
      <c r="L35" s="33"/>
    </row>
    <row r="36" spans="3:12" ht="18" thickTop="1" thickBot="1">
      <c r="C36" s="2" t="s">
        <v>39</v>
      </c>
      <c r="D36" s="3" t="s">
        <v>36</v>
      </c>
      <c r="E36" s="3" t="s">
        <v>37</v>
      </c>
      <c r="F36" s="3" t="s">
        <v>38</v>
      </c>
      <c r="G36" s="7" t="s">
        <v>5</v>
      </c>
      <c r="H36" s="7" t="s">
        <v>6</v>
      </c>
      <c r="I36" s="7" t="s">
        <v>7</v>
      </c>
      <c r="J36" s="7" t="s">
        <v>8</v>
      </c>
      <c r="K36" s="7" t="s">
        <v>9</v>
      </c>
      <c r="L36" s="7" t="s">
        <v>10</v>
      </c>
    </row>
    <row r="37" spans="3:12" ht="17.5" thickBot="1">
      <c r="C37" s="4" t="s">
        <v>30</v>
      </c>
      <c r="D37" s="6">
        <v>12</v>
      </c>
      <c r="E37" s="6">
        <v>15</v>
      </c>
      <c r="F37" s="6">
        <v>17</v>
      </c>
      <c r="G37" s="5">
        <v>1000</v>
      </c>
      <c r="H37" s="5">
        <v>3</v>
      </c>
      <c r="I37" s="5">
        <v>4</v>
      </c>
      <c r="J37" s="5">
        <v>9</v>
      </c>
      <c r="K37" s="5">
        <v>5</v>
      </c>
      <c r="L37" s="5">
        <v>4</v>
      </c>
    </row>
    <row r="38" spans="3:12" ht="17.5" thickBot="1">
      <c r="C38" s="4" t="s">
        <v>31</v>
      </c>
      <c r="D38" s="6">
        <v>14</v>
      </c>
      <c r="E38" s="6">
        <v>9</v>
      </c>
      <c r="F38" s="6">
        <v>10</v>
      </c>
      <c r="G38" s="6">
        <v>6</v>
      </c>
      <c r="H38" s="6">
        <v>1000</v>
      </c>
      <c r="I38" s="6">
        <v>7</v>
      </c>
      <c r="J38" s="6">
        <v>6</v>
      </c>
      <c r="K38" s="6">
        <v>9</v>
      </c>
      <c r="L38" s="6">
        <v>4</v>
      </c>
    </row>
    <row r="39" spans="3:12" ht="17.5" thickBot="1">
      <c r="C39" s="4" t="s">
        <v>32</v>
      </c>
      <c r="D39" s="6">
        <v>13</v>
      </c>
      <c r="E39" s="6">
        <v>20</v>
      </c>
      <c r="F39" s="6">
        <v>11</v>
      </c>
      <c r="G39" s="6">
        <v>5</v>
      </c>
      <c r="H39" s="6">
        <v>7</v>
      </c>
      <c r="I39" s="6">
        <v>1000</v>
      </c>
      <c r="J39" s="6">
        <v>3</v>
      </c>
      <c r="K39" s="6">
        <v>4</v>
      </c>
      <c r="L39" s="6">
        <v>9</v>
      </c>
    </row>
    <row r="40" spans="3:12" ht="17.5" thickBot="1">
      <c r="C40" s="4" t="s">
        <v>33</v>
      </c>
      <c r="D40" s="6">
        <v>17</v>
      </c>
      <c r="E40" s="6">
        <v>16</v>
      </c>
      <c r="F40" s="6">
        <v>19</v>
      </c>
      <c r="G40" s="6">
        <v>5</v>
      </c>
      <c r="H40" s="6">
        <v>4</v>
      </c>
      <c r="I40" s="6">
        <v>3</v>
      </c>
      <c r="J40" s="6">
        <v>1000</v>
      </c>
      <c r="K40" s="6">
        <v>3</v>
      </c>
      <c r="L40" s="6">
        <v>11</v>
      </c>
    </row>
    <row r="41" spans="3:12" ht="17.5" thickBot="1">
      <c r="C41" s="4" t="s">
        <v>35</v>
      </c>
      <c r="D41" s="6">
        <v>7</v>
      </c>
      <c r="E41" s="6">
        <v>14</v>
      </c>
      <c r="F41" s="6">
        <v>12</v>
      </c>
      <c r="G41" s="6">
        <v>5</v>
      </c>
      <c r="H41" s="6">
        <v>9</v>
      </c>
      <c r="I41" s="6">
        <v>5</v>
      </c>
      <c r="J41" s="6">
        <v>3</v>
      </c>
      <c r="K41" s="6">
        <v>1000</v>
      </c>
      <c r="L41" s="6">
        <v>14</v>
      </c>
    </row>
    <row r="42" spans="3:12" ht="17.5" thickBot="1">
      <c r="C42" s="4" t="s">
        <v>34</v>
      </c>
      <c r="D42" s="6">
        <v>22</v>
      </c>
      <c r="E42" s="6">
        <v>16</v>
      </c>
      <c r="F42" s="6">
        <v>18</v>
      </c>
      <c r="G42" s="6">
        <v>4</v>
      </c>
      <c r="H42" s="6">
        <v>7</v>
      </c>
      <c r="I42" s="6">
        <v>11</v>
      </c>
      <c r="J42" s="6">
        <v>12</v>
      </c>
      <c r="K42" s="6">
        <v>8</v>
      </c>
      <c r="L42" s="6">
        <v>1000</v>
      </c>
    </row>
    <row r="43" spans="3:12" ht="17.5" thickBot="1">
      <c r="C43" s="4" t="s">
        <v>2</v>
      </c>
      <c r="D43" s="5">
        <v>1000</v>
      </c>
      <c r="E43" s="5">
        <v>12</v>
      </c>
      <c r="F43" s="5">
        <v>10</v>
      </c>
      <c r="G43" s="6">
        <v>12</v>
      </c>
      <c r="H43" s="6">
        <v>14</v>
      </c>
      <c r="I43" s="6">
        <v>13</v>
      </c>
      <c r="J43" s="6">
        <v>17</v>
      </c>
      <c r="K43" s="6">
        <v>7</v>
      </c>
      <c r="L43" s="6">
        <v>22</v>
      </c>
    </row>
    <row r="44" spans="3:12" ht="17.5" thickBot="1">
      <c r="C44" s="4" t="s">
        <v>3</v>
      </c>
      <c r="D44" s="6">
        <v>12</v>
      </c>
      <c r="E44" s="6">
        <v>1000</v>
      </c>
      <c r="F44" s="6">
        <v>15</v>
      </c>
      <c r="G44" s="6">
        <v>15</v>
      </c>
      <c r="H44" s="6">
        <v>9</v>
      </c>
      <c r="I44" s="6">
        <v>20</v>
      </c>
      <c r="J44" s="6">
        <v>16</v>
      </c>
      <c r="K44" s="6">
        <v>14</v>
      </c>
      <c r="L44" s="6">
        <v>16</v>
      </c>
    </row>
    <row r="45" spans="3:12" ht="17.5" thickBot="1">
      <c r="C45" s="4" t="s">
        <v>4</v>
      </c>
      <c r="D45" s="6">
        <v>10</v>
      </c>
      <c r="E45" s="6">
        <v>15</v>
      </c>
      <c r="F45" s="6">
        <v>1000</v>
      </c>
      <c r="G45" s="6">
        <v>17</v>
      </c>
      <c r="H45" s="6">
        <v>10</v>
      </c>
      <c r="I45" s="6">
        <v>11</v>
      </c>
      <c r="J45" s="6">
        <v>19</v>
      </c>
      <c r="K45" s="6">
        <v>12</v>
      </c>
      <c r="L45" s="6">
        <v>18</v>
      </c>
    </row>
    <row r="51" spans="3:3">
      <c r="C51" s="26"/>
    </row>
    <row r="52" spans="3:3">
      <c r="C52" s="74"/>
    </row>
    <row r="53" spans="3:3">
      <c r="C53" s="74"/>
    </row>
    <row r="54" spans="3:3">
      <c r="C54" s="75"/>
    </row>
  </sheetData>
  <mergeCells count="12">
    <mergeCell ref="D35:F35"/>
    <mergeCell ref="G35:L35"/>
    <mergeCell ref="Z2:AB2"/>
    <mergeCell ref="AC2:AH2"/>
    <mergeCell ref="Z17:AB17"/>
    <mergeCell ref="AC17:AH17"/>
    <mergeCell ref="C31:F31"/>
    <mergeCell ref="D3:F3"/>
    <mergeCell ref="C11:F11"/>
    <mergeCell ref="D15:I15"/>
    <mergeCell ref="C23:I23"/>
    <mergeCell ref="D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6FD9-9491-024D-8CA4-AD470BFBFFE2}">
  <dimension ref="A2:T35"/>
  <sheetViews>
    <sheetView topLeftCell="D1" zoomScale="68" zoomScaleNormal="68" workbookViewId="0">
      <selection activeCell="K20" sqref="K20"/>
    </sheetView>
  </sheetViews>
  <sheetFormatPr defaultColWidth="10.6640625" defaultRowHeight="15.5"/>
  <cols>
    <col min="2" max="2" width="42.9140625" customWidth="1"/>
    <col min="3" max="3" width="22" customWidth="1"/>
    <col min="5" max="5" width="15.9140625" customWidth="1"/>
    <col min="6" max="6" width="16.1640625" customWidth="1"/>
    <col min="7" max="7" width="19.75" customWidth="1"/>
    <col min="8" max="8" width="18.58203125" customWidth="1"/>
    <col min="9" max="9" width="18.33203125" customWidth="1"/>
    <col min="10" max="11" width="16.1640625" customWidth="1"/>
    <col min="12" max="12" width="19.33203125" customWidth="1"/>
    <col min="13" max="13" width="18.9140625" customWidth="1"/>
    <col min="14" max="14" width="18.4140625" customWidth="1"/>
    <col min="15" max="15" width="18.1640625" customWidth="1"/>
    <col min="16" max="16" width="18.5" customWidth="1"/>
    <col min="17" max="17" width="18.25" customWidth="1"/>
    <col min="18" max="18" width="18.5" customWidth="1"/>
    <col min="19" max="19" width="19.5" customWidth="1"/>
  </cols>
  <sheetData>
    <row r="2" spans="1:20">
      <c r="A2" s="26" t="s">
        <v>100</v>
      </c>
      <c r="M2" s="26"/>
    </row>
    <row r="4" spans="1:20" ht="17">
      <c r="E4" s="13"/>
      <c r="F4" s="35" t="s">
        <v>19</v>
      </c>
      <c r="G4" s="37" t="s">
        <v>20</v>
      </c>
      <c r="H4" s="37" t="s">
        <v>21</v>
      </c>
      <c r="I4" s="37" t="s">
        <v>22</v>
      </c>
      <c r="J4" s="37" t="s">
        <v>23</v>
      </c>
      <c r="K4" s="37" t="s">
        <v>24</v>
      </c>
    </row>
    <row r="5" spans="1:20" ht="17" thickBot="1">
      <c r="A5" s="26"/>
      <c r="B5" s="9"/>
      <c r="C5" s="10" t="s">
        <v>18</v>
      </c>
      <c r="E5" s="14"/>
      <c r="F5" s="36"/>
      <c r="G5" s="38"/>
      <c r="H5" s="38"/>
      <c r="I5" s="38"/>
      <c r="J5" s="38"/>
      <c r="K5" s="38"/>
    </row>
    <row r="6" spans="1:20" ht="16.5" thickTop="1" thickBot="1">
      <c r="B6" s="11" t="s">
        <v>19</v>
      </c>
      <c r="C6" s="12">
        <v>7.0000000000000007E-2</v>
      </c>
      <c r="D6">
        <v>7</v>
      </c>
      <c r="E6" s="15" t="s">
        <v>19</v>
      </c>
      <c r="F6" s="16">
        <v>1E-3</v>
      </c>
      <c r="G6" s="17">
        <v>2.9999999999999997E-4</v>
      </c>
      <c r="H6" s="17">
        <v>-2.9999999999999997E-4</v>
      </c>
      <c r="I6" s="17">
        <v>3.5E-4</v>
      </c>
      <c r="J6" s="17">
        <v>-3.5E-4</v>
      </c>
      <c r="K6" s="17">
        <v>4.0000000000000002E-4</v>
      </c>
    </row>
    <row r="7" spans="1:20" ht="16" thickBot="1">
      <c r="B7" s="11" t="s">
        <v>20</v>
      </c>
      <c r="C7" s="12">
        <v>0.12</v>
      </c>
      <c r="D7">
        <v>12</v>
      </c>
      <c r="E7" s="15" t="s">
        <v>20</v>
      </c>
      <c r="F7" s="16">
        <v>2.9999999999999997E-4</v>
      </c>
      <c r="G7" s="16">
        <v>8.9999999999999993E-3</v>
      </c>
      <c r="H7" s="17">
        <v>4.0000000000000002E-4</v>
      </c>
      <c r="I7" s="17">
        <v>1.6000000000000001E-3</v>
      </c>
      <c r="J7" s="17">
        <v>-1.6000000000000001E-3</v>
      </c>
      <c r="K7" s="17">
        <v>5.9999999999999995E-4</v>
      </c>
    </row>
    <row r="8" spans="1:20" ht="16" thickBot="1">
      <c r="B8" s="11" t="s">
        <v>21</v>
      </c>
      <c r="C8" s="12">
        <v>0.11</v>
      </c>
      <c r="D8">
        <v>11</v>
      </c>
      <c r="E8" s="15" t="s">
        <v>21</v>
      </c>
      <c r="F8" s="16">
        <v>-2.9999999999999997E-4</v>
      </c>
      <c r="G8" s="17">
        <v>4.0000000000000002E-4</v>
      </c>
      <c r="H8" s="17">
        <v>8.0000000000000002E-3</v>
      </c>
      <c r="I8" s="17">
        <v>1.5E-3</v>
      </c>
      <c r="J8" s="17">
        <v>-5.4999999999999997E-3</v>
      </c>
      <c r="K8" s="17">
        <v>-6.9999999999999999E-4</v>
      </c>
    </row>
    <row r="9" spans="1:20" ht="16" thickBot="1">
      <c r="B9" s="11" t="s">
        <v>22</v>
      </c>
      <c r="C9" s="12">
        <v>0.14000000000000001</v>
      </c>
      <c r="D9">
        <v>14</v>
      </c>
      <c r="E9" s="15" t="s">
        <v>22</v>
      </c>
      <c r="F9" s="16">
        <v>3.5E-4</v>
      </c>
      <c r="G9" s="17">
        <v>1.6000000000000001E-3</v>
      </c>
      <c r="H9" s="17">
        <v>1.5E-3</v>
      </c>
      <c r="I9" s="17">
        <v>1.2E-2</v>
      </c>
      <c r="J9" s="17">
        <v>-5.0000000000000001E-4</v>
      </c>
      <c r="K9" s="17">
        <v>8.0000000000000004E-4</v>
      </c>
    </row>
    <row r="10" spans="1:20" ht="16" thickBot="1">
      <c r="B10" s="11" t="s">
        <v>23</v>
      </c>
      <c r="C10" s="12">
        <v>0.14000000000000001</v>
      </c>
      <c r="D10">
        <v>14</v>
      </c>
      <c r="E10" s="15" t="s">
        <v>23</v>
      </c>
      <c r="F10" s="16">
        <v>-3.5E-4</v>
      </c>
      <c r="G10" s="17">
        <v>-1.6000000000000001E-3</v>
      </c>
      <c r="H10" s="17">
        <v>-5.4999999999999997E-3</v>
      </c>
      <c r="I10" s="17">
        <v>-5.0000000000000001E-4</v>
      </c>
      <c r="J10" s="17">
        <v>1.2E-2</v>
      </c>
      <c r="K10" s="17">
        <v>-8.0000000000000004E-4</v>
      </c>
    </row>
    <row r="11" spans="1:20" ht="16" thickBot="1">
      <c r="B11" s="11" t="s">
        <v>24</v>
      </c>
      <c r="C11" s="12">
        <v>0.09</v>
      </c>
      <c r="D11">
        <v>9</v>
      </c>
      <c r="E11" s="15" t="s">
        <v>24</v>
      </c>
      <c r="F11" s="16">
        <v>4.0000000000000002E-4</v>
      </c>
      <c r="G11" s="17">
        <v>5.9999999999999995E-4</v>
      </c>
      <c r="H11" s="17">
        <v>-6.9999999999999999E-4</v>
      </c>
      <c r="I11" s="17">
        <v>8.0000000000000004E-4</v>
      </c>
      <c r="J11" s="17">
        <v>-8.0000000000000004E-4</v>
      </c>
      <c r="K11" s="17">
        <v>5.0000000000000001E-3</v>
      </c>
    </row>
    <row r="12" spans="1:20" ht="17">
      <c r="B12" s="77" t="s">
        <v>82</v>
      </c>
      <c r="C12" s="79">
        <v>0.11</v>
      </c>
      <c r="E12" s="8" t="s">
        <v>87</v>
      </c>
      <c r="F12" s="79">
        <v>7.0000000000000007E-2</v>
      </c>
      <c r="G12" s="79">
        <v>0.12</v>
      </c>
      <c r="H12" s="79">
        <v>0.11</v>
      </c>
      <c r="I12" s="79">
        <v>0.14000000000000001</v>
      </c>
      <c r="J12" s="79">
        <v>0.14000000000000001</v>
      </c>
      <c r="K12" s="79">
        <v>0.09</v>
      </c>
      <c r="L12" s="79"/>
    </row>
    <row r="13" spans="1:20">
      <c r="F13" s="83">
        <v>7</v>
      </c>
      <c r="G13" s="83">
        <v>12</v>
      </c>
      <c r="H13" s="83">
        <v>11</v>
      </c>
      <c r="I13" s="83">
        <v>14</v>
      </c>
      <c r="J13" s="83">
        <v>14</v>
      </c>
      <c r="K13" s="83">
        <v>9</v>
      </c>
      <c r="L13" s="83"/>
      <c r="M13" s="83"/>
    </row>
    <row r="14" spans="1:20">
      <c r="B14" s="73" t="s">
        <v>72</v>
      </c>
      <c r="C14" s="26"/>
    </row>
    <row r="15" spans="1:20">
      <c r="B15" s="74" t="s">
        <v>73</v>
      </c>
      <c r="D15" t="s">
        <v>84</v>
      </c>
      <c r="H15" t="s">
        <v>95</v>
      </c>
      <c r="L15" s="26" t="s">
        <v>101</v>
      </c>
    </row>
    <row r="16" spans="1:20">
      <c r="B16" s="74" t="s">
        <v>74</v>
      </c>
      <c r="F16" t="s">
        <v>90</v>
      </c>
      <c r="G16" t="s">
        <v>94</v>
      </c>
      <c r="H16" t="s">
        <v>103</v>
      </c>
      <c r="I16" t="s">
        <v>91</v>
      </c>
      <c r="J16" s="81" cm="1">
        <f t="array" ref="J16">MMULT(F12:K12,F17:F22)</f>
        <v>9.2380670365243722E-2</v>
      </c>
      <c r="M16" t="s">
        <v>104</v>
      </c>
      <c r="N16" t="s">
        <v>105</v>
      </c>
      <c r="O16" t="s">
        <v>103</v>
      </c>
      <c r="P16" t="s">
        <v>106</v>
      </c>
      <c r="Q16" t="s">
        <v>107</v>
      </c>
      <c r="R16" t="s">
        <v>108</v>
      </c>
      <c r="S16" t="s">
        <v>109</v>
      </c>
      <c r="T16" t="s">
        <v>110</v>
      </c>
    </row>
    <row r="17" spans="2:20">
      <c r="B17" s="74" t="s">
        <v>75</v>
      </c>
      <c r="E17" s="15" t="s">
        <v>19</v>
      </c>
      <c r="F17" s="80">
        <v>0.5182200007657084</v>
      </c>
      <c r="G17">
        <f>F17*10000</f>
        <v>5182.2000076570839</v>
      </c>
      <c r="H17">
        <f>G17*0.11</f>
        <v>570.04200084227921</v>
      </c>
      <c r="I17" t="s">
        <v>92</v>
      </c>
      <c r="J17" s="81" cm="1">
        <f t="array" ref="J17">MMULT(TRANSPOSE(F17:F22),MMULT(F6:K11,F17:F22))</f>
        <v>4.6087160450232614E-4</v>
      </c>
      <c r="L17" s="15" t="s">
        <v>19</v>
      </c>
      <c r="M17">
        <f>G17*0.1</f>
        <v>518.22000076570839</v>
      </c>
      <c r="N17">
        <f>G17*0.105</f>
        <v>544.13100080399374</v>
      </c>
      <c r="O17">
        <f>G17*0.11</f>
        <v>570.04200084227921</v>
      </c>
      <c r="P17">
        <f>G17*0.115</f>
        <v>595.95300088056467</v>
      </c>
      <c r="Q17">
        <f>G17*0.12</f>
        <v>621.86400091885002</v>
      </c>
      <c r="R17">
        <f>G17 * 0.125</f>
        <v>647.77500095713549</v>
      </c>
      <c r="S17">
        <f>G17*0.13</f>
        <v>673.68600099542095</v>
      </c>
      <c r="T17">
        <f>G17*0.135</f>
        <v>699.59700103370642</v>
      </c>
    </row>
    <row r="18" spans="2:20">
      <c r="B18" s="74" t="s">
        <v>76</v>
      </c>
      <c r="E18" s="15" t="s">
        <v>20</v>
      </c>
      <c r="F18" s="80">
        <v>4.6245864688755849E-2</v>
      </c>
      <c r="G18">
        <f t="shared" ref="G18:G22" si="0">F18*10000</f>
        <v>462.45864688755847</v>
      </c>
      <c r="H18">
        <f t="shared" ref="H18:H22" si="1">G18*0.11</f>
        <v>50.870451157631429</v>
      </c>
      <c r="I18" t="s">
        <v>93</v>
      </c>
      <c r="J18" s="81">
        <f>SQRT(J17)</f>
        <v>2.1467920358114016E-2</v>
      </c>
      <c r="L18" s="15" t="s">
        <v>20</v>
      </c>
      <c r="M18">
        <f>G18*0.1</f>
        <v>46.245864688755852</v>
      </c>
      <c r="N18">
        <f>G18*0.105</f>
        <v>48.55815792319364</v>
      </c>
      <c r="O18">
        <f>G18*0.11</f>
        <v>50.870451157631429</v>
      </c>
      <c r="P18">
        <f>G18*0.115</f>
        <v>53.182744392069225</v>
      </c>
      <c r="Q18">
        <f>G18*0.12</f>
        <v>55.495037626507013</v>
      </c>
      <c r="R18">
        <f>G18 * 0.125</f>
        <v>57.807330860944809</v>
      </c>
      <c r="S18">
        <f>G18*0.13</f>
        <v>60.119624095382605</v>
      </c>
      <c r="T18">
        <f>G18*0.135</f>
        <v>62.431917329820401</v>
      </c>
    </row>
    <row r="19" spans="2:20">
      <c r="B19" s="74" t="s">
        <v>77</v>
      </c>
      <c r="E19" s="15" t="s">
        <v>21</v>
      </c>
      <c r="F19" s="80">
        <v>0.18767045357816467</v>
      </c>
      <c r="G19">
        <f t="shared" si="0"/>
        <v>1876.7045357816467</v>
      </c>
      <c r="H19">
        <f t="shared" si="1"/>
        <v>206.43749893598113</v>
      </c>
      <c r="L19" s="15" t="s">
        <v>21</v>
      </c>
      <c r="M19">
        <f>G19*0.1</f>
        <v>187.67045357816468</v>
      </c>
      <c r="N19">
        <f>G19*0.105</f>
        <v>197.05397625707289</v>
      </c>
      <c r="O19">
        <f>G19*0.11</f>
        <v>206.43749893598113</v>
      </c>
      <c r="P19">
        <f>G19*0.115</f>
        <v>215.82102161488936</v>
      </c>
      <c r="Q19">
        <f>G19*0.12</f>
        <v>225.2045442937976</v>
      </c>
      <c r="R19">
        <f>G19 * 0.125</f>
        <v>234.58806697270583</v>
      </c>
      <c r="S19">
        <f>G19*0.13</f>
        <v>243.97158965161407</v>
      </c>
      <c r="T19">
        <f>G19*0.135</f>
        <v>253.3551123305223</v>
      </c>
    </row>
    <row r="20" spans="2:20">
      <c r="B20" s="74" t="s">
        <v>78</v>
      </c>
      <c r="E20" s="15" t="s">
        <v>22</v>
      </c>
      <c r="F20" s="80">
        <v>0</v>
      </c>
      <c r="G20">
        <f t="shared" si="0"/>
        <v>0</v>
      </c>
      <c r="H20">
        <f t="shared" si="1"/>
        <v>0</v>
      </c>
      <c r="L20" s="15" t="s">
        <v>22</v>
      </c>
      <c r="M20">
        <f>G20*0.1</f>
        <v>0</v>
      </c>
      <c r="N20">
        <f>G20*0.105</f>
        <v>0</v>
      </c>
      <c r="O20">
        <f>G20*0.11</f>
        <v>0</v>
      </c>
      <c r="P20">
        <f>G20*0.115</f>
        <v>0</v>
      </c>
      <c r="Q20">
        <f>G20*0.12</f>
        <v>0</v>
      </c>
      <c r="R20">
        <f>G20 * 0.125</f>
        <v>0</v>
      </c>
      <c r="S20">
        <f>G20*0.13</f>
        <v>0</v>
      </c>
      <c r="T20">
        <f>G20*0.135</f>
        <v>0</v>
      </c>
    </row>
    <row r="21" spans="2:20">
      <c r="E21" s="15" t="s">
        <v>23</v>
      </c>
      <c r="F21" s="80">
        <v>0.15208750736663737</v>
      </c>
      <c r="G21">
        <f t="shared" si="0"/>
        <v>1520.8750736663737</v>
      </c>
      <c r="H21">
        <f t="shared" si="1"/>
        <v>167.29625810330111</v>
      </c>
      <c r="L21" s="15" t="s">
        <v>23</v>
      </c>
      <c r="M21">
        <f>G21*0.1</f>
        <v>152.08750736663737</v>
      </c>
      <c r="N21">
        <f>G21*0.105</f>
        <v>159.69188273496923</v>
      </c>
      <c r="O21">
        <f>G21*0.11</f>
        <v>167.29625810330111</v>
      </c>
      <c r="P21">
        <f>G21*0.115</f>
        <v>174.900633471633</v>
      </c>
      <c r="Q21">
        <f>G21*0.12</f>
        <v>182.50500883996483</v>
      </c>
      <c r="R21">
        <f>G21 * 0.125</f>
        <v>190.10938420829672</v>
      </c>
      <c r="S21">
        <f>G21*0.13</f>
        <v>197.7137595766286</v>
      </c>
      <c r="T21">
        <f>G21*0.135</f>
        <v>205.31813494496046</v>
      </c>
    </row>
    <row r="22" spans="2:20">
      <c r="B22" s="26" t="s">
        <v>83</v>
      </c>
      <c r="E22" s="15" t="s">
        <v>24</v>
      </c>
      <c r="F22" s="80">
        <v>9.577517360073412E-2</v>
      </c>
      <c r="G22">
        <f t="shared" si="0"/>
        <v>957.75173600734115</v>
      </c>
      <c r="H22">
        <f t="shared" si="1"/>
        <v>105.35269096080752</v>
      </c>
      <c r="L22" s="15" t="s">
        <v>24</v>
      </c>
      <c r="M22">
        <f>G22*0.1</f>
        <v>95.775173600734121</v>
      </c>
      <c r="N22">
        <f>G22*0.105</f>
        <v>100.56393228077081</v>
      </c>
      <c r="O22">
        <f>G22*0.11</f>
        <v>105.35269096080752</v>
      </c>
      <c r="P22">
        <f>G22*0.115</f>
        <v>110.14144964084424</v>
      </c>
      <c r="Q22">
        <f>G22*0.12</f>
        <v>114.93020832088094</v>
      </c>
      <c r="R22">
        <f>G22 * 0.125</f>
        <v>119.71896700091764</v>
      </c>
      <c r="S22">
        <f>G22*0.13</f>
        <v>124.50772568095435</v>
      </c>
      <c r="T22">
        <f>G22*0.135</f>
        <v>129.29648436099106</v>
      </c>
    </row>
    <row r="23" spans="2:20" ht="16">
      <c r="B23" s="76" t="s">
        <v>86</v>
      </c>
      <c r="H23">
        <f>G23*0.11</f>
        <v>0</v>
      </c>
      <c r="M23">
        <f>G23*0.1</f>
        <v>0</v>
      </c>
      <c r="N23">
        <f>G23*0.105</f>
        <v>0</v>
      </c>
      <c r="O23">
        <f>G23*0.11</f>
        <v>0</v>
      </c>
      <c r="P23">
        <f>G23*0.115</f>
        <v>0</v>
      </c>
      <c r="Q23">
        <f>G23*0.12</f>
        <v>0</v>
      </c>
      <c r="R23">
        <f>G23 * 0.125</f>
        <v>0</v>
      </c>
      <c r="S23">
        <f>G23*0.13</f>
        <v>0</v>
      </c>
      <c r="T23">
        <f>G23*0.135</f>
        <v>0</v>
      </c>
    </row>
    <row r="24" spans="2:20">
      <c r="F24" s="80">
        <f>SUM(F17:F22)</f>
        <v>0.9999990000000003</v>
      </c>
      <c r="G24" s="80">
        <f>SUM(G17:G22)</f>
        <v>9999.9900000000052</v>
      </c>
      <c r="H24">
        <f t="shared" ref="H18:H24" si="2">G24*0.11</f>
        <v>1099.9989000000005</v>
      </c>
      <c r="M24">
        <f>G24*0.1</f>
        <v>999.99900000000059</v>
      </c>
      <c r="N24">
        <f>G24*0.105</f>
        <v>1049.9989500000006</v>
      </c>
      <c r="O24">
        <f>G24*0.11</f>
        <v>1099.9989000000005</v>
      </c>
      <c r="P24">
        <f>G24*0.115</f>
        <v>1149.9988500000006</v>
      </c>
      <c r="Q24">
        <f>G24*0.12</f>
        <v>1199.9988000000005</v>
      </c>
      <c r="R24">
        <f>G24 * 0.125</f>
        <v>1249.9987500000007</v>
      </c>
      <c r="S24">
        <f>G24*0.13</f>
        <v>1299.9987000000008</v>
      </c>
      <c r="T24">
        <f>G24*0.135</f>
        <v>1349.9986500000009</v>
      </c>
    </row>
    <row r="25" spans="2:20">
      <c r="B25" s="26" t="s">
        <v>85</v>
      </c>
    </row>
    <row r="26" spans="2:20">
      <c r="B26" s="74" t="s">
        <v>102</v>
      </c>
    </row>
    <row r="27" spans="2:20">
      <c r="B27" s="74" t="s">
        <v>79</v>
      </c>
      <c r="E27" s="78"/>
    </row>
    <row r="28" spans="2:20" ht="16">
      <c r="B28" s="75" t="s">
        <v>88</v>
      </c>
      <c r="E28" s="82"/>
    </row>
    <row r="29" spans="2:20">
      <c r="B29" t="s">
        <v>96</v>
      </c>
      <c r="E29" s="78"/>
    </row>
    <row r="30" spans="2:20">
      <c r="B30" t="s">
        <v>80</v>
      </c>
      <c r="E30" s="82"/>
    </row>
    <row r="31" spans="2:20">
      <c r="B31" t="s">
        <v>81</v>
      </c>
      <c r="E31" s="78"/>
    </row>
    <row r="32" spans="2:20">
      <c r="B32" t="s">
        <v>89</v>
      </c>
      <c r="E32" s="82"/>
    </row>
    <row r="33" spans="2:5">
      <c r="B33" t="s">
        <v>97</v>
      </c>
      <c r="E33" s="78"/>
    </row>
    <row r="34" spans="2:5">
      <c r="B34" t="s">
        <v>98</v>
      </c>
      <c r="E34" s="82"/>
    </row>
    <row r="35" spans="2:5">
      <c r="B35" t="s">
        <v>99</v>
      </c>
    </row>
  </sheetData>
  <mergeCells count="6">
    <mergeCell ref="F4:F5"/>
    <mergeCell ref="G4:G5"/>
    <mergeCell ref="H4:H5"/>
    <mergeCell ref="I4:I5"/>
    <mergeCell ref="J4:J5"/>
    <mergeCell ref="K4:K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Rasoul Behboudi</dc:creator>
  <cp:lastModifiedBy>Sean McLean</cp:lastModifiedBy>
  <dcterms:created xsi:type="dcterms:W3CDTF">2020-12-01T18:44:30Z</dcterms:created>
  <dcterms:modified xsi:type="dcterms:W3CDTF">2024-03-31T01:19:56Z</dcterms:modified>
</cp:coreProperties>
</file>